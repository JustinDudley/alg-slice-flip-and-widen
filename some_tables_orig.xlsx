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dudley/MyDocuments/Cube/POCHMANN_FEVER_MAC/PYTHON_Repos/alg_prism_the_whole_enchilada/"/>
    </mc:Choice>
  </mc:AlternateContent>
  <xr:revisionPtr revIDLastSave="0" documentId="13_ncr:1_{C7A2EC7A-8EF9-D94E-A66F-E9AF798E9F68}" xr6:coauthVersionLast="47" xr6:coauthVersionMax="47" xr10:uidLastSave="{00000000-0000-0000-0000-000000000000}"/>
  <bookViews>
    <workbookView xWindow="0" yWindow="1400" windowWidth="32260" windowHeight="16800" activeTab="1" xr2:uid="{00000000-000D-0000-FFFF-FFFF00000000}"/>
  </bookViews>
  <sheets>
    <sheet name="Tables" sheetId="2" r:id="rId1"/>
    <sheet name="Other Tables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12" l="1"/>
  <c r="AC7" i="12"/>
  <c r="AC8" i="12"/>
  <c r="AC9" i="12"/>
  <c r="AC10" i="12"/>
  <c r="AC11" i="12"/>
  <c r="AC12" i="12"/>
  <c r="AC13" i="12"/>
  <c r="AC17" i="12"/>
  <c r="AC18" i="12"/>
  <c r="AC19" i="12"/>
  <c r="AC14" i="12"/>
  <c r="AC15" i="12"/>
  <c r="AC16" i="12"/>
  <c r="AC21" i="12"/>
  <c r="AC22" i="12"/>
  <c r="AC23" i="12"/>
  <c r="AC24" i="12"/>
  <c r="AC25" i="12"/>
  <c r="AC26" i="12"/>
  <c r="AC5" i="12"/>
  <c r="AC20" i="12"/>
  <c r="G5" i="12" a="1"/>
  <c r="G5" i="12" s="1"/>
  <c r="G6" i="12" a="1"/>
  <c r="G6" i="12" s="1"/>
  <c r="G8" i="12" a="1"/>
  <c r="G8" i="12" s="1"/>
  <c r="G9" i="12" a="1"/>
  <c r="G9" i="12" s="1"/>
  <c r="G11" i="12" a="1"/>
  <c r="G11" i="12" s="1"/>
  <c r="G12" i="12" a="1"/>
  <c r="G12" i="12" s="1"/>
  <c r="G14" i="12" a="1"/>
  <c r="G14" i="12" s="1"/>
  <c r="G15" i="12" a="1"/>
  <c r="G15" i="12" s="1"/>
  <c r="G17" i="12" a="1"/>
  <c r="G17" i="12" s="1"/>
  <c r="G18" i="12" a="1"/>
  <c r="G18" i="12" s="1"/>
  <c r="G20" i="12" a="1"/>
  <c r="G20" i="12" s="1"/>
  <c r="G21" i="12" a="1"/>
  <c r="G21" i="12" s="1"/>
  <c r="G23" i="12" a="1"/>
  <c r="G23" i="12" s="1"/>
  <c r="G27" i="12" a="1"/>
  <c r="G27" i="12" s="1"/>
  <c r="G29" i="12" a="1"/>
  <c r="G29" i="12" s="1"/>
  <c r="G33" i="12" a="1"/>
  <c r="G33" i="12" s="1"/>
  <c r="G35" i="12" a="1"/>
  <c r="G35" i="12" s="1"/>
  <c r="G39" i="12" a="1"/>
  <c r="G39" i="12" s="1"/>
  <c r="G41" i="12" a="1"/>
  <c r="G41" i="12" s="1"/>
  <c r="G45" i="12" a="1"/>
  <c r="G45" i="12" s="1"/>
  <c r="G47" i="12" a="1"/>
  <c r="G47" i="12" s="1"/>
  <c r="G51" i="12" a="1"/>
  <c r="G51" i="12" s="1"/>
  <c r="G53" i="12" a="1"/>
  <c r="G53" i="12" s="1"/>
  <c r="G57" i="12" a="1"/>
  <c r="G57" i="12" s="1"/>
  <c r="I51" i="2" a="1"/>
  <c r="I51" i="2" s="1"/>
  <c r="I35" i="2" a="1"/>
  <c r="I35" i="2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I39" i="2" a="1"/>
  <c r="I39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AH5" i="2"/>
  <c r="AV5" i="2" s="1" a="1"/>
  <c r="AV5" i="2" s="1"/>
  <c r="AH6" i="2"/>
  <c r="AV6" i="2" s="1" a="1"/>
  <c r="AV6" i="2" s="1"/>
  <c r="AH7" i="2"/>
  <c r="AJ7" i="2" s="1" a="1"/>
  <c r="AJ7" i="2" s="1"/>
  <c r="AL7" i="2" s="1" a="1"/>
  <c r="AL7" i="2" s="1"/>
  <c r="AH8" i="2"/>
  <c r="AJ8" i="2" s="1" a="1"/>
  <c r="AJ8" i="2" s="1"/>
  <c r="AL8" i="2" s="1" a="1"/>
  <c r="AL8" i="2" s="1"/>
  <c r="AN8" i="2" s="1" a="1"/>
  <c r="AN8" i="2" s="1"/>
  <c r="AO8" i="2" s="1" a="1"/>
  <c r="AO8" i="2" s="1"/>
  <c r="AH9" i="2"/>
  <c r="BF9" i="2" s="1" a="1"/>
  <c r="BF9" i="2" s="1"/>
  <c r="BG9" i="2" s="1" a="1"/>
  <c r="BG9" i="2" s="1"/>
  <c r="AH10" i="2"/>
  <c r="BD10" i="2" s="1" a="1"/>
  <c r="BD10" i="2" s="1"/>
  <c r="BE10" i="2" s="1" a="1"/>
  <c r="BE10" i="2" s="1"/>
  <c r="AH11" i="2"/>
  <c r="AI11" i="2" s="1" a="1"/>
  <c r="AI11" i="2" s="1"/>
  <c r="AH12" i="2"/>
  <c r="BB12" i="2" s="1" a="1"/>
  <c r="BB12" i="2" s="1"/>
  <c r="BC12" i="2" s="1" a="1"/>
  <c r="BC12" i="2" s="1"/>
  <c r="AH13" i="2"/>
  <c r="AJ13" i="2" s="1" a="1"/>
  <c r="AJ13" i="2" s="1"/>
  <c r="AH14" i="2"/>
  <c r="AP14" i="2" s="1" a="1"/>
  <c r="AP14" i="2" s="1"/>
  <c r="AR14" i="2" s="1" a="1"/>
  <c r="AR14" i="2" s="1"/>
  <c r="AH15" i="2"/>
  <c r="BB15" i="2" s="1" a="1"/>
  <c r="BB15" i="2" s="1"/>
  <c r="BC15" i="2" s="1" a="1"/>
  <c r="BC15" i="2" s="1"/>
  <c r="AH16" i="2"/>
  <c r="AI16" i="2" s="1" a="1"/>
  <c r="AI16" i="2" s="1"/>
  <c r="AH17" i="2"/>
  <c r="AJ17" i="2" s="1" a="1"/>
  <c r="AJ17" i="2" s="1"/>
  <c r="AH18" i="2"/>
  <c r="AI18" i="2" s="1" a="1"/>
  <c r="AI18" i="2" s="1"/>
  <c r="AH19" i="2"/>
  <c r="BB19" i="2" s="1" a="1"/>
  <c r="BB19" i="2" s="1"/>
  <c r="BC19" i="2" s="1" a="1"/>
  <c r="BC19" i="2" s="1"/>
  <c r="AH20" i="2"/>
  <c r="AV20" i="2" s="1" a="1"/>
  <c r="AV20" i="2" s="1"/>
  <c r="AH21" i="2"/>
  <c r="BF21" i="2" s="1" a="1"/>
  <c r="BF21" i="2" s="1"/>
  <c r="BG21" i="2" s="1" a="1"/>
  <c r="BG21" i="2" s="1"/>
  <c r="AH22" i="2"/>
  <c r="AP22" i="2" s="1" a="1"/>
  <c r="AP22" i="2" s="1"/>
  <c r="AH23" i="2"/>
  <c r="AP23" i="2" s="1" a="1"/>
  <c r="AP23" i="2" s="1"/>
  <c r="AH24" i="2"/>
  <c r="AP24" i="2" s="1" a="1"/>
  <c r="AP24" i="2" s="1"/>
  <c r="AQ24" i="2" s="1" a="1"/>
  <c r="AQ24" i="2" s="1"/>
  <c r="AH25" i="2"/>
  <c r="AH26" i="2"/>
  <c r="BB26" i="2" s="1" a="1"/>
  <c r="BB26" i="2" s="1"/>
  <c r="BC26" i="2" s="1" a="1"/>
  <c r="BC26" i="2" s="1"/>
  <c r="AH27" i="2"/>
  <c r="AI27" i="2" s="1" a="1"/>
  <c r="AI27" i="2" s="1"/>
  <c r="AH28" i="2"/>
  <c r="AV28" i="2" s="1" a="1"/>
  <c r="AV28" i="2" s="1"/>
  <c r="AH29" i="2"/>
  <c r="BB29" i="2" s="1" a="1"/>
  <c r="BB29" i="2" s="1"/>
  <c r="BC29" i="2" s="1" a="1"/>
  <c r="BC29" i="2" s="1"/>
  <c r="AH30" i="2"/>
  <c r="AP30" i="2" s="1" a="1"/>
  <c r="AP30" i="2" s="1"/>
  <c r="AR30" i="2" s="1" a="1"/>
  <c r="AR30" i="2" s="1"/>
  <c r="AT30" i="2" s="1" a="1"/>
  <c r="AT30" i="2" s="1"/>
  <c r="AU30" i="2" s="1" a="1"/>
  <c r="AU30" i="2" s="1"/>
  <c r="AH31" i="2"/>
  <c r="AJ31" i="2" s="1" a="1"/>
  <c r="AJ31" i="2" s="1"/>
  <c r="AL31" i="2" s="1" a="1"/>
  <c r="AL31" i="2" s="1"/>
  <c r="AH32" i="2"/>
  <c r="AV32" i="2" s="1" a="1"/>
  <c r="AV32" i="2" s="1"/>
  <c r="AH33" i="2"/>
  <c r="BF33" i="2" s="1" a="1"/>
  <c r="BF33" i="2" s="1"/>
  <c r="BG33" i="2" s="1" a="1"/>
  <c r="BG33" i="2" s="1"/>
  <c r="AH34" i="2"/>
  <c r="AJ34" i="2" s="1" a="1"/>
  <c r="AJ34" i="2" s="1"/>
  <c r="AL34" i="2" s="1" a="1"/>
  <c r="AL34" i="2" s="1"/>
  <c r="AH35" i="2"/>
  <c r="BD35" i="2" s="1" a="1"/>
  <c r="BD35" i="2" s="1"/>
  <c r="BE35" i="2" s="1" a="1"/>
  <c r="BE35" i="2" s="1"/>
  <c r="AH36" i="2"/>
  <c r="BD36" i="2" s="1" a="1"/>
  <c r="BD36" i="2" s="1"/>
  <c r="BE36" i="2" s="1" a="1"/>
  <c r="BE36" i="2" s="1"/>
  <c r="AH37" i="2"/>
  <c r="AH38" i="2"/>
  <c r="AP38" i="2" s="1" a="1"/>
  <c r="AP38" i="2" s="1"/>
  <c r="AR38" i="2" s="1" a="1"/>
  <c r="AR38" i="2" s="1"/>
  <c r="AT38" i="2" s="1" a="1"/>
  <c r="AT38" i="2" s="1"/>
  <c r="AU38" i="2" s="1" a="1"/>
  <c r="AU38" i="2" s="1"/>
  <c r="AH39" i="2"/>
  <c r="AJ39" i="2" s="1" a="1"/>
  <c r="AJ39" i="2" s="1"/>
  <c r="AH40" i="2"/>
  <c r="BD40" i="2" s="1" a="1"/>
  <c r="BD40" i="2" s="1"/>
  <c r="BE40" i="2" s="1" a="1"/>
  <c r="BE40" i="2" s="1"/>
  <c r="AH41" i="2"/>
  <c r="BB41" i="2" s="1" a="1"/>
  <c r="BB41" i="2" s="1"/>
  <c r="BC41" i="2" s="1" a="1"/>
  <c r="BC41" i="2" s="1"/>
  <c r="AH42" i="2"/>
  <c r="BF42" i="2" s="1" a="1"/>
  <c r="BF42" i="2" s="1"/>
  <c r="BG42" i="2" s="1" a="1"/>
  <c r="BG42" i="2" s="1"/>
  <c r="AH43" i="2"/>
  <c r="AV43" i="2" s="1" a="1"/>
  <c r="AV43" i="2" s="1"/>
  <c r="AH44" i="2"/>
  <c r="AJ44" i="2" s="1" a="1"/>
  <c r="AJ44" i="2" s="1"/>
  <c r="AH45" i="2"/>
  <c r="BF45" i="2" s="1" a="1"/>
  <c r="BF45" i="2" s="1"/>
  <c r="BG45" i="2" s="1" a="1"/>
  <c r="BG45" i="2" s="1"/>
  <c r="AH46" i="2"/>
  <c r="BB46" i="2" s="1" a="1"/>
  <c r="BB46" i="2" s="1"/>
  <c r="BC46" i="2" s="1" a="1"/>
  <c r="BC46" i="2" s="1"/>
  <c r="AH47" i="2"/>
  <c r="AH48" i="2"/>
  <c r="AH49" i="2"/>
  <c r="AV49" i="2" s="1" a="1"/>
  <c r="AV49" i="2" s="1"/>
  <c r="AW49" i="2" s="1" a="1"/>
  <c r="AW49" i="2" s="1"/>
  <c r="AH50" i="2"/>
  <c r="AP50" i="2" s="1" a="1"/>
  <c r="AP50" i="2" s="1"/>
  <c r="AH51" i="2"/>
  <c r="BD51" i="2" s="1" a="1"/>
  <c r="BD51" i="2" s="1"/>
  <c r="BE51" i="2" s="1" a="1"/>
  <c r="BE51" i="2" s="1"/>
  <c r="AH52" i="2"/>
  <c r="AV52" i="2" s="1" a="1"/>
  <c r="AV52" i="2" s="1"/>
  <c r="AX52" i="2" s="1" a="1"/>
  <c r="AX52" i="2" s="1"/>
  <c r="AH53" i="2"/>
  <c r="BF53" i="2" s="1" a="1"/>
  <c r="BF53" i="2" s="1"/>
  <c r="BG53" i="2" s="1" a="1"/>
  <c r="BG53" i="2" s="1"/>
  <c r="AH54" i="2"/>
  <c r="AH55" i="2"/>
  <c r="AV55" i="2" s="1" a="1"/>
  <c r="AV55" i="2" s="1"/>
  <c r="AW55" i="2" s="1" a="1"/>
  <c r="AW55" i="2" s="1"/>
  <c r="AH56" i="2"/>
  <c r="BF56" i="2" s="1" a="1"/>
  <c r="BF56" i="2" s="1"/>
  <c r="BG56" i="2" s="1" a="1"/>
  <c r="BG56" i="2" s="1"/>
  <c r="AH57" i="2"/>
  <c r="BF57" i="2" s="1" a="1"/>
  <c r="BF57" i="2" s="1"/>
  <c r="BG57" i="2" s="1" a="1"/>
  <c r="BG57" i="2" s="1"/>
  <c r="AH58" i="2"/>
  <c r="I27" i="2" a="1"/>
  <c r="I27" i="2" s="1"/>
  <c r="I41" i="2" a="1"/>
  <c r="I41" i="2" s="1"/>
  <c r="I9" i="2" a="1"/>
  <c r="I9" i="2" s="1"/>
  <c r="I55" i="2" a="1"/>
  <c r="I55" i="2" s="1"/>
  <c r="I49" i="2" a="1"/>
  <c r="I49" i="2" s="1"/>
  <c r="I43" i="2" a="1"/>
  <c r="I43" i="2" s="1"/>
  <c r="I37" i="2" a="1"/>
  <c r="I37" i="2" s="1"/>
  <c r="I31" i="2" a="1"/>
  <c r="I31" i="2" s="1"/>
  <c r="I25" i="2" a="1"/>
  <c r="I25" i="2" s="1"/>
  <c r="I19" i="2" a="1"/>
  <c r="I19" i="2" s="1"/>
  <c r="I7" i="2" a="1"/>
  <c r="I7" i="2" s="1"/>
  <c r="I13" i="2" a="1"/>
  <c r="I13" i="2" s="1"/>
  <c r="I5" i="2" a="1"/>
  <c r="I5" i="2" s="1"/>
  <c r="I6" i="2" a="1"/>
  <c r="I6" i="2" s="1"/>
  <c r="I8" i="2" a="1"/>
  <c r="I8" i="2" s="1"/>
  <c r="I11" i="2" a="1"/>
  <c r="I11" i="2" s="1"/>
  <c r="I12" i="2" a="1"/>
  <c r="I12" i="2" s="1"/>
  <c r="I14" i="2" a="1"/>
  <c r="I14" i="2" s="1"/>
  <c r="I15" i="2" a="1"/>
  <c r="I15" i="2" s="1"/>
  <c r="I17" i="2" a="1"/>
  <c r="I17" i="2" s="1"/>
  <c r="I18" i="2" a="1"/>
  <c r="I18" i="2" s="1"/>
  <c r="I20" i="2" a="1"/>
  <c r="I20" i="2" s="1"/>
  <c r="I21" i="2" a="1"/>
  <c r="I21" i="2" s="1"/>
  <c r="I23" i="2" a="1"/>
  <c r="I23" i="2" s="1"/>
  <c r="I24" i="2" a="1"/>
  <c r="I24" i="2" s="1"/>
  <c r="I26" i="2" a="1"/>
  <c r="I26" i="2" s="1"/>
  <c r="I29" i="2" a="1"/>
  <c r="I29" i="2" s="1"/>
  <c r="I30" i="2" a="1"/>
  <c r="I30" i="2" s="1"/>
  <c r="I32" i="2" a="1"/>
  <c r="I32" i="2" s="1"/>
  <c r="I33" i="2" a="1"/>
  <c r="I33" i="2" s="1"/>
  <c r="I36" i="2" a="1"/>
  <c r="I36" i="2" s="1"/>
  <c r="I38" i="2" a="1"/>
  <c r="I38" i="2" s="1"/>
  <c r="I42" i="2" a="1"/>
  <c r="I42" i="2" s="1"/>
  <c r="I44" i="2" a="1"/>
  <c r="I44" i="2" s="1"/>
  <c r="I45" i="2" a="1"/>
  <c r="I45" i="2" s="1"/>
  <c r="I47" i="2" a="1"/>
  <c r="I47" i="2" s="1"/>
  <c r="I48" i="2" a="1"/>
  <c r="I48" i="2" s="1"/>
  <c r="I50" i="2" a="1"/>
  <c r="I50" i="2" s="1"/>
  <c r="I53" i="2" a="1"/>
  <c r="I53" i="2" s="1"/>
  <c r="I54" i="2" a="1"/>
  <c r="I54" i="2" s="1"/>
  <c r="I56" i="2" a="1"/>
  <c r="I56" i="2" s="1"/>
  <c r="I57" i="2" a="1"/>
  <c r="I57" i="2" s="1"/>
  <c r="F5" i="2" a="1"/>
  <c r="F5" i="2" s="1"/>
  <c r="G5" i="2" s="1"/>
  <c r="F6" i="2" a="1"/>
  <c r="F6" i="2" s="1"/>
  <c r="G6" i="2" s="1"/>
  <c r="F7" i="2" a="1"/>
  <c r="F7" i="2" s="1"/>
  <c r="G7" i="2" s="1"/>
  <c r="F8" i="2" a="1"/>
  <c r="F8" i="2" s="1"/>
  <c r="G8" i="2" s="1"/>
  <c r="F9" i="2" a="1"/>
  <c r="F9" i="2" s="1"/>
  <c r="G9" i="2" s="1"/>
  <c r="F10" i="2" a="1"/>
  <c r="F10" i="2" s="1"/>
  <c r="G10" i="2" s="1"/>
  <c r="F11" i="2" a="1"/>
  <c r="F11" i="2" s="1"/>
  <c r="G11" i="2" s="1"/>
  <c r="F12" i="2" a="1"/>
  <c r="F12" i="2" s="1"/>
  <c r="G12" i="2" s="1"/>
  <c r="F13" i="2" a="1"/>
  <c r="F13" i="2" s="1"/>
  <c r="G13" i="2" s="1"/>
  <c r="F14" i="2" a="1"/>
  <c r="F14" i="2" s="1"/>
  <c r="G14" i="2" s="1"/>
  <c r="F15" i="2" a="1"/>
  <c r="F15" i="2" s="1"/>
  <c r="G15" i="2" s="1"/>
  <c r="F16" i="2" a="1"/>
  <c r="F16" i="2" s="1"/>
  <c r="G16" i="2" s="1"/>
  <c r="F17" i="2" a="1"/>
  <c r="F17" i="2" s="1"/>
  <c r="G17" i="2" s="1"/>
  <c r="F18" i="2" a="1"/>
  <c r="F18" i="2" s="1"/>
  <c r="G18" i="2" s="1"/>
  <c r="F19" i="2" a="1"/>
  <c r="F19" i="2" s="1"/>
  <c r="G19" i="2" s="1"/>
  <c r="F20" i="2" a="1"/>
  <c r="F20" i="2" s="1"/>
  <c r="G20" i="2" s="1"/>
  <c r="F21" i="2" a="1"/>
  <c r="F21" i="2" s="1"/>
  <c r="G21" i="2" s="1"/>
  <c r="F22" i="2" a="1"/>
  <c r="F22" i="2" s="1"/>
  <c r="G22" i="2" s="1"/>
  <c r="F23" i="2" a="1"/>
  <c r="F23" i="2" s="1"/>
  <c r="G23" i="2" s="1"/>
  <c r="F24" i="2" a="1"/>
  <c r="F24" i="2" s="1"/>
  <c r="G24" i="2" s="1"/>
  <c r="F25" i="2" a="1"/>
  <c r="F25" i="2" s="1"/>
  <c r="G25" i="2" s="1"/>
  <c r="F26" i="2" a="1"/>
  <c r="F26" i="2" s="1"/>
  <c r="G26" i="2" s="1"/>
  <c r="F27" i="2" a="1"/>
  <c r="F27" i="2" s="1"/>
  <c r="G27" i="2" s="1"/>
  <c r="F28" i="2" a="1"/>
  <c r="F28" i="2" s="1"/>
  <c r="G28" i="2" s="1"/>
  <c r="F29" i="2" a="1"/>
  <c r="F29" i="2" s="1"/>
  <c r="G29" i="2" s="1"/>
  <c r="F30" i="2" a="1"/>
  <c r="F30" i="2" s="1"/>
  <c r="G30" i="2" s="1"/>
  <c r="F31" i="2" a="1"/>
  <c r="F31" i="2" s="1"/>
  <c r="G31" i="2" s="1"/>
  <c r="F32" i="2" a="1"/>
  <c r="F32" i="2" s="1"/>
  <c r="G32" i="2" s="1"/>
  <c r="F33" i="2" a="1"/>
  <c r="F33" i="2" s="1"/>
  <c r="G33" i="2" s="1"/>
  <c r="F34" i="2" a="1"/>
  <c r="F34" i="2" s="1"/>
  <c r="G34" i="2" s="1"/>
  <c r="F35" i="2" a="1"/>
  <c r="F35" i="2" s="1"/>
  <c r="G35" i="2" s="1"/>
  <c r="F36" i="2" a="1"/>
  <c r="F36" i="2" s="1"/>
  <c r="G36" i="2" s="1"/>
  <c r="F37" i="2" a="1"/>
  <c r="F37" i="2" s="1"/>
  <c r="G37" i="2" s="1"/>
  <c r="F38" i="2" a="1"/>
  <c r="F38" i="2" s="1"/>
  <c r="G38" i="2" s="1"/>
  <c r="F39" i="2" a="1"/>
  <c r="F39" i="2" s="1"/>
  <c r="G39" i="2" s="1"/>
  <c r="F40" i="2" a="1"/>
  <c r="F40" i="2" s="1"/>
  <c r="G40" i="2" s="1"/>
  <c r="F41" i="2" a="1"/>
  <c r="F41" i="2" s="1"/>
  <c r="G41" i="2" s="1"/>
  <c r="F42" i="2" a="1"/>
  <c r="F42" i="2" s="1"/>
  <c r="G42" i="2" s="1"/>
  <c r="F43" i="2" a="1"/>
  <c r="F43" i="2" s="1"/>
  <c r="G43" i="2" s="1"/>
  <c r="F44" i="2" a="1"/>
  <c r="F44" i="2" s="1"/>
  <c r="G44" i="2" s="1"/>
  <c r="F45" i="2" a="1"/>
  <c r="F45" i="2" s="1"/>
  <c r="G45" i="2" s="1"/>
  <c r="F46" i="2" a="1"/>
  <c r="F46" i="2" s="1"/>
  <c r="G46" i="2" s="1"/>
  <c r="F47" i="2" a="1"/>
  <c r="F47" i="2" s="1"/>
  <c r="G47" i="2" s="1"/>
  <c r="F48" i="2" a="1"/>
  <c r="F48" i="2" s="1"/>
  <c r="G48" i="2" s="1"/>
  <c r="F49" i="2" a="1"/>
  <c r="F49" i="2" s="1"/>
  <c r="G49" i="2" s="1"/>
  <c r="F50" i="2" a="1"/>
  <c r="F50" i="2" s="1"/>
  <c r="G50" i="2" s="1"/>
  <c r="F51" i="2" a="1"/>
  <c r="F51" i="2" s="1"/>
  <c r="G51" i="2" s="1"/>
  <c r="F52" i="2" a="1"/>
  <c r="F52" i="2" s="1"/>
  <c r="G52" i="2" s="1"/>
  <c r="F53" i="2" a="1"/>
  <c r="F53" i="2" s="1"/>
  <c r="G53" i="2" s="1"/>
  <c r="F54" i="2" a="1"/>
  <c r="F54" i="2" s="1"/>
  <c r="G54" i="2" s="1"/>
  <c r="F55" i="2" a="1"/>
  <c r="F55" i="2" s="1"/>
  <c r="G55" i="2" s="1"/>
  <c r="F56" i="2" a="1"/>
  <c r="F56" i="2" s="1"/>
  <c r="G56" i="2" s="1"/>
  <c r="F57" i="2" a="1"/>
  <c r="F57" i="2" s="1"/>
  <c r="G57" i="2" s="1"/>
  <c r="F58" i="2" a="1"/>
  <c r="F58" i="2" s="1"/>
  <c r="G58" i="2" s="1"/>
  <c r="BF44" i="2" a="1"/>
  <c r="BF44" i="2" s="1"/>
  <c r="BG44" i="2" s="1" a="1"/>
  <c r="BG44" i="2" s="1"/>
  <c r="BD55" i="2" a="1"/>
  <c r="BD55" i="2" s="1"/>
  <c r="BE55" i="2" s="1" a="1"/>
  <c r="BE55" i="2" s="1"/>
  <c r="BF55" i="2" a="1"/>
  <c r="BF55" i="2" s="1"/>
  <c r="BG55" i="2" s="1" a="1"/>
  <c r="BG55" i="2" s="1"/>
  <c r="BD12" i="2" a="1"/>
  <c r="BD12" i="2" s="1"/>
  <c r="BE12" i="2" s="1" a="1"/>
  <c r="BE12" i="2" s="1"/>
  <c r="BD5" i="2" a="1"/>
  <c r="BD5" i="2" s="1"/>
  <c r="BE5" i="2" s="1" a="1"/>
  <c r="BE5" i="2" s="1"/>
  <c r="BF40" i="2" a="1"/>
  <c r="BF40" i="2" s="1"/>
  <c r="BG40" i="2" s="1" a="1"/>
  <c r="BG40" i="2" s="1"/>
  <c r="BD50" i="2" a="1"/>
  <c r="BD50" i="2" s="1"/>
  <c r="BE50" i="2" s="1" a="1"/>
  <c r="BE50" i="2" s="1"/>
  <c r="BD16" i="2" a="1"/>
  <c r="BD16" i="2" s="1"/>
  <c r="BE16" i="2" s="1" a="1"/>
  <c r="BE16" i="2" s="1"/>
  <c r="BF28" i="2" a="1"/>
  <c r="BF28" i="2" s="1"/>
  <c r="BG28" i="2" s="1" a="1"/>
  <c r="BG28" i="2" s="1"/>
  <c r="BF27" i="2" a="1"/>
  <c r="BF27" i="2" s="1"/>
  <c r="BG27" i="2" s="1" a="1"/>
  <c r="BG27" i="2" s="1"/>
  <c r="BF12" i="2" a="1"/>
  <c r="BF12" i="2" s="1"/>
  <c r="BG12" i="2" s="1" a="1"/>
  <c r="BG12" i="2" s="1"/>
  <c r="BF24" i="2" a="1"/>
  <c r="BF24" i="2" s="1"/>
  <c r="BG24" i="2" s="1" a="1"/>
  <c r="BG24" i="2" s="1"/>
  <c r="AJ28" i="2" a="1"/>
  <c r="AJ28" i="2" s="1"/>
  <c r="AJ42" i="2" a="1"/>
  <c r="AJ42" i="2" s="1"/>
  <c r="AK42" i="2" s="1" a="1"/>
  <c r="AK42" i="2" s="1"/>
  <c r="BD22" i="2" a="1"/>
  <c r="BD22" i="2" s="1"/>
  <c r="BE22" i="2" s="1" a="1"/>
  <c r="BE22" i="2" s="1"/>
  <c r="BD9" i="2" a="1"/>
  <c r="BD9" i="2" s="1"/>
  <c r="BE9" i="2" s="1" a="1"/>
  <c r="BE9" i="2" s="1"/>
  <c r="BD44" i="2" a="1"/>
  <c r="BD44" i="2" s="1"/>
  <c r="BE44" i="2" s="1" a="1"/>
  <c r="BE44" i="2" s="1"/>
  <c r="BD32" i="2" a="1"/>
  <c r="BD32" i="2" s="1"/>
  <c r="BE32" i="2" s="1" a="1"/>
  <c r="BE32" i="2" s="1"/>
  <c r="AJ20" i="2" a="1"/>
  <c r="AJ20" i="2" s="1"/>
  <c r="AL20" i="2" s="1" a="1"/>
  <c r="AL20" i="2" s="1"/>
  <c r="AJ38" i="2" a="1"/>
  <c r="AJ38" i="2" s="1"/>
  <c r="AQ14" i="2" a="1"/>
  <c r="AQ14" i="2" s="1"/>
  <c r="AR24" i="2" a="1"/>
  <c r="AR24" i="2" s="1"/>
  <c r="AT24" i="2" s="1" a="1"/>
  <c r="AT24" i="2" s="1"/>
  <c r="AU24" i="2" s="1" a="1"/>
  <c r="AU24" i="2" s="1"/>
  <c r="AK7" i="2" a="1"/>
  <c r="AK7" i="2" s="1"/>
  <c r="AW52" i="2" a="1"/>
  <c r="AW52" i="2" s="1"/>
  <c r="BF18" i="2" l="1" a="1"/>
  <c r="BF18" i="2" s="1"/>
  <c r="BG18" i="2" s="1" a="1"/>
  <c r="BG18" i="2" s="1"/>
  <c r="BD24" i="2" a="1"/>
  <c r="BD24" i="2" s="1"/>
  <c r="BE24" i="2" s="1" a="1"/>
  <c r="BE24" i="2" s="1"/>
  <c r="AJ18" i="2" a="1"/>
  <c r="AJ18" i="2" s="1"/>
  <c r="AK18" i="2" s="1" a="1"/>
  <c r="AK18" i="2" s="1"/>
  <c r="BF34" i="2" a="1"/>
  <c r="BF34" i="2" s="1"/>
  <c r="BG34" i="2" s="1" a="1"/>
  <c r="BG34" i="2" s="1"/>
  <c r="BD42" i="2" a="1"/>
  <c r="BD42" i="2" s="1"/>
  <c r="BE42" i="2" s="1" a="1"/>
  <c r="BE42" i="2" s="1"/>
  <c r="BD30" i="2" a="1"/>
  <c r="BD30" i="2" s="1"/>
  <c r="BE30" i="2" s="1" a="1"/>
  <c r="BE30" i="2" s="1"/>
  <c r="BD7" i="2" a="1"/>
  <c r="BD7" i="2" s="1"/>
  <c r="BE7" i="2" s="1" a="1"/>
  <c r="BE7" i="2" s="1"/>
  <c r="AQ30" i="2" a="1"/>
  <c r="AQ30" i="2" s="1"/>
  <c r="BF22" i="2" a="1"/>
  <c r="BF22" i="2" s="1"/>
  <c r="BG22" i="2" s="1" a="1"/>
  <c r="BG22" i="2" s="1"/>
  <c r="BD18" i="2" a="1"/>
  <c r="BD18" i="2" s="1"/>
  <c r="BE18" i="2" s="1" a="1"/>
  <c r="BE18" i="2" s="1"/>
  <c r="BD26" i="2" a="1"/>
  <c r="BD26" i="2" s="1"/>
  <c r="BE26" i="2" s="1" a="1"/>
  <c r="BE26" i="2" s="1"/>
  <c r="BF16" i="2" a="1"/>
  <c r="BF16" i="2" s="1"/>
  <c r="BG16" i="2" s="1" a="1"/>
  <c r="BG16" i="2" s="1"/>
  <c r="BF26" i="2" a="1"/>
  <c r="BF26" i="2" s="1"/>
  <c r="BG26" i="2" s="1" a="1"/>
  <c r="BG26" i="2" s="1"/>
  <c r="BF46" i="2" a="1"/>
  <c r="BF46" i="2" s="1"/>
  <c r="BG46" i="2" s="1" a="1"/>
  <c r="BG46" i="2" s="1"/>
  <c r="BF14" i="2" a="1"/>
  <c r="BF14" i="2" s="1"/>
  <c r="BG14" i="2" s="1" a="1"/>
  <c r="BG14" i="2" s="1"/>
  <c r="BF20" i="2" a="1"/>
  <c r="BF20" i="2" s="1"/>
  <c r="BG20" i="2" s="1" a="1"/>
  <c r="BG20" i="2" s="1"/>
  <c r="BB5" i="2" a="1"/>
  <c r="BB5" i="2" s="1"/>
  <c r="BC5" i="2" s="1" a="1"/>
  <c r="BC5" i="2" s="1"/>
  <c r="BF11" i="2" a="1"/>
  <c r="BF11" i="2" s="1"/>
  <c r="BG11" i="2" s="1" a="1"/>
  <c r="BG11" i="2" s="1"/>
  <c r="AJ50" i="2" a="1"/>
  <c r="AJ50" i="2" s="1"/>
  <c r="AL50" i="2" s="1" a="1"/>
  <c r="AL50" i="2" s="1"/>
  <c r="AJ40" i="2" a="1"/>
  <c r="AJ40" i="2" s="1"/>
  <c r="BF32" i="2" a="1"/>
  <c r="BF32" i="2" s="1"/>
  <c r="BG32" i="2" s="1" a="1"/>
  <c r="BG32" i="2" s="1"/>
  <c r="BF7" i="2" a="1"/>
  <c r="BF7" i="2" s="1"/>
  <c r="BG7" i="2" s="1" a="1"/>
  <c r="BG7" i="2" s="1"/>
  <c r="BD28" i="2" a="1"/>
  <c r="BD28" i="2" s="1"/>
  <c r="BE28" i="2" s="1" a="1"/>
  <c r="BE28" i="2" s="1"/>
  <c r="BD20" i="2" a="1"/>
  <c r="BD20" i="2" s="1"/>
  <c r="BE20" i="2" s="1" a="1"/>
  <c r="BE20" i="2" s="1"/>
  <c r="BF30" i="2" a="1"/>
  <c r="BF30" i="2" s="1"/>
  <c r="BG30" i="2" s="1" a="1"/>
  <c r="BG30" i="2" s="1"/>
  <c r="BF5" i="2" a="1"/>
  <c r="BF5" i="2" s="1"/>
  <c r="BG5" i="2" s="1" a="1"/>
  <c r="BG5" i="2" s="1"/>
  <c r="BF49" i="2" a="1"/>
  <c r="BF49" i="2" s="1"/>
  <c r="BG49" i="2" s="1" a="1"/>
  <c r="BG49" i="2" s="1"/>
  <c r="AI14" i="2" a="1"/>
  <c r="AI14" i="2" s="1"/>
  <c r="AS38" i="2" a="1"/>
  <c r="AS38" i="2" s="1"/>
  <c r="BF50" i="2" a="1"/>
  <c r="BF50" i="2" s="1"/>
  <c r="BG50" i="2" s="1" a="1"/>
  <c r="BG50" i="2" s="1"/>
  <c r="AQ38" i="2" a="1"/>
  <c r="AQ38" i="2" s="1"/>
  <c r="BF36" i="2" a="1"/>
  <c r="BF36" i="2" s="1"/>
  <c r="BG36" i="2" s="1" a="1"/>
  <c r="BG36" i="2" s="1"/>
  <c r="BD27" i="2" a="1"/>
  <c r="BD27" i="2" s="1"/>
  <c r="BE27" i="2" s="1" a="1"/>
  <c r="BE27" i="2" s="1"/>
  <c r="AX55" i="2" a="1"/>
  <c r="AX55" i="2" s="1"/>
  <c r="BF51" i="2" a="1"/>
  <c r="BF51" i="2" s="1"/>
  <c r="BG51" i="2" s="1" a="1"/>
  <c r="BG51" i="2" s="1"/>
  <c r="BD53" i="2" a="1"/>
  <c r="BD53" i="2" s="1"/>
  <c r="BE53" i="2" s="1" a="1"/>
  <c r="BE53" i="2" s="1"/>
  <c r="BF38" i="2" a="1"/>
  <c r="BF38" i="2" s="1"/>
  <c r="BG38" i="2" s="1" a="1"/>
  <c r="BG38" i="2" s="1"/>
  <c r="BD14" i="2" a="1"/>
  <c r="BD14" i="2" s="1"/>
  <c r="BE14" i="2" s="1" a="1"/>
  <c r="BE14" i="2" s="1"/>
  <c r="AJ49" i="2" a="1"/>
  <c r="AJ49" i="2" s="1"/>
  <c r="AL49" i="2" s="1" a="1"/>
  <c r="AL49" i="2" s="1"/>
  <c r="BF15" i="2" a="1"/>
  <c r="BF15" i="2" s="1"/>
  <c r="BG15" i="2" s="1" a="1"/>
  <c r="BG15" i="2" s="1"/>
  <c r="AX49" i="2" a="1"/>
  <c r="AX49" i="2" s="1"/>
  <c r="AZ49" i="2" s="1" a="1"/>
  <c r="AZ49" i="2" s="1"/>
  <c r="BA49" i="2" s="1" a="1"/>
  <c r="BA49" i="2" s="1"/>
  <c r="AJ22" i="2" a="1"/>
  <c r="AJ22" i="2" s="1"/>
  <c r="BD34" i="2" a="1"/>
  <c r="BD34" i="2" s="1"/>
  <c r="BE34" i="2" s="1" a="1"/>
  <c r="BE34" i="2" s="1"/>
  <c r="BD11" i="2" a="1"/>
  <c r="BD11" i="2" s="1"/>
  <c r="BE11" i="2" s="1" a="1"/>
  <c r="BE11" i="2" s="1"/>
  <c r="AK34" i="2" a="1"/>
  <c r="AK34" i="2" s="1"/>
  <c r="AJ46" i="2" a="1"/>
  <c r="AJ46" i="2" s="1"/>
  <c r="BD39" i="2" a="1"/>
  <c r="BD39" i="2" s="1"/>
  <c r="BE39" i="2" s="1" a="1"/>
  <c r="BE39" i="2" s="1"/>
  <c r="BD23" i="2" a="1"/>
  <c r="BD23" i="2" s="1"/>
  <c r="BE23" i="2" s="1" a="1"/>
  <c r="BE23" i="2" s="1"/>
  <c r="BD17" i="2" a="1"/>
  <c r="BD17" i="2" s="1"/>
  <c r="BE17" i="2" s="1" a="1"/>
  <c r="BE17" i="2" s="1"/>
  <c r="BD49" i="2" a="1"/>
  <c r="BD49" i="2" s="1"/>
  <c r="BE49" i="2" s="1" a="1"/>
  <c r="BE49" i="2" s="1"/>
  <c r="AI52" i="2" a="1"/>
  <c r="AI52" i="2" s="1"/>
  <c r="AX43" i="2" a="1"/>
  <c r="AX43" i="2" s="1"/>
  <c r="AZ43" i="2" s="1" a="1"/>
  <c r="AZ43" i="2" s="1"/>
  <c r="BA43" i="2" s="1" a="1"/>
  <c r="BA43" i="2" s="1"/>
  <c r="AW43" i="2" a="1"/>
  <c r="AW43" i="2" s="1"/>
  <c r="AZ52" i="2" a="1"/>
  <c r="AZ52" i="2" s="1"/>
  <c r="BA52" i="2" s="1" a="1"/>
  <c r="BA52" i="2" s="1"/>
  <c r="AY52" i="2" a="1"/>
  <c r="AY52" i="2" s="1"/>
  <c r="BF47" i="2" a="1"/>
  <c r="BF47" i="2" s="1"/>
  <c r="BG47" i="2" s="1" a="1"/>
  <c r="BG47" i="2" s="1"/>
  <c r="BF6" i="2" a="1"/>
  <c r="BF6" i="2" s="1"/>
  <c r="BG6" i="2" s="1" a="1"/>
  <c r="BG6" i="2" s="1"/>
  <c r="BF17" i="2" a="1"/>
  <c r="BF17" i="2" s="1"/>
  <c r="BG17" i="2" s="1" a="1"/>
  <c r="BG17" i="2" s="1"/>
  <c r="AK20" i="2" a="1"/>
  <c r="AK20" i="2" s="1"/>
  <c r="BF8" i="2" a="1"/>
  <c r="BF8" i="2" s="1"/>
  <c r="BG8" i="2" s="1" a="1"/>
  <c r="BG8" i="2" s="1"/>
  <c r="BD8" i="2" a="1"/>
  <c r="BD8" i="2" s="1"/>
  <c r="BE8" i="2" s="1" a="1"/>
  <c r="BE8" i="2" s="1"/>
  <c r="BF41" i="2" a="1"/>
  <c r="BF41" i="2" s="1"/>
  <c r="BG41" i="2" s="1" a="1"/>
  <c r="BG41" i="2" s="1"/>
  <c r="BF39" i="2" a="1"/>
  <c r="BF39" i="2" s="1"/>
  <c r="BG39" i="2" s="1" a="1"/>
  <c r="BG39" i="2" s="1"/>
  <c r="AJ19" i="2" a="1"/>
  <c r="AJ19" i="2" s="1"/>
  <c r="BD29" i="2" a="1"/>
  <c r="BD29" i="2" s="1"/>
  <c r="BE29" i="2" s="1" a="1"/>
  <c r="BE29" i="2" s="1"/>
  <c r="BD15" i="2" a="1"/>
  <c r="BD15" i="2" s="1"/>
  <c r="BE15" i="2" s="1" a="1"/>
  <c r="BE15" i="2" s="1"/>
  <c r="BD52" i="2" a="1"/>
  <c r="BD52" i="2" s="1"/>
  <c r="BE52" i="2" s="1" a="1"/>
  <c r="BE52" i="2" s="1"/>
  <c r="AM8" i="2" a="1"/>
  <c r="AM8" i="2" s="1"/>
  <c r="BD54" i="2" a="1"/>
  <c r="BD54" i="2" s="1"/>
  <c r="BE54" i="2" s="1" a="1"/>
  <c r="BE54" i="2" s="1"/>
  <c r="BD6" i="2" a="1"/>
  <c r="BD6" i="2" s="1"/>
  <c r="BE6" i="2" s="1" a="1"/>
  <c r="BE6" i="2" s="1"/>
  <c r="BF52" i="2" a="1"/>
  <c r="BF52" i="2" s="1"/>
  <c r="BG52" i="2" s="1" a="1"/>
  <c r="BG52" i="2" s="1"/>
  <c r="AJ15" i="2" a="1"/>
  <c r="AJ15" i="2" s="1"/>
  <c r="AK15" i="2" s="1" a="1"/>
  <c r="AK15" i="2" s="1"/>
  <c r="BD56" i="2" a="1"/>
  <c r="BD56" i="2" s="1"/>
  <c r="BE56" i="2" s="1" a="1"/>
  <c r="BE56" i="2" s="1"/>
  <c r="BF23" i="2" a="1"/>
  <c r="BF23" i="2" s="1"/>
  <c r="BG23" i="2" s="1" a="1"/>
  <c r="BG23" i="2" s="1"/>
  <c r="BF29" i="2" a="1"/>
  <c r="BF29" i="2" s="1"/>
  <c r="BG29" i="2" s="1" a="1"/>
  <c r="BG29" i="2" s="1"/>
  <c r="BD19" i="2" a="1"/>
  <c r="BD19" i="2" s="1"/>
  <c r="BE19" i="2" s="1" a="1"/>
  <c r="BE19" i="2" s="1"/>
  <c r="BF19" i="2" a="1"/>
  <c r="BF19" i="2" s="1"/>
  <c r="BG19" i="2" s="1" a="1"/>
  <c r="BG19" i="2" s="1"/>
  <c r="AK8" i="2" a="1"/>
  <c r="AK8" i="2" s="1"/>
  <c r="AJ52" i="2" a="1"/>
  <c r="AJ52" i="2" s="1"/>
  <c r="AL52" i="2" s="1" a="1"/>
  <c r="AL52" i="2" s="1"/>
  <c r="BD41" i="2" a="1"/>
  <c r="BD41" i="2" s="1"/>
  <c r="BE41" i="2" s="1" a="1"/>
  <c r="BE41" i="2" s="1"/>
  <c r="AI32" i="2" a="1"/>
  <c r="AI32" i="2" s="1"/>
  <c r="AP48" i="2" a="1"/>
  <c r="AP48" i="2" s="1"/>
  <c r="AR48" i="2" s="1" a="1"/>
  <c r="AR48" i="2" s="1"/>
  <c r="AT48" i="2" s="1" a="1"/>
  <c r="AT48" i="2" s="1"/>
  <c r="AU48" i="2" s="1" a="1"/>
  <c r="AU48" i="2" s="1"/>
  <c r="AJ48" i="2" a="1"/>
  <c r="AJ48" i="2" s="1"/>
  <c r="BD48" i="2" a="1"/>
  <c r="BD48" i="2" s="1"/>
  <c r="BE48" i="2" s="1" a="1"/>
  <c r="BE48" i="2" s="1"/>
  <c r="AI48" i="2" a="1"/>
  <c r="AI48" i="2" s="1"/>
  <c r="BF48" i="2" a="1"/>
  <c r="BF48" i="2" s="1"/>
  <c r="BG48" i="2" s="1" a="1"/>
  <c r="BG48" i="2" s="1"/>
  <c r="AP37" i="2" a="1"/>
  <c r="AP37" i="2" s="1"/>
  <c r="BB37" i="2" a="1"/>
  <c r="BB37" i="2" s="1"/>
  <c r="BC37" i="2" s="1" a="1"/>
  <c r="BC37" i="2" s="1"/>
  <c r="BF37" i="2" a="1"/>
  <c r="BF37" i="2" s="1"/>
  <c r="BG37" i="2" s="1" a="1"/>
  <c r="BG37" i="2" s="1"/>
  <c r="BD37" i="2" a="1"/>
  <c r="BD37" i="2" s="1"/>
  <c r="BE37" i="2" s="1" a="1"/>
  <c r="BE37" i="2" s="1"/>
  <c r="AV37" i="2" a="1"/>
  <c r="AV37" i="2" s="1"/>
  <c r="AI37" i="2" a="1"/>
  <c r="AI37" i="2" s="1"/>
  <c r="AJ37" i="2" a="1"/>
  <c r="AJ37" i="2" s="1"/>
  <c r="AK37" i="2" s="1" a="1"/>
  <c r="AK37" i="2" s="1"/>
  <c r="AP25" i="2" a="1"/>
  <c r="AP25" i="2" s="1"/>
  <c r="BD25" i="2" a="1"/>
  <c r="BD25" i="2" s="1"/>
  <c r="BE25" i="2" s="1" a="1"/>
  <c r="BE25" i="2" s="1"/>
  <c r="BF25" i="2" a="1"/>
  <c r="BF25" i="2" s="1"/>
  <c r="BG25" i="2" s="1" a="1"/>
  <c r="BG25" i="2" s="1"/>
  <c r="AJ25" i="2" a="1"/>
  <c r="AJ25" i="2" s="1"/>
  <c r="AI13" i="2" a="1"/>
  <c r="AI13" i="2" s="1"/>
  <c r="BF13" i="2" a="1"/>
  <c r="BF13" i="2" s="1"/>
  <c r="BG13" i="2" s="1" a="1"/>
  <c r="BG13" i="2" s="1"/>
  <c r="AP13" i="2" a="1"/>
  <c r="AP13" i="2" s="1"/>
  <c r="BD13" i="2" a="1"/>
  <c r="BD13" i="2" s="1"/>
  <c r="BE13" i="2" s="1" a="1"/>
  <c r="BE13" i="2" s="1"/>
  <c r="AY49" i="2" a="1"/>
  <c r="AY49" i="2" s="1"/>
  <c r="AP58" i="2" a="1"/>
  <c r="AP58" i="2" s="1"/>
  <c r="AQ58" i="2" s="1" a="1"/>
  <c r="AQ58" i="2" s="1"/>
  <c r="BD58" i="2" a="1"/>
  <c r="BD58" i="2" s="1"/>
  <c r="BE58" i="2" s="1" a="1"/>
  <c r="BE58" i="2" s="1"/>
  <c r="AJ58" i="2" a="1"/>
  <c r="AJ58" i="2" s="1"/>
  <c r="AL58" i="2" s="1" a="1"/>
  <c r="AL58" i="2" s="1"/>
  <c r="BB36" i="2" a="1"/>
  <c r="BB36" i="2" s="1"/>
  <c r="BC36" i="2" s="1" a="1"/>
  <c r="BC36" i="2" s="1"/>
  <c r="AP36" i="2" a="1"/>
  <c r="AP36" i="2" s="1"/>
  <c r="AJ36" i="2" a="1"/>
  <c r="AJ36" i="2" s="1"/>
  <c r="AL36" i="2" s="1" a="1"/>
  <c r="AL36" i="2" s="1"/>
  <c r="BD57" i="2" a="1"/>
  <c r="BD57" i="2" s="1"/>
  <c r="BE57" i="2" s="1" a="1"/>
  <c r="BE57" i="2" s="1"/>
  <c r="AI47" i="2" a="1"/>
  <c r="AI47" i="2" s="1"/>
  <c r="BD47" i="2" a="1"/>
  <c r="BD47" i="2" s="1"/>
  <c r="BE47" i="2" s="1" a="1"/>
  <c r="BE47" i="2" s="1"/>
  <c r="AV56" i="2" a="1"/>
  <c r="AV56" i="2" s="1"/>
  <c r="AP56" i="2" a="1"/>
  <c r="AP56" i="2" s="1"/>
  <c r="AJ56" i="2" a="1"/>
  <c r="AJ56" i="2" s="1"/>
  <c r="AJ33" i="2" a="1"/>
  <c r="AJ33" i="2" s="1"/>
  <c r="BD33" i="2" a="1"/>
  <c r="BD33" i="2" s="1"/>
  <c r="BE33" i="2" s="1" a="1"/>
  <c r="BE33" i="2" s="1"/>
  <c r="AJ32" i="2" a="1"/>
  <c r="AJ32" i="2" s="1"/>
  <c r="BB16" i="2" a="1"/>
  <c r="BB16" i="2" s="1"/>
  <c r="BC16" i="2" s="1" a="1"/>
  <c r="BC16" i="2" s="1"/>
  <c r="AI5" i="2" a="1"/>
  <c r="AI5" i="2" s="1"/>
  <c r="AJ16" i="2" a="1"/>
  <c r="AJ16" i="2" s="1"/>
  <c r="AJ5" i="2" a="1"/>
  <c r="AJ5" i="2" s="1"/>
  <c r="AL5" i="2" s="1" a="1"/>
  <c r="AL5" i="2" s="1"/>
  <c r="AL39" i="2" a="1"/>
  <c r="AL39" i="2" s="1"/>
  <c r="AK39" i="2" a="1"/>
  <c r="AK39" i="2" s="1"/>
  <c r="AS14" i="2" a="1"/>
  <c r="AS14" i="2" s="1"/>
  <c r="AT14" i="2" a="1"/>
  <c r="AT14" i="2" s="1"/>
  <c r="AU14" i="2" s="1" a="1"/>
  <c r="AU14" i="2" s="1"/>
  <c r="BD21" i="2" a="1"/>
  <c r="BD21" i="2" s="1"/>
  <c r="BE21" i="2" s="1" a="1"/>
  <c r="BE21" i="2" s="1"/>
  <c r="BF10" i="2" a="1"/>
  <c r="BF10" i="2" s="1"/>
  <c r="BG10" i="2" s="1" a="1"/>
  <c r="BG10" i="2" s="1"/>
  <c r="AP54" i="2" a="1"/>
  <c r="AP54" i="2" s="1"/>
  <c r="BF54" i="2" a="1"/>
  <c r="BF54" i="2" s="1"/>
  <c r="BG54" i="2" s="1" a="1"/>
  <c r="BG54" i="2" s="1"/>
  <c r="AJ43" i="2" a="1"/>
  <c r="AJ43" i="2" s="1"/>
  <c r="AI43" i="2" a="1"/>
  <c r="AI43" i="2" s="1"/>
  <c r="BD43" i="2" a="1"/>
  <c r="BD43" i="2" s="1"/>
  <c r="BE43" i="2" s="1" a="1"/>
  <c r="BE43" i="2" s="1"/>
  <c r="BB43" i="2" a="1"/>
  <c r="BB43" i="2" s="1"/>
  <c r="BC43" i="2" s="1" a="1"/>
  <c r="BC43" i="2" s="1"/>
  <c r="AP43" i="2" a="1"/>
  <c r="AP43" i="2" s="1"/>
  <c r="BF43" i="2" a="1"/>
  <c r="BF43" i="2" s="1"/>
  <c r="BG43" i="2" s="1" a="1"/>
  <c r="BG43" i="2" s="1"/>
  <c r="AV31" i="2" a="1"/>
  <c r="AV31" i="2" s="1"/>
  <c r="BB31" i="2" a="1"/>
  <c r="BB31" i="2" s="1"/>
  <c r="BC31" i="2" s="1" a="1"/>
  <c r="BC31" i="2" s="1"/>
  <c r="BF31" i="2" a="1"/>
  <c r="BF31" i="2" s="1"/>
  <c r="BG31" i="2" s="1" a="1"/>
  <c r="BG31" i="2" s="1"/>
  <c r="BD31" i="2" a="1"/>
  <c r="BD31" i="2" s="1"/>
  <c r="BE31" i="2" s="1" a="1"/>
  <c r="BE31" i="2" s="1"/>
  <c r="BB27" i="2" a="1"/>
  <c r="BB27" i="2" s="1"/>
  <c r="BC27" i="2" s="1" a="1"/>
  <c r="BC27" i="2" s="1"/>
  <c r="AI25" i="2" a="1"/>
  <c r="AI25" i="2" s="1"/>
  <c r="AP6" i="2" a="1"/>
  <c r="AP6" i="2" s="1"/>
  <c r="AP15" i="2" a="1"/>
  <c r="AP15" i="2" s="1"/>
  <c r="BB39" i="2" a="1"/>
  <c r="BB39" i="2" s="1"/>
  <c r="BC39" i="2" s="1" a="1"/>
  <c r="BC39" i="2" s="1"/>
  <c r="AV27" i="2" a="1"/>
  <c r="AV27" i="2" s="1"/>
  <c r="AI22" i="2" a="1"/>
  <c r="AI22" i="2" s="1"/>
  <c r="AI19" i="2" a="1"/>
  <c r="AI19" i="2" s="1"/>
  <c r="AP46" i="2" a="1"/>
  <c r="AP46" i="2" s="1"/>
  <c r="AV16" i="2" a="1"/>
  <c r="AV16" i="2" s="1"/>
  <c r="AI56" i="2" a="1"/>
  <c r="AI56" i="2" s="1"/>
  <c r="AI7" i="2" a="1"/>
  <c r="AI7" i="2" s="1"/>
  <c r="AI49" i="2" a="1"/>
  <c r="AI49" i="2" s="1"/>
  <c r="AP34" i="2" a="1"/>
  <c r="AP34" i="2" s="1"/>
  <c r="BB6" i="2" a="1"/>
  <c r="BB6" i="2" s="1"/>
  <c r="BC6" i="2" s="1" a="1"/>
  <c r="BC6" i="2" s="1"/>
  <c r="AJ27" i="2" a="1"/>
  <c r="AJ27" i="2" s="1"/>
  <c r="AP19" i="2" a="1"/>
  <c r="AP19" i="2" s="1"/>
  <c r="AV36" i="2" a="1"/>
  <c r="AV36" i="2" s="1"/>
  <c r="AV19" i="2" a="1"/>
  <c r="AV19" i="2" s="1"/>
  <c r="AX19" i="2" s="1" a="1"/>
  <c r="AX19" i="2" s="1"/>
  <c r="BB50" i="2" a="1"/>
  <c r="BB50" i="2" s="1"/>
  <c r="BC50" i="2" s="1" a="1"/>
  <c r="BC50" i="2" s="1"/>
  <c r="AK50" i="2" a="1"/>
  <c r="AK50" i="2" s="1"/>
  <c r="AL18" i="2" a="1"/>
  <c r="AL18" i="2" s="1"/>
  <c r="AK40" i="2" a="1"/>
  <c r="AK40" i="2" s="1"/>
  <c r="AL40" i="2" a="1"/>
  <c r="AL40" i="2" s="1"/>
  <c r="AL22" i="2" a="1"/>
  <c r="AL22" i="2" s="1"/>
  <c r="AK22" i="2" a="1"/>
  <c r="AK22" i="2" s="1"/>
  <c r="AM31" i="2" a="1"/>
  <c r="AM31" i="2" s="1"/>
  <c r="AN31" i="2" a="1"/>
  <c r="AN31" i="2" s="1"/>
  <c r="AO31" i="2" s="1" a="1"/>
  <c r="AO31" i="2" s="1"/>
  <c r="AQ50" i="2" a="1"/>
  <c r="AQ50" i="2" s="1"/>
  <c r="AR50" i="2" a="1"/>
  <c r="AR50" i="2" s="1"/>
  <c r="AS50" i="2" s="1" a="1"/>
  <c r="AS50" i="2" s="1"/>
  <c r="AJ45" i="2" a="1"/>
  <c r="AJ45" i="2" s="1"/>
  <c r="AL45" i="2" s="1" a="1"/>
  <c r="AL45" i="2" s="1"/>
  <c r="BD45" i="2" a="1"/>
  <c r="BD45" i="2" s="1"/>
  <c r="BE45" i="2" s="1" a="1"/>
  <c r="BE45" i="2" s="1"/>
  <c r="AL37" i="2" a="1"/>
  <c r="AL37" i="2" s="1"/>
  <c r="AN37" i="2" s="1" a="1"/>
  <c r="AN37" i="2" s="1"/>
  <c r="AO37" i="2" s="1" a="1"/>
  <c r="AO37" i="2" s="1"/>
  <c r="AX28" i="2" a="1"/>
  <c r="AX28" i="2" s="1"/>
  <c r="AW28" i="2" a="1"/>
  <c r="AW28" i="2" s="1"/>
  <c r="AI35" i="2" a="1"/>
  <c r="AI35" i="2" s="1"/>
  <c r="AM7" i="2" a="1"/>
  <c r="AM7" i="2" s="1"/>
  <c r="AN7" i="2" a="1"/>
  <c r="AN7" i="2" s="1"/>
  <c r="AO7" i="2" s="1" a="1"/>
  <c r="AO7" i="2" s="1"/>
  <c r="AK17" i="2" a="1"/>
  <c r="AK17" i="2" s="1"/>
  <c r="AL17" i="2" a="1"/>
  <c r="AL17" i="2" s="1"/>
  <c r="AK52" i="2" a="1"/>
  <c r="AK52" i="2" s="1"/>
  <c r="AX32" i="2" a="1"/>
  <c r="AX32" i="2" s="1"/>
  <c r="AW32" i="2" a="1"/>
  <c r="AW32" i="2" s="1"/>
  <c r="AJ53" i="2" a="1"/>
  <c r="AJ53" i="2" s="1"/>
  <c r="AP53" i="2" a="1"/>
  <c r="AP53" i="2" s="1"/>
  <c r="AV23" i="2" a="1"/>
  <c r="AV23" i="2" s="1"/>
  <c r="AI31" i="2" a="1"/>
  <c r="AI31" i="2" s="1"/>
  <c r="BB56" i="2" a="1"/>
  <c r="BB56" i="2" s="1"/>
  <c r="BC56" i="2" s="1" a="1"/>
  <c r="BC56" i="2" s="1"/>
  <c r="AP11" i="2" a="1"/>
  <c r="AP11" i="2" s="1"/>
  <c r="BB10" i="2" a="1"/>
  <c r="BB10" i="2" s="1"/>
  <c r="AV10" i="2" a="1"/>
  <c r="AV10" i="2" s="1"/>
  <c r="AW10" i="2" s="1" a="1"/>
  <c r="AW10" i="2" s="1"/>
  <c r="AI30" i="2" a="1"/>
  <c r="AI30" i="2" s="1"/>
  <c r="AI12" i="2" a="1"/>
  <c r="AI12" i="2" s="1"/>
  <c r="AP49" i="2" a="1"/>
  <c r="AP49" i="2" s="1"/>
  <c r="AV38" i="2" a="1"/>
  <c r="AV38" i="2" s="1"/>
  <c r="AJ24" i="2" a="1"/>
  <c r="AJ24" i="2" s="1"/>
  <c r="AV11" i="2" a="1"/>
  <c r="AV11" i="2" s="1"/>
  <c r="AI58" i="2" a="1"/>
  <c r="AI58" i="2" s="1"/>
  <c r="BF58" i="2" a="1"/>
  <c r="BF58" i="2" s="1"/>
  <c r="BG58" i="2" s="1" a="1"/>
  <c r="BG58" i="2" s="1"/>
  <c r="AV51" i="2" a="1"/>
  <c r="AV51" i="2" s="1"/>
  <c r="AX51" i="2" s="1" a="1"/>
  <c r="AX51" i="2" s="1"/>
  <c r="AJ51" i="2" a="1"/>
  <c r="AJ51" i="2" s="1"/>
  <c r="AK51" i="2" s="1" a="1"/>
  <c r="AK51" i="2" s="1"/>
  <c r="AI50" i="2" a="1"/>
  <c r="AI50" i="2" s="1"/>
  <c r="AI28" i="2" a="1"/>
  <c r="AI28" i="2" s="1"/>
  <c r="AI10" i="2" a="1"/>
  <c r="AI10" i="2" s="1"/>
  <c r="AV58" i="2" a="1"/>
  <c r="AV58" i="2" s="1"/>
  <c r="BB49" i="2" a="1"/>
  <c r="BB49" i="2" s="1"/>
  <c r="BC49" i="2" s="1" a="1"/>
  <c r="BC49" i="2" s="1"/>
  <c r="AV41" i="2" a="1"/>
  <c r="AV41" i="2" s="1"/>
  <c r="AP18" i="2" a="1"/>
  <c r="AP18" i="2" s="1"/>
  <c r="BB18" i="2" a="1"/>
  <c r="BB18" i="2" s="1"/>
  <c r="BC18" i="2" s="1" a="1"/>
  <c r="BC18" i="2" s="1"/>
  <c r="BB11" i="2" a="1"/>
  <c r="BB11" i="2" s="1"/>
  <c r="BC11" i="2" s="1" a="1"/>
  <c r="BC11" i="2" s="1"/>
  <c r="AV30" i="2" a="1"/>
  <c r="AV30" i="2" s="1"/>
  <c r="AW30" i="2" s="1" a="1"/>
  <c r="AW30" i="2" s="1"/>
  <c r="BB21" i="2" a="1"/>
  <c r="BB21" i="2" s="1"/>
  <c r="BC21" i="2" s="1" a="1"/>
  <c r="BC21" i="2" s="1"/>
  <c r="AP21" i="2" a="1"/>
  <c r="AP21" i="2" s="1"/>
  <c r="AI46" i="2" a="1"/>
  <c r="AI46" i="2" s="1"/>
  <c r="AI24" i="2" a="1"/>
  <c r="AI24" i="2" s="1"/>
  <c r="AI6" i="2" a="1"/>
  <c r="AI6" i="2" s="1"/>
  <c r="AP16" i="2" a="1"/>
  <c r="AP16" i="2" s="1"/>
  <c r="BB38" i="2" a="1"/>
  <c r="BB38" i="2" s="1"/>
  <c r="BC38" i="2" s="1" a="1"/>
  <c r="BC38" i="2" s="1"/>
  <c r="AP41" i="2" a="1"/>
  <c r="AP41" i="2" s="1"/>
  <c r="BB30" i="2" a="1"/>
  <c r="BB30" i="2" s="1"/>
  <c r="BC30" i="2" s="1" a="1"/>
  <c r="BC30" i="2" s="1"/>
  <c r="BB14" i="2" a="1"/>
  <c r="BB14" i="2" s="1"/>
  <c r="AV8" i="2" a="1"/>
  <c r="AV8" i="2" s="1"/>
  <c r="AW8" i="2" s="1" a="1"/>
  <c r="AW8" i="2" s="1"/>
  <c r="AJ11" i="2" a="1"/>
  <c r="AJ11" i="2" s="1"/>
  <c r="BD38" i="2" a="1"/>
  <c r="BD38" i="2" s="1"/>
  <c r="BE38" i="2" s="1" a="1"/>
  <c r="BE38" i="2" s="1"/>
  <c r="AI38" i="2" a="1"/>
  <c r="AI38" i="2" s="1"/>
  <c r="AI20" i="2" a="1"/>
  <c r="AI20" i="2" s="1"/>
  <c r="AV50" i="2" a="1"/>
  <c r="AV50" i="2" s="1"/>
  <c r="BB28" i="2" a="1"/>
  <c r="BB28" i="2" s="1"/>
  <c r="BD46" i="2" a="1"/>
  <c r="BD46" i="2" s="1"/>
  <c r="BE46" i="2" s="1" a="1"/>
  <c r="BE46" i="2" s="1"/>
  <c r="AI36" i="2" a="1"/>
  <c r="AI36" i="2" s="1"/>
  <c r="AP10" i="2" a="1"/>
  <c r="AP10" i="2" s="1"/>
  <c r="AJ6" i="2" a="1"/>
  <c r="AJ6" i="2" s="1"/>
  <c r="AJ30" i="2" a="1"/>
  <c r="AJ30" i="2" s="1"/>
  <c r="AP28" i="2" a="1"/>
  <c r="AP28" i="2" s="1"/>
  <c r="AV46" i="2" a="1"/>
  <c r="AV46" i="2" s="1"/>
  <c r="AV18" i="2" a="1"/>
  <c r="AV18" i="2" s="1"/>
  <c r="BB58" i="2" a="1"/>
  <c r="BB58" i="2" s="1"/>
  <c r="BC58" i="2" s="1" a="1"/>
  <c r="BC58" i="2" s="1"/>
  <c r="AI34" i="2" a="1"/>
  <c r="AI34" i="2" s="1"/>
  <c r="BB7" i="2" a="1"/>
  <c r="BB7" i="2" s="1"/>
  <c r="BC7" i="2" s="1" a="1"/>
  <c r="BC7" i="2" s="1"/>
  <c r="AV15" i="2" a="1"/>
  <c r="AV15" i="2" s="1"/>
  <c r="AN20" i="2" a="1"/>
  <c r="AN20" i="2" s="1"/>
  <c r="AO20" i="2" s="1" a="1"/>
  <c r="AO20" i="2" s="1"/>
  <c r="AM20" i="2" a="1"/>
  <c r="AM20" i="2" s="1"/>
  <c r="AK19" i="2" a="1"/>
  <c r="AK19" i="2" s="1"/>
  <c r="AL19" i="2" a="1"/>
  <c r="AL19" i="2" s="1"/>
  <c r="AM18" i="2" a="1"/>
  <c r="AM18" i="2" s="1"/>
  <c r="AN18" i="2" a="1"/>
  <c r="AN18" i="2" s="1"/>
  <c r="AO18" i="2" s="1" a="1"/>
  <c r="AO18" i="2" s="1"/>
  <c r="AR34" i="2" a="1"/>
  <c r="AR34" i="2" s="1"/>
  <c r="AQ34" i="2" a="1"/>
  <c r="AQ34" i="2" s="1"/>
  <c r="AZ55" i="2" a="1"/>
  <c r="AZ55" i="2" s="1"/>
  <c r="BA55" i="2" s="1" a="1"/>
  <c r="BA55" i="2" s="1"/>
  <c r="AY55" i="2" a="1"/>
  <c r="AY55" i="2" s="1"/>
  <c r="AR28" i="2" a="1"/>
  <c r="AR28" i="2" s="1"/>
  <c r="AQ28" i="2" a="1"/>
  <c r="AQ28" i="2" s="1"/>
  <c r="AK58" i="2" a="1"/>
  <c r="AK58" i="2" s="1"/>
  <c r="AR22" i="2" a="1"/>
  <c r="AR22" i="2" s="1"/>
  <c r="AQ22" i="2" a="1"/>
  <c r="AQ22" i="2" s="1"/>
  <c r="AL27" i="2" a="1"/>
  <c r="AL27" i="2" s="1"/>
  <c r="AK27" i="2" a="1"/>
  <c r="AK27" i="2" s="1"/>
  <c r="AK56" i="2" a="1"/>
  <c r="AK56" i="2" s="1"/>
  <c r="AL56" i="2" a="1"/>
  <c r="AL56" i="2" s="1"/>
  <c r="AW20" i="2" a="1"/>
  <c r="AW20" i="2" s="1"/>
  <c r="AX20" i="2" a="1"/>
  <c r="AX20" i="2" s="1"/>
  <c r="AW6" i="2" a="1"/>
  <c r="AW6" i="2" s="1"/>
  <c r="AX6" i="2" a="1"/>
  <c r="AX6" i="2" s="1"/>
  <c r="AK5" i="2" a="1"/>
  <c r="AK5" i="2" s="1"/>
  <c r="AN49" i="2" a="1"/>
  <c r="AN49" i="2" s="1"/>
  <c r="AO49" i="2" s="1" a="1"/>
  <c r="AO49" i="2" s="1"/>
  <c r="AM49" i="2" a="1"/>
  <c r="AM49" i="2" s="1"/>
  <c r="AS48" i="2" a="1"/>
  <c r="AS48" i="2" s="1"/>
  <c r="AY19" i="2" a="1"/>
  <c r="AY19" i="2" s="1"/>
  <c r="AZ19" i="2" a="1"/>
  <c r="AZ19" i="2" s="1"/>
  <c r="BA19" i="2" s="1" a="1"/>
  <c r="BA19" i="2" s="1"/>
  <c r="AS24" i="2" a="1"/>
  <c r="AS24" i="2" s="1"/>
  <c r="AK28" i="2" a="1"/>
  <c r="AK28" i="2" s="1"/>
  <c r="AL28" i="2" a="1"/>
  <c r="AL28" i="2" s="1"/>
  <c r="AS30" i="2" a="1"/>
  <c r="AS30" i="2" s="1"/>
  <c r="AK36" i="2" a="1"/>
  <c r="AK36" i="2" s="1"/>
  <c r="AN40" i="2" a="1"/>
  <c r="AN40" i="2" s="1"/>
  <c r="AO40" i="2" s="1" a="1"/>
  <c r="AO40" i="2" s="1"/>
  <c r="AM40" i="2" a="1"/>
  <c r="AM40" i="2" s="1"/>
  <c r="AQ23" i="2" a="1"/>
  <c r="AQ23" i="2" s="1"/>
  <c r="AR23" i="2" a="1"/>
  <c r="AR23" i="2" s="1"/>
  <c r="AQ11" i="2" a="1"/>
  <c r="AQ11" i="2" s="1"/>
  <c r="AR11" i="2" a="1"/>
  <c r="AR11" i="2" s="1"/>
  <c r="AX41" i="2" a="1"/>
  <c r="AX41" i="2" s="1"/>
  <c r="AW41" i="2" a="1"/>
  <c r="AW41" i="2" s="1"/>
  <c r="AL42" i="2" a="1"/>
  <c r="AL42" i="2" s="1"/>
  <c r="AK49" i="2" a="1"/>
  <c r="AK49" i="2" s="1"/>
  <c r="AL13" i="2" a="1"/>
  <c r="AL13" i="2" s="1"/>
  <c r="AK13" i="2" a="1"/>
  <c r="AK13" i="2" s="1"/>
  <c r="AL38" i="2" a="1"/>
  <c r="AL38" i="2" s="1"/>
  <c r="AK38" i="2" a="1"/>
  <c r="AK38" i="2" s="1"/>
  <c r="AK44" i="2" a="1"/>
  <c r="AK44" i="2" s="1"/>
  <c r="AL44" i="2" a="1"/>
  <c r="AL44" i="2" s="1"/>
  <c r="AK31" i="2" a="1"/>
  <c r="AK31" i="2" s="1"/>
  <c r="AK45" i="2" a="1"/>
  <c r="AK45" i="2" s="1"/>
  <c r="AN34" i="2" a="1"/>
  <c r="AN34" i="2" s="1"/>
  <c r="AM34" i="2" a="1"/>
  <c r="AM34" i="2" s="1"/>
  <c r="AR53" i="2" a="1"/>
  <c r="AR53" i="2" s="1"/>
  <c r="AQ53" i="2" a="1"/>
  <c r="AQ53" i="2" s="1"/>
  <c r="AL33" i="2" a="1"/>
  <c r="AL33" i="2" s="1"/>
  <c r="AX27" i="2" a="1"/>
  <c r="AX27" i="2" s="1"/>
  <c r="AW27" i="2" a="1"/>
  <c r="AW27" i="2" s="1"/>
  <c r="AK25" i="2" a="1"/>
  <c r="AK25" i="2" s="1"/>
  <c r="AL25" i="2" a="1"/>
  <c r="AL25" i="2" s="1"/>
  <c r="AV45" i="2" a="1"/>
  <c r="AV45" i="2" s="1"/>
  <c r="AI45" i="2" a="1"/>
  <c r="AI45" i="2" s="1"/>
  <c r="AP45" i="2" a="1"/>
  <c r="AP45" i="2" s="1"/>
  <c r="BB45" i="2" a="1"/>
  <c r="BB45" i="2" s="1"/>
  <c r="AJ9" i="2" a="1"/>
  <c r="AJ9" i="2" s="1"/>
  <c r="AI9" i="2" a="1"/>
  <c r="AI9" i="2" s="1"/>
  <c r="AI55" i="2" a="1"/>
  <c r="AI55" i="2" s="1"/>
  <c r="AR13" i="2" a="1"/>
  <c r="AR13" i="2" s="1"/>
  <c r="AQ13" i="2" a="1"/>
  <c r="AQ13" i="2" s="1"/>
  <c r="AV54" i="2" a="1"/>
  <c r="AV54" i="2" s="1"/>
  <c r="AP8" i="2" a="1"/>
  <c r="AP8" i="2" s="1"/>
  <c r="BB47" i="2" a="1"/>
  <c r="BB47" i="2" s="1"/>
  <c r="BC47" i="2" s="1" a="1"/>
  <c r="BC47" i="2" s="1"/>
  <c r="BB35" i="2" a="1"/>
  <c r="BB35" i="2" s="1"/>
  <c r="BC35" i="2" s="1" a="1"/>
  <c r="BC35" i="2" s="1"/>
  <c r="BB48" i="2" a="1"/>
  <c r="BB48" i="2" s="1"/>
  <c r="AV26" i="2" a="1"/>
  <c r="AV26" i="2" s="1"/>
  <c r="BB44" i="2" a="1"/>
  <c r="BB44" i="2" s="1"/>
  <c r="AV44" i="2" a="1"/>
  <c r="AV44" i="2" s="1"/>
  <c r="AP7" i="2" a="1"/>
  <c r="AP7" i="2" s="1"/>
  <c r="AV25" i="2" a="1"/>
  <c r="AV25" i="2" s="1"/>
  <c r="BB54" i="2" a="1"/>
  <c r="BB54" i="2" s="1"/>
  <c r="BC54" i="2" s="1" a="1"/>
  <c r="BC54" i="2" s="1"/>
  <c r="AV47" i="2" a="1"/>
  <c r="AV47" i="2" s="1"/>
  <c r="AJ29" i="2" a="1"/>
  <c r="AJ29" i="2" s="1"/>
  <c r="AI29" i="2" a="1"/>
  <c r="AI29" i="2" s="1"/>
  <c r="BB22" i="2" a="1"/>
  <c r="BB22" i="2" s="1"/>
  <c r="BC22" i="2" s="1" a="1"/>
  <c r="BC22" i="2" s="1"/>
  <c r="AI54" i="2" a="1"/>
  <c r="AI54" i="2" s="1"/>
  <c r="AI44" i="2" a="1"/>
  <c r="AI44" i="2" s="1"/>
  <c r="AI26" i="2" a="1"/>
  <c r="AI26" i="2" s="1"/>
  <c r="AI8" i="2" a="1"/>
  <c r="AI8" i="2" s="1"/>
  <c r="AP44" i="2" a="1"/>
  <c r="AP44" i="2" s="1"/>
  <c r="BB24" i="2" a="1"/>
  <c r="BB24" i="2" s="1"/>
  <c r="BB9" i="2" a="1"/>
  <c r="BB9" i="2" s="1"/>
  <c r="AV29" i="2" a="1"/>
  <c r="AV29" i="2" s="1"/>
  <c r="AJ12" i="2" a="1"/>
  <c r="AJ12" i="2" s="1"/>
  <c r="AV14" i="2" a="1"/>
  <c r="AV14" i="2" s="1"/>
  <c r="AJ55" i="2" a="1"/>
  <c r="AJ55" i="2" s="1"/>
  <c r="BB13" i="2" a="1"/>
  <c r="BB13" i="2" s="1"/>
  <c r="BC13" i="2" s="1" a="1"/>
  <c r="BC13" i="2" s="1"/>
  <c r="AV13" i="2" a="1"/>
  <c r="AV13" i="2" s="1"/>
  <c r="AP55" i="2" a="1"/>
  <c r="AP55" i="2" s="1"/>
  <c r="AV22" i="2" a="1"/>
  <c r="AV22" i="2" s="1"/>
  <c r="AV24" i="2" a="1"/>
  <c r="AV24" i="2" s="1"/>
  <c r="AJ35" i="2" a="1"/>
  <c r="AJ35" i="2" s="1"/>
  <c r="AV12" i="2" a="1"/>
  <c r="AV12" i="2" s="1"/>
  <c r="AP12" i="2" a="1"/>
  <c r="AP12" i="2" s="1"/>
  <c r="AW51" i="2" a="1"/>
  <c r="AW51" i="2" s="1"/>
  <c r="AP26" i="2" a="1"/>
  <c r="AP26" i="2" s="1"/>
  <c r="AJ26" i="2" a="1"/>
  <c r="AJ26" i="2" s="1"/>
  <c r="AV7" i="2" a="1"/>
  <c r="AV7" i="2" s="1"/>
  <c r="BB25" i="2" a="1"/>
  <c r="BB25" i="2" s="1"/>
  <c r="BC25" i="2" s="1" a="1"/>
  <c r="BC25" i="2" s="1"/>
  <c r="AV35" i="2" a="1"/>
  <c r="AV35" i="2" s="1"/>
  <c r="AI57" i="2" a="1"/>
  <c r="AI57" i="2" s="1"/>
  <c r="AP57" i="2" a="1"/>
  <c r="AP57" i="2" s="1"/>
  <c r="AV57" i="2" a="1"/>
  <c r="AV57" i="2" s="1"/>
  <c r="AV53" i="2" a="1"/>
  <c r="AV53" i="2" s="1"/>
  <c r="AI53" i="2" a="1"/>
  <c r="AI53" i="2" s="1"/>
  <c r="BB42" i="2" a="1"/>
  <c r="BB42" i="2" s="1"/>
  <c r="AP42" i="2" a="1"/>
  <c r="AP42" i="2" s="1"/>
  <c r="AJ54" i="2" a="1"/>
  <c r="AJ54" i="2" s="1"/>
  <c r="AI42" i="2" a="1"/>
  <c r="AI42" i="2" s="1"/>
  <c r="AV42" i="2" a="1"/>
  <c r="AV42" i="2" s="1"/>
  <c r="AP9" i="2" a="1"/>
  <c r="AP9" i="2" s="1"/>
  <c r="AP29" i="2" a="1"/>
  <c r="AP29" i="2" s="1"/>
  <c r="AV9" i="2" a="1"/>
  <c r="AV9" i="2" s="1"/>
  <c r="AX23" i="2" a="1"/>
  <c r="AX23" i="2" s="1"/>
  <c r="AP52" i="2" a="1"/>
  <c r="AP52" i="2" s="1"/>
  <c r="BB52" i="2" a="1"/>
  <c r="BB52" i="2" s="1"/>
  <c r="AJ41" i="2" a="1"/>
  <c r="AJ41" i="2" s="1"/>
  <c r="AI41" i="2" a="1"/>
  <c r="AI41" i="2" s="1"/>
  <c r="BF35" i="2" a="1"/>
  <c r="BF35" i="2" s="1"/>
  <c r="BG35" i="2" s="1" a="1"/>
  <c r="BG35" i="2" s="1"/>
  <c r="AJ21" i="2" a="1"/>
  <c r="AJ21" i="2" s="1"/>
  <c r="AV21" i="2" a="1"/>
  <c r="AV21" i="2" s="1"/>
  <c r="AI21" i="2" a="1"/>
  <c r="AI21" i="2" s="1"/>
  <c r="AW19" i="2" a="1"/>
  <c r="AW19" i="2" s="1"/>
  <c r="AX5" i="2" a="1"/>
  <c r="AX5" i="2" s="1"/>
  <c r="AW5" i="2" a="1"/>
  <c r="AW5" i="2" s="1"/>
  <c r="AJ57" i="2" a="1"/>
  <c r="AJ57" i="2" s="1"/>
  <c r="AJ14" i="2" a="1"/>
  <c r="AJ14" i="2" s="1"/>
  <c r="BB40" i="2" a="1"/>
  <c r="BB40" i="2" s="1"/>
  <c r="BC40" i="2" s="1" a="1"/>
  <c r="BC40" i="2" s="1"/>
  <c r="AV40" i="2" a="1"/>
  <c r="AV40" i="2" s="1"/>
  <c r="AP40" i="2" a="1"/>
  <c r="AP40" i="2" s="1"/>
  <c r="BB20" i="2" a="1"/>
  <c r="BB20" i="2" s="1"/>
  <c r="BC20" i="2" s="1" a="1"/>
  <c r="BC20" i="2" s="1"/>
  <c r="AP20" i="2" a="1"/>
  <c r="AP20" i="2" s="1"/>
  <c r="AI40" i="2" a="1"/>
  <c r="AI40" i="2" s="1"/>
  <c r="AP35" i="2" a="1"/>
  <c r="AP35" i="2" s="1"/>
  <c r="AP47" i="2" a="1"/>
  <c r="AP47" i="2" s="1"/>
  <c r="BB57" i="2" a="1"/>
  <c r="BB57" i="2" s="1"/>
  <c r="BC57" i="2" s="1" a="1"/>
  <c r="BC57" i="2" s="1"/>
  <c r="BB53" i="2" a="1"/>
  <c r="BB53" i="2" s="1"/>
  <c r="AI39" i="2" a="1"/>
  <c r="AI39" i="2" s="1"/>
  <c r="AP39" i="2" a="1"/>
  <c r="AP39" i="2" s="1"/>
  <c r="AV39" i="2" a="1"/>
  <c r="AV39" i="2" s="1"/>
  <c r="AV34" i="2" a="1"/>
  <c r="AV34" i="2" s="1"/>
  <c r="BB34" i="2" a="1"/>
  <c r="BB34" i="2" s="1"/>
  <c r="AV48" i="2" a="1"/>
  <c r="AV48" i="2" s="1"/>
  <c r="AJ47" i="2" a="1"/>
  <c r="AJ47" i="2" s="1"/>
  <c r="AI33" i="2" a="1"/>
  <c r="AI33" i="2" s="1"/>
  <c r="AV33" i="2" a="1"/>
  <c r="AV33" i="2" s="1"/>
  <c r="BB33" i="2" a="1"/>
  <c r="BB33" i="2" s="1"/>
  <c r="BC33" i="2" s="1" a="1"/>
  <c r="BC33" i="2" s="1"/>
  <c r="AP33" i="2" a="1"/>
  <c r="AP33" i="2" s="1"/>
  <c r="BB32" i="2" a="1"/>
  <c r="BB32" i="2" s="1"/>
  <c r="AP32" i="2" a="1"/>
  <c r="AP32" i="2" s="1"/>
  <c r="AP17" i="2" a="1"/>
  <c r="AP17" i="2" s="1"/>
  <c r="AV17" i="2" a="1"/>
  <c r="AV17" i="2" s="1"/>
  <c r="BB17" i="2" a="1"/>
  <c r="BB17" i="2" s="1"/>
  <c r="AI17" i="2" a="1"/>
  <c r="AI17" i="2" s="1"/>
  <c r="BB55" i="2" a="1"/>
  <c r="BB55" i="2" s="1"/>
  <c r="BC55" i="2" s="1" a="1"/>
  <c r="BC55" i="2" s="1"/>
  <c r="BB8" i="2" a="1"/>
  <c r="BB8" i="2" s="1"/>
  <c r="AJ10" i="2" a="1"/>
  <c r="AJ10" i="2" s="1"/>
  <c r="AI23" i="2" a="1"/>
  <c r="AI23" i="2" s="1"/>
  <c r="BB23" i="2" a="1"/>
  <c r="BB23" i="2" s="1"/>
  <c r="BB51" i="2" a="1"/>
  <c r="BB51" i="2" s="1"/>
  <c r="BC51" i="2" s="1" a="1"/>
  <c r="BC51" i="2" s="1"/>
  <c r="AP27" i="2" a="1"/>
  <c r="AP27" i="2" s="1"/>
  <c r="AP51" i="2" a="1"/>
  <c r="AP51" i="2" s="1"/>
  <c r="AI51" i="2" a="1"/>
  <c r="AI51" i="2" s="1"/>
  <c r="AI15" i="2" a="1"/>
  <c r="AI15" i="2" s="1"/>
  <c r="AP31" i="2" a="1"/>
  <c r="AP31" i="2" s="1"/>
  <c r="AJ23" i="2" a="1"/>
  <c r="AJ23" i="2" s="1"/>
  <c r="AP5" i="2" a="1"/>
  <c r="AP5" i="2" s="1"/>
  <c r="AN52" i="2" l="1" a="1"/>
  <c r="AN52" i="2" s="1"/>
  <c r="AM52" i="2" a="1"/>
  <c r="AM52" i="2" s="1"/>
  <c r="AM50" i="2" a="1"/>
  <c r="AM50" i="2" s="1"/>
  <c r="AN50" i="2" a="1"/>
  <c r="AN50" i="2" s="1"/>
  <c r="AO50" i="2" s="1" a="1"/>
  <c r="AO50" i="2" s="1"/>
  <c r="AL15" i="2" a="1"/>
  <c r="AL15" i="2" s="1"/>
  <c r="AX30" i="2" a="1"/>
  <c r="AX30" i="2" s="1"/>
  <c r="AY43" i="2" a="1"/>
  <c r="AY43" i="2" s="1"/>
  <c r="AL53" i="2" a="1"/>
  <c r="AL53" i="2" s="1"/>
  <c r="AR58" i="2" a="1"/>
  <c r="AR58" i="2" s="1"/>
  <c r="AK46" i="2" a="1"/>
  <c r="AK46" i="2" s="1"/>
  <c r="AL46" i="2" a="1"/>
  <c r="AL46" i="2" s="1"/>
  <c r="AL51" i="2" a="1"/>
  <c r="AL51" i="2" s="1"/>
  <c r="AQ48" i="2" a="1"/>
  <c r="AQ48" i="2" s="1"/>
  <c r="AM37" i="2" a="1"/>
  <c r="AM37" i="2" s="1"/>
  <c r="AK33" i="2" a="1"/>
  <c r="AK33" i="2" s="1"/>
  <c r="AK53" i="2" a="1"/>
  <c r="AK53" i="2" s="1"/>
  <c r="AR25" i="2" a="1"/>
  <c r="AR25" i="2" s="1"/>
  <c r="AQ25" i="2" a="1"/>
  <c r="AQ25" i="2" s="1"/>
  <c r="AL32" i="2" a="1"/>
  <c r="AL32" i="2" s="1"/>
  <c r="AK32" i="2" a="1"/>
  <c r="AK32" i="2" s="1"/>
  <c r="AK48" i="2" a="1"/>
  <c r="AK48" i="2" s="1"/>
  <c r="AL48" i="2" a="1"/>
  <c r="AL48" i="2" s="1"/>
  <c r="AR36" i="2" a="1"/>
  <c r="AR36" i="2" s="1"/>
  <c r="AQ36" i="2" a="1"/>
  <c r="AQ36" i="2" s="1"/>
  <c r="AL16" i="2" a="1"/>
  <c r="AL16" i="2" s="1"/>
  <c r="AK16" i="2" a="1"/>
  <c r="AK16" i="2" s="1"/>
  <c r="AW37" i="2" a="1"/>
  <c r="AW37" i="2" s="1"/>
  <c r="AX37" i="2" a="1"/>
  <c r="AX37" i="2" s="1"/>
  <c r="AR56" i="2" a="1"/>
  <c r="AR56" i="2" s="1"/>
  <c r="AQ56" i="2" a="1"/>
  <c r="AQ56" i="2" s="1"/>
  <c r="AW56" i="2" a="1"/>
  <c r="AW56" i="2" s="1"/>
  <c r="AX56" i="2" a="1"/>
  <c r="AX56" i="2" s="1"/>
  <c r="AR37" i="2" a="1"/>
  <c r="AR37" i="2" s="1"/>
  <c r="AQ37" i="2" a="1"/>
  <c r="AQ37" i="2" s="1"/>
  <c r="AR19" i="2" a="1"/>
  <c r="AR19" i="2" s="1"/>
  <c r="AQ19" i="2" a="1"/>
  <c r="AQ19" i="2" s="1"/>
  <c r="AR6" i="2" a="1"/>
  <c r="AR6" i="2" s="1"/>
  <c r="AQ6" i="2" a="1"/>
  <c r="AQ6" i="2" s="1"/>
  <c r="AL43" i="2" a="1"/>
  <c r="AL43" i="2" s="1"/>
  <c r="AK43" i="2" a="1"/>
  <c r="AK43" i="2" s="1"/>
  <c r="AN39" i="2" a="1"/>
  <c r="AN39" i="2" s="1"/>
  <c r="AO39" i="2" s="1" a="1"/>
  <c r="AO39" i="2" s="1"/>
  <c r="AM39" i="2" a="1"/>
  <c r="AM39" i="2" s="1"/>
  <c r="AR54" i="2" a="1"/>
  <c r="AR54" i="2" s="1"/>
  <c r="AQ54" i="2" a="1"/>
  <c r="AQ54" i="2" s="1"/>
  <c r="AT58" i="2" a="1"/>
  <c r="AT58" i="2" s="1"/>
  <c r="AU58" i="2" s="1" a="1"/>
  <c r="AU58" i="2" s="1"/>
  <c r="AS58" i="2" a="1"/>
  <c r="AS58" i="2" s="1"/>
  <c r="AX16" i="2" a="1"/>
  <c r="AX16" i="2" s="1"/>
  <c r="AW16" i="2" a="1"/>
  <c r="AW16" i="2" s="1"/>
  <c r="AR46" i="2" a="1"/>
  <c r="AR46" i="2" s="1"/>
  <c r="AQ46" i="2" a="1"/>
  <c r="AQ46" i="2" s="1"/>
  <c r="AW31" i="2" a="1"/>
  <c r="AW31" i="2" s="1"/>
  <c r="AX31" i="2" a="1"/>
  <c r="AX31" i="2" s="1"/>
  <c r="AN46" i="2" a="1"/>
  <c r="AN46" i="2" s="1"/>
  <c r="AM46" i="2" a="1"/>
  <c r="AM46" i="2" s="1"/>
  <c r="AR43" i="2" a="1"/>
  <c r="AR43" i="2" s="1"/>
  <c r="AQ43" i="2" a="1"/>
  <c r="AQ43" i="2" s="1"/>
  <c r="AX36" i="2" a="1"/>
  <c r="AX36" i="2" s="1"/>
  <c r="AW36" i="2" a="1"/>
  <c r="AW36" i="2" s="1"/>
  <c r="AR15" i="2" a="1"/>
  <c r="AR15" i="2" s="1"/>
  <c r="AQ15" i="2" a="1"/>
  <c r="AQ15" i="2" s="1"/>
  <c r="AX11" i="2" a="1"/>
  <c r="AX11" i="2" s="1"/>
  <c r="AW11" i="2" a="1"/>
  <c r="AW11" i="2" s="1"/>
  <c r="AN17" i="2" a="1"/>
  <c r="AN17" i="2" s="1"/>
  <c r="AM17" i="2" a="1"/>
  <c r="AM17" i="2" s="1"/>
  <c r="AM22" i="2" a="1"/>
  <c r="AM22" i="2" s="1"/>
  <c r="AN22" i="2" a="1"/>
  <c r="AN22" i="2" s="1"/>
  <c r="AO22" i="2" s="1" a="1"/>
  <c r="AO22" i="2" s="1"/>
  <c r="AW15" i="2" a="1"/>
  <c r="AW15" i="2" s="1"/>
  <c r="BC14" i="2" a="1"/>
  <c r="BC14" i="2" s="1"/>
  <c r="AW23" i="2" a="1"/>
  <c r="AW23" i="2" s="1"/>
  <c r="AX15" i="2" a="1"/>
  <c r="AX15" i="2" s="1"/>
  <c r="AT50" i="2" a="1"/>
  <c r="AT50" i="2" s="1"/>
  <c r="AU50" i="2" s="1" a="1"/>
  <c r="AU50" i="2" s="1"/>
  <c r="AL30" i="2" a="1"/>
  <c r="AL30" i="2" s="1"/>
  <c r="AK30" i="2" a="1"/>
  <c r="AK30" i="2" s="1"/>
  <c r="AX50" i="2" a="1"/>
  <c r="AX50" i="2" s="1"/>
  <c r="AW50" i="2" a="1"/>
  <c r="AW50" i="2" s="1"/>
  <c r="AR41" i="2" a="1"/>
  <c r="AR41" i="2" s="1"/>
  <c r="AQ41" i="2" a="1"/>
  <c r="AQ41" i="2" s="1"/>
  <c r="AK24" i="2" a="1"/>
  <c r="AK24" i="2" s="1"/>
  <c r="AL24" i="2" a="1"/>
  <c r="AL24" i="2" s="1"/>
  <c r="AW58" i="2" a="1"/>
  <c r="AW58" i="2" s="1"/>
  <c r="AX58" i="2" a="1"/>
  <c r="AX58" i="2" s="1"/>
  <c r="AX10" i="2" a="1"/>
  <c r="AX10" i="2" s="1"/>
  <c r="AZ10" i="2" s="1" a="1"/>
  <c r="AZ10" i="2" s="1"/>
  <c r="AZ32" i="2" a="1"/>
  <c r="AZ32" i="2" s="1"/>
  <c r="AY32" i="2" a="1"/>
  <c r="AY32" i="2" s="1"/>
  <c r="BC28" i="2" a="1"/>
  <c r="BC28" i="2" s="1"/>
  <c r="AX8" i="2" a="1"/>
  <c r="AX8" i="2" s="1"/>
  <c r="AZ8" i="2" s="1" a="1"/>
  <c r="AZ8" i="2" s="1"/>
  <c r="AK6" i="2" a="1"/>
  <c r="AK6" i="2" s="1"/>
  <c r="AL6" i="2" a="1"/>
  <c r="AL6" i="2" s="1"/>
  <c r="AR10" i="2" a="1"/>
  <c r="AR10" i="2" s="1"/>
  <c r="AQ10" i="2" a="1"/>
  <c r="AQ10" i="2" s="1"/>
  <c r="AZ51" i="2" a="1"/>
  <c r="AZ51" i="2" s="1"/>
  <c r="AY51" i="2" a="1"/>
  <c r="AY51" i="2" s="1"/>
  <c r="AW38" i="2" a="1"/>
  <c r="AW38" i="2" s="1"/>
  <c r="AX38" i="2" a="1"/>
  <c r="AX38" i="2" s="1"/>
  <c r="BC10" i="2" a="1"/>
  <c r="BC10" i="2" s="1"/>
  <c r="AW18" i="2" a="1"/>
  <c r="AW18" i="2" s="1"/>
  <c r="AX18" i="2" a="1"/>
  <c r="AX18" i="2" s="1"/>
  <c r="AZ28" i="2" a="1"/>
  <c r="AZ28" i="2" s="1"/>
  <c r="BA28" i="2" s="1" a="1"/>
  <c r="BA28" i="2" s="1"/>
  <c r="AY28" i="2" a="1"/>
  <c r="AY28" i="2" s="1"/>
  <c r="AR21" i="2" a="1"/>
  <c r="AR21" i="2" s="1"/>
  <c r="AW46" i="2" a="1"/>
  <c r="AW46" i="2" s="1"/>
  <c r="AX46" i="2" a="1"/>
  <c r="AX46" i="2" s="1"/>
  <c r="AL11" i="2" a="1"/>
  <c r="AL11" i="2" s="1"/>
  <c r="AK11" i="2" a="1"/>
  <c r="AK11" i="2" s="1"/>
  <c r="AQ16" i="2" a="1"/>
  <c r="AQ16" i="2" s="1"/>
  <c r="AR16" i="2" a="1"/>
  <c r="AR16" i="2" s="1"/>
  <c r="AR49" i="2" a="1"/>
  <c r="AR49" i="2" s="1"/>
  <c r="AQ49" i="2" a="1"/>
  <c r="AQ49" i="2" s="1"/>
  <c r="AQ21" i="2" a="1"/>
  <c r="AQ21" i="2" s="1"/>
  <c r="AR18" i="2" a="1"/>
  <c r="AR18" i="2" s="1"/>
  <c r="AQ18" i="2" a="1"/>
  <c r="AQ18" i="2" s="1"/>
  <c r="AR32" i="2" a="1"/>
  <c r="AR32" i="2" s="1"/>
  <c r="AQ32" i="2" a="1"/>
  <c r="AQ32" i="2" s="1"/>
  <c r="BC52" i="2" a="1"/>
  <c r="BC52" i="2" s="1"/>
  <c r="AR20" i="2" a="1"/>
  <c r="AR20" i="2" s="1"/>
  <c r="AQ20" i="2" a="1"/>
  <c r="AQ20" i="2" s="1"/>
  <c r="AR7" i="2" a="1"/>
  <c r="AR7" i="2" s="1"/>
  <c r="AQ7" i="2" a="1"/>
  <c r="AQ7" i="2" s="1"/>
  <c r="AW42" i="2" a="1"/>
  <c r="AW42" i="2" s="1"/>
  <c r="AX42" i="2" a="1"/>
  <c r="AX42" i="2" s="1"/>
  <c r="AW39" i="2" a="1"/>
  <c r="AW39" i="2" s="1"/>
  <c r="AX39" i="2" a="1"/>
  <c r="AX39" i="2" s="1"/>
  <c r="AN53" i="2" a="1"/>
  <c r="AN53" i="2" s="1"/>
  <c r="AM53" i="2" a="1"/>
  <c r="AM53" i="2" s="1"/>
  <c r="AS22" i="2" a="1"/>
  <c r="AS22" i="2" s="1"/>
  <c r="AT22" i="2" a="1"/>
  <c r="AT22" i="2" s="1"/>
  <c r="AU22" i="2" s="1" a="1"/>
  <c r="AU22" i="2" s="1"/>
  <c r="AR35" i="2" a="1"/>
  <c r="AR35" i="2" s="1"/>
  <c r="AQ35" i="2" a="1"/>
  <c r="AQ35" i="2" s="1"/>
  <c r="AT13" i="2" a="1"/>
  <c r="AT13" i="2" s="1"/>
  <c r="AU13" i="2" s="1" a="1"/>
  <c r="AU13" i="2" s="1"/>
  <c r="AS13" i="2" a="1"/>
  <c r="AS13" i="2" s="1"/>
  <c r="AL23" i="2" a="1"/>
  <c r="AL23" i="2" s="1"/>
  <c r="AK23" i="2" a="1"/>
  <c r="AK23" i="2" s="1"/>
  <c r="BC8" i="2" a="1"/>
  <c r="BC8" i="2" s="1"/>
  <c r="AR40" i="2" a="1"/>
  <c r="AR40" i="2" s="1"/>
  <c r="AQ40" i="2" a="1"/>
  <c r="AQ40" i="2" s="1"/>
  <c r="AR12" i="2" a="1"/>
  <c r="AR12" i="2" s="1"/>
  <c r="AQ12" i="2" a="1"/>
  <c r="AQ12" i="2" s="1"/>
  <c r="AK54" i="2" a="1"/>
  <c r="AK54" i="2" s="1"/>
  <c r="AL54" i="2" a="1"/>
  <c r="AL54" i="2" s="1"/>
  <c r="AM25" i="2" a="1"/>
  <c r="AM25" i="2" s="1"/>
  <c r="AN25" i="2" a="1"/>
  <c r="AN25" i="2" s="1"/>
  <c r="AO25" i="2" s="1" a="1"/>
  <c r="AO25" i="2" s="1"/>
  <c r="AX44" i="2" a="1"/>
  <c r="AX44" i="2" s="1"/>
  <c r="AW44" i="2" a="1"/>
  <c r="AW44" i="2" s="1"/>
  <c r="AN5" i="2" a="1"/>
  <c r="AN5" i="2" s="1"/>
  <c r="AO5" i="2" s="1" a="1"/>
  <c r="AO5" i="2" s="1"/>
  <c r="AM5" i="2" a="1"/>
  <c r="AM5" i="2" s="1"/>
  <c r="BC42" i="2" a="1"/>
  <c r="BC42" i="2" s="1"/>
  <c r="AW22" i="2" a="1"/>
  <c r="AW22" i="2" s="1"/>
  <c r="AX22" i="2" a="1"/>
  <c r="AX22" i="2" s="1"/>
  <c r="AL12" i="2" a="1"/>
  <c r="AL12" i="2" s="1"/>
  <c r="AK12" i="2" a="1"/>
  <c r="AK12" i="2" s="1"/>
  <c r="BC44" i="2" a="1"/>
  <c r="BC44" i="2" s="1"/>
  <c r="AW40" i="2" a="1"/>
  <c r="AW40" i="2" s="1"/>
  <c r="AX40" i="2" a="1"/>
  <c r="AX40" i="2" s="1"/>
  <c r="AZ23" i="2" a="1"/>
  <c r="AZ23" i="2" s="1"/>
  <c r="AY23" i="2" a="1"/>
  <c r="AY23" i="2" s="1"/>
  <c r="AX12" i="2" a="1"/>
  <c r="AX12" i="2" s="1"/>
  <c r="AW12" i="2" a="1"/>
  <c r="AW12" i="2" s="1"/>
  <c r="AX29" i="2" a="1"/>
  <c r="AX29" i="2" s="1"/>
  <c r="AW29" i="2" a="1"/>
  <c r="AW29" i="2" s="1"/>
  <c r="AL9" i="2" a="1"/>
  <c r="AL9" i="2" s="1"/>
  <c r="AK9" i="2" a="1"/>
  <c r="AK9" i="2" s="1"/>
  <c r="AZ27" i="2" a="1"/>
  <c r="AZ27" i="2" s="1"/>
  <c r="AY27" i="2" a="1"/>
  <c r="AY27" i="2" s="1"/>
  <c r="AN28" i="2" a="1"/>
  <c r="AN28" i="2" s="1"/>
  <c r="AM28" i="2" a="1"/>
  <c r="AM28" i="2" s="1"/>
  <c r="AN58" i="2" a="1"/>
  <c r="AN58" i="2" s="1"/>
  <c r="AO58" i="2" s="1" a="1"/>
  <c r="AO58" i="2" s="1"/>
  <c r="AM58" i="2" a="1"/>
  <c r="AM58" i="2" s="1"/>
  <c r="AS34" i="2" a="1"/>
  <c r="AS34" i="2" s="1"/>
  <c r="AT34" i="2" a="1"/>
  <c r="AT34" i="2" s="1"/>
  <c r="AZ5" i="2" a="1"/>
  <c r="AZ5" i="2" s="1"/>
  <c r="BA5" i="2" s="1" a="1"/>
  <c r="BA5" i="2" s="1"/>
  <c r="AY5" i="2" a="1"/>
  <c r="AY5" i="2" s="1"/>
  <c r="AM38" i="2" a="1"/>
  <c r="AM38" i="2" s="1"/>
  <c r="AN38" i="2" a="1"/>
  <c r="AN38" i="2" s="1"/>
  <c r="AO38" i="2" s="1" a="1"/>
  <c r="AO38" i="2" s="1"/>
  <c r="AR52" i="2" a="1"/>
  <c r="AR52" i="2" s="1"/>
  <c r="AQ52" i="2" a="1"/>
  <c r="AQ52" i="2" s="1"/>
  <c r="AL10" i="2" a="1"/>
  <c r="AL10" i="2" s="1"/>
  <c r="AK10" i="2" a="1"/>
  <c r="AK10" i="2" s="1"/>
  <c r="AR39" i="2" a="1"/>
  <c r="AR39" i="2" s="1"/>
  <c r="AQ39" i="2" a="1"/>
  <c r="AQ39" i="2" s="1"/>
  <c r="AR42" i="2" a="1"/>
  <c r="AR42" i="2" s="1"/>
  <c r="AQ42" i="2" a="1"/>
  <c r="AQ42" i="2" s="1"/>
  <c r="AW14" i="2" a="1"/>
  <c r="AW14" i="2" s="1"/>
  <c r="AX14" i="2" a="1"/>
  <c r="AX14" i="2" s="1"/>
  <c r="AR31" i="2" a="1"/>
  <c r="AR31" i="2" s="1"/>
  <c r="AQ31" i="2" a="1"/>
  <c r="AQ31" i="2" s="1"/>
  <c r="AW33" i="2" a="1"/>
  <c r="AW33" i="2" s="1"/>
  <c r="AX33" i="2" a="1"/>
  <c r="AX33" i="2" s="1"/>
  <c r="AW35" i="2" a="1"/>
  <c r="AW35" i="2" s="1"/>
  <c r="AX35" i="2" a="1"/>
  <c r="AX35" i="2" s="1"/>
  <c r="AT53" i="2" a="1"/>
  <c r="AT53" i="2" s="1"/>
  <c r="AS53" i="2" a="1"/>
  <c r="AS53" i="2" s="1"/>
  <c r="AZ41" i="2" a="1"/>
  <c r="AZ41" i="2" s="1"/>
  <c r="AY41" i="2" a="1"/>
  <c r="AY41" i="2" s="1"/>
  <c r="AW9" i="2" a="1"/>
  <c r="AW9" i="2" s="1"/>
  <c r="AX9" i="2" a="1"/>
  <c r="AX9" i="2" s="1"/>
  <c r="AW53" i="2" a="1"/>
  <c r="AW53" i="2" s="1"/>
  <c r="AX53" i="2" a="1"/>
  <c r="AX53" i="2" s="1"/>
  <c r="AX7" i="2" a="1"/>
  <c r="AX7" i="2" s="1"/>
  <c r="AW7" i="2" a="1"/>
  <c r="AW7" i="2" s="1"/>
  <c r="BC9" i="2" a="1"/>
  <c r="BC9" i="2" s="1"/>
  <c r="AW26" i="2" a="1"/>
  <c r="AW26" i="2" s="1"/>
  <c r="AX26" i="2" a="1"/>
  <c r="AX26" i="2" s="1"/>
  <c r="BC45" i="2" a="1"/>
  <c r="BC45" i="2" s="1"/>
  <c r="AO34" i="2" a="1"/>
  <c r="AO34" i="2" s="1"/>
  <c r="AM13" i="2" a="1"/>
  <c r="AM13" i="2" s="1"/>
  <c r="AN13" i="2" a="1"/>
  <c r="AN13" i="2" s="1"/>
  <c r="AO13" i="2" s="1" a="1"/>
  <c r="AO13" i="2" s="1"/>
  <c r="AZ6" i="2" a="1"/>
  <c r="AZ6" i="2" s="1"/>
  <c r="AY6" i="2" a="1"/>
  <c r="AY6" i="2" s="1"/>
  <c r="AX54" i="2" a="1"/>
  <c r="AX54" i="2" s="1"/>
  <c r="AW54" i="2" a="1"/>
  <c r="AW54" i="2" s="1"/>
  <c r="AW34" i="2" a="1"/>
  <c r="AW34" i="2" s="1"/>
  <c r="AX34" i="2" a="1"/>
  <c r="AX34" i="2" s="1"/>
  <c r="AK29" i="2" a="1"/>
  <c r="AK29" i="2" s="1"/>
  <c r="AL29" i="2" a="1"/>
  <c r="AL29" i="2" s="1"/>
  <c r="AL35" i="2" a="1"/>
  <c r="AL35" i="2" s="1"/>
  <c r="AK35" i="2" a="1"/>
  <c r="AK35" i="2" s="1"/>
  <c r="AR45" i="2" a="1"/>
  <c r="AR45" i="2" s="1"/>
  <c r="AQ45" i="2" a="1"/>
  <c r="AQ45" i="2" s="1"/>
  <c r="BC34" i="2" a="1"/>
  <c r="BC34" i="2" s="1"/>
  <c r="BC32" i="2" a="1"/>
  <c r="BC32" i="2" s="1"/>
  <c r="AW25" i="2" a="1"/>
  <c r="AW25" i="2" s="1"/>
  <c r="AX25" i="2" a="1"/>
  <c r="AX25" i="2" s="1"/>
  <c r="AO52" i="2" a="1"/>
  <c r="AO52" i="2" s="1"/>
  <c r="AR5" i="2" a="1"/>
  <c r="AR5" i="2" s="1"/>
  <c r="AQ5" i="2" a="1"/>
  <c r="AQ5" i="2" s="1"/>
  <c r="AX57" i="2" a="1"/>
  <c r="AX57" i="2" s="1"/>
  <c r="AW57" i="2" a="1"/>
  <c r="AW57" i="2" s="1"/>
  <c r="AR55" i="2" a="1"/>
  <c r="AR55" i="2" s="1"/>
  <c r="AQ55" i="2" a="1"/>
  <c r="AQ55" i="2" s="1"/>
  <c r="AT23" i="2" a="1"/>
  <c r="AT23" i="2" s="1"/>
  <c r="AS23" i="2" a="1"/>
  <c r="AS23" i="2" s="1"/>
  <c r="AR51" i="2" a="1"/>
  <c r="AR51" i="2" s="1"/>
  <c r="AQ51" i="2" a="1"/>
  <c r="AQ51" i="2" s="1"/>
  <c r="AL21" i="2" a="1"/>
  <c r="AL21" i="2" s="1"/>
  <c r="AK21" i="2" a="1"/>
  <c r="AK21" i="2" s="1"/>
  <c r="AR57" i="2" a="1"/>
  <c r="AR57" i="2" s="1"/>
  <c r="AQ57" i="2" a="1"/>
  <c r="AQ57" i="2" s="1"/>
  <c r="AR44" i="2" a="1"/>
  <c r="AR44" i="2" s="1"/>
  <c r="AQ44" i="2" a="1"/>
  <c r="AQ44" i="2" s="1"/>
  <c r="BC48" i="2" a="1"/>
  <c r="BC48" i="2" s="1"/>
  <c r="AN33" i="2" a="1"/>
  <c r="AN33" i="2" s="1"/>
  <c r="AM33" i="2" a="1"/>
  <c r="AM33" i="2" s="1"/>
  <c r="AY8" i="2" a="1"/>
  <c r="AY8" i="2" s="1"/>
  <c r="AZ20" i="2" a="1"/>
  <c r="AZ20" i="2" s="1"/>
  <c r="BA20" i="2" s="1" a="1"/>
  <c r="BA20" i="2" s="1"/>
  <c r="AY20" i="2" a="1"/>
  <c r="AY20" i="2" s="1"/>
  <c r="AX21" i="2" a="1"/>
  <c r="AX21" i="2" s="1"/>
  <c r="AW21" i="2" a="1"/>
  <c r="AW21" i="2" s="1"/>
  <c r="BC24" i="2" a="1"/>
  <c r="BC24" i="2" s="1"/>
  <c r="AZ30" i="2" a="1"/>
  <c r="AZ30" i="2" s="1"/>
  <c r="AY30" i="2" a="1"/>
  <c r="AY30" i="2" s="1"/>
  <c r="AT11" i="2" a="1"/>
  <c r="AT11" i="2" s="1"/>
  <c r="AS11" i="2" a="1"/>
  <c r="AS11" i="2" s="1"/>
  <c r="AN15" i="2" a="1"/>
  <c r="AN15" i="2" s="1"/>
  <c r="AM15" i="2" a="1"/>
  <c r="AM15" i="2" s="1"/>
  <c r="AQ29" i="2" a="1"/>
  <c r="AQ29" i="2" s="1"/>
  <c r="AR29" i="2" a="1"/>
  <c r="AR29" i="2" s="1"/>
  <c r="AL26" i="2" a="1"/>
  <c r="AL26" i="2" s="1"/>
  <c r="AK26" i="2" a="1"/>
  <c r="AK26" i="2" s="1"/>
  <c r="AW13" i="2" a="1"/>
  <c r="AW13" i="2" s="1"/>
  <c r="AX13" i="2" a="1"/>
  <c r="AX13" i="2" s="1"/>
  <c r="AN27" i="2" a="1"/>
  <c r="AN27" i="2" s="1"/>
  <c r="AM27" i="2" a="1"/>
  <c r="AM27" i="2" s="1"/>
  <c r="AX17" i="2" a="1"/>
  <c r="AX17" i="2" s="1"/>
  <c r="AW17" i="2" a="1"/>
  <c r="AW17" i="2" s="1"/>
  <c r="AL57" i="2" a="1"/>
  <c r="AL57" i="2" s="1"/>
  <c r="AK57" i="2" a="1"/>
  <c r="AK57" i="2" s="1"/>
  <c r="AL55" i="2" a="1"/>
  <c r="AL55" i="2" s="1"/>
  <c r="AK55" i="2" a="1"/>
  <c r="AK55" i="2" s="1"/>
  <c r="AM36" i="2" a="1"/>
  <c r="AM36" i="2" s="1"/>
  <c r="AN36" i="2" a="1"/>
  <c r="AN36" i="2" s="1"/>
  <c r="AO36" i="2" s="1" a="1"/>
  <c r="AO36" i="2" s="1"/>
  <c r="AM56" i="2" a="1"/>
  <c r="AM56" i="2" s="1"/>
  <c r="AN56" i="2" a="1"/>
  <c r="AN56" i="2" s="1"/>
  <c r="AO56" i="2" s="1" a="1"/>
  <c r="AO56" i="2" s="1"/>
  <c r="AN19" i="2" a="1"/>
  <c r="AN19" i="2" s="1"/>
  <c r="AO19" i="2" s="1" a="1"/>
  <c r="AO19" i="2" s="1"/>
  <c r="AM19" i="2" a="1"/>
  <c r="AM19" i="2" s="1"/>
  <c r="AM42" i="2" a="1"/>
  <c r="AM42" i="2" s="1"/>
  <c r="AN42" i="2" a="1"/>
  <c r="AN42" i="2" s="1"/>
  <c r="AO42" i="2" s="1" a="1"/>
  <c r="AO42" i="2" s="1"/>
  <c r="AQ27" i="2" a="1"/>
  <c r="AQ27" i="2" s="1"/>
  <c r="AR27" i="2" a="1"/>
  <c r="AR27" i="2" s="1"/>
  <c r="BC17" i="2" a="1"/>
  <c r="BC17" i="2" s="1"/>
  <c r="AK47" i="2" a="1"/>
  <c r="AK47" i="2" s="1"/>
  <c r="AL47" i="2" a="1"/>
  <c r="AL47" i="2" s="1"/>
  <c r="BC53" i="2" a="1"/>
  <c r="BC53" i="2" s="1"/>
  <c r="AL14" i="2" a="1"/>
  <c r="AL14" i="2" s="1"/>
  <c r="AK14" i="2" a="1"/>
  <c r="AK14" i="2" s="1"/>
  <c r="AR9" i="2" a="1"/>
  <c r="AR9" i="2" s="1"/>
  <c r="AQ9" i="2" a="1"/>
  <c r="AQ9" i="2" s="1"/>
  <c r="AR26" i="2" a="1"/>
  <c r="AR26" i="2" s="1"/>
  <c r="AQ26" i="2" a="1"/>
  <c r="AQ26" i="2" s="1"/>
  <c r="AX24" i="2" a="1"/>
  <c r="AX24" i="2" s="1"/>
  <c r="AW24" i="2" a="1"/>
  <c r="AW24" i="2" s="1"/>
  <c r="AW47" i="2" a="1"/>
  <c r="AW47" i="2" s="1"/>
  <c r="AX47" i="2" a="1"/>
  <c r="AX47" i="2" s="1"/>
  <c r="AW45" i="2" a="1"/>
  <c r="AW45" i="2" s="1"/>
  <c r="AX45" i="2" a="1"/>
  <c r="AX45" i="2" s="1"/>
  <c r="AM44" i="2" a="1"/>
  <c r="AM44" i="2" s="1"/>
  <c r="AN44" i="2" a="1"/>
  <c r="AN44" i="2" s="1"/>
  <c r="AO44" i="2" s="1" a="1"/>
  <c r="AO44" i="2" s="1"/>
  <c r="BC23" i="2" a="1"/>
  <c r="BC23" i="2" s="1"/>
  <c r="AQ17" i="2" a="1"/>
  <c r="AQ17" i="2" s="1"/>
  <c r="AR17" i="2" a="1"/>
  <c r="AR17" i="2" s="1"/>
  <c r="AR33" i="2" a="1"/>
  <c r="AR33" i="2" s="1"/>
  <c r="AQ33" i="2" a="1"/>
  <c r="AQ33" i="2" s="1"/>
  <c r="AW48" i="2" a="1"/>
  <c r="AW48" i="2" s="1"/>
  <c r="AX48" i="2" a="1"/>
  <c r="AX48" i="2" s="1"/>
  <c r="AR47" i="2" a="1"/>
  <c r="AR47" i="2" s="1"/>
  <c r="AQ47" i="2" a="1"/>
  <c r="AQ47" i="2" s="1"/>
  <c r="AL41" i="2" a="1"/>
  <c r="AL41" i="2" s="1"/>
  <c r="AK41" i="2" a="1"/>
  <c r="AK41" i="2" s="1"/>
  <c r="AR8" i="2" a="1"/>
  <c r="AR8" i="2" s="1"/>
  <c r="AQ8" i="2" a="1"/>
  <c r="AQ8" i="2" s="1"/>
  <c r="AN51" i="2" a="1"/>
  <c r="AN51" i="2" s="1"/>
  <c r="AM51" i="2" a="1"/>
  <c r="AM51" i="2" s="1"/>
  <c r="AN45" i="2" a="1"/>
  <c r="AN45" i="2" s="1"/>
  <c r="AM45" i="2" a="1"/>
  <c r="AM45" i="2" s="1"/>
  <c r="AT28" i="2" a="1"/>
  <c r="AT28" i="2" s="1"/>
  <c r="AS28" i="2" a="1"/>
  <c r="AS28" i="2" s="1"/>
  <c r="AY10" i="2" l="1" a="1"/>
  <c r="AY10" i="2" s="1"/>
  <c r="AS37" i="2" a="1"/>
  <c r="AS37" i="2" s="1"/>
  <c r="AT37" i="2" a="1"/>
  <c r="AT37" i="2" s="1"/>
  <c r="AU37" i="2" s="1" a="1"/>
  <c r="AU37" i="2" s="1"/>
  <c r="AY56" i="2" a="1"/>
  <c r="AY56" i="2" s="1"/>
  <c r="AZ56" i="2" a="1"/>
  <c r="AZ56" i="2" s="1"/>
  <c r="BA56" i="2" s="1" a="1"/>
  <c r="BA56" i="2" s="1"/>
  <c r="AM32" i="2" a="1"/>
  <c r="AM32" i="2" s="1"/>
  <c r="AN32" i="2" a="1"/>
  <c r="AN32" i="2" s="1"/>
  <c r="AO32" i="2" s="1" a="1"/>
  <c r="AO32" i="2" s="1"/>
  <c r="AZ37" i="2" a="1"/>
  <c r="AZ37" i="2" s="1"/>
  <c r="BA37" i="2" s="1" a="1"/>
  <c r="BA37" i="2" s="1"/>
  <c r="AY37" i="2" a="1"/>
  <c r="AY37" i="2" s="1"/>
  <c r="AN48" i="2" a="1"/>
  <c r="AN48" i="2" s="1"/>
  <c r="AO48" i="2" s="1" a="1"/>
  <c r="AO48" i="2" s="1"/>
  <c r="AM48" i="2" a="1"/>
  <c r="AM48" i="2" s="1"/>
  <c r="AS25" i="2" a="1"/>
  <c r="AS25" i="2" s="1"/>
  <c r="AT25" i="2" a="1"/>
  <c r="AT25" i="2" s="1"/>
  <c r="AU25" i="2" s="1" a="1"/>
  <c r="AU25" i="2" s="1"/>
  <c r="AM16" i="2" a="1"/>
  <c r="AM16" i="2" s="1"/>
  <c r="AN16" i="2" a="1"/>
  <c r="AN16" i="2" s="1"/>
  <c r="AT56" i="2" a="1"/>
  <c r="AT56" i="2" s="1"/>
  <c r="AU56" i="2" s="1" a="1"/>
  <c r="AU56" i="2" s="1"/>
  <c r="AS56" i="2" a="1"/>
  <c r="AS56" i="2" s="1"/>
  <c r="AT36" i="2" a="1"/>
  <c r="AT36" i="2" s="1"/>
  <c r="AU36" i="2" s="1" a="1"/>
  <c r="AU36" i="2" s="1"/>
  <c r="AS36" i="2" a="1"/>
  <c r="AS36" i="2" s="1"/>
  <c r="AT6" i="2" a="1"/>
  <c r="AT6" i="2" s="1"/>
  <c r="AS6" i="2" a="1"/>
  <c r="AS6" i="2" s="1"/>
  <c r="AY15" i="2" a="1"/>
  <c r="AY15" i="2" s="1"/>
  <c r="AZ15" i="2" a="1"/>
  <c r="AZ15" i="2" s="1"/>
  <c r="BA15" i="2" s="1" a="1"/>
  <c r="BA15" i="2" s="1"/>
  <c r="AT43" i="2" a="1"/>
  <c r="AT43" i="2" s="1"/>
  <c r="AU43" i="2" s="1" a="1"/>
  <c r="AU43" i="2" s="1"/>
  <c r="AS43" i="2" a="1"/>
  <c r="AS43" i="2" s="1"/>
  <c r="AZ16" i="2" a="1"/>
  <c r="AZ16" i="2" s="1"/>
  <c r="AY16" i="2" a="1"/>
  <c r="AY16" i="2" s="1"/>
  <c r="AM43" i="2" a="1"/>
  <c r="AM43" i="2" s="1"/>
  <c r="AN43" i="2" a="1"/>
  <c r="AN43" i="2" s="1"/>
  <c r="AO43" i="2" s="1" a="1"/>
  <c r="AO43" i="2" s="1"/>
  <c r="AY31" i="2" a="1"/>
  <c r="AY31" i="2" s="1"/>
  <c r="AZ31" i="2" a="1"/>
  <c r="AZ31" i="2" s="1"/>
  <c r="BA31" i="2" s="1" a="1"/>
  <c r="BA31" i="2" s="1"/>
  <c r="AT54" i="2" a="1"/>
  <c r="AT54" i="2" s="1"/>
  <c r="AU54" i="2" s="1" a="1"/>
  <c r="AU54" i="2" s="1"/>
  <c r="AS54" i="2" a="1"/>
  <c r="AS54" i="2" s="1"/>
  <c r="AT15" i="2" a="1"/>
  <c r="AT15" i="2" s="1"/>
  <c r="AS15" i="2" a="1"/>
  <c r="AS15" i="2" s="1"/>
  <c r="AO46" i="2" a="1"/>
  <c r="AO46" i="2" s="1"/>
  <c r="AT46" i="2" a="1"/>
  <c r="AT46" i="2" s="1"/>
  <c r="AS46" i="2" a="1"/>
  <c r="AS46" i="2" s="1"/>
  <c r="AY36" i="2" a="1"/>
  <c r="AY36" i="2" s="1"/>
  <c r="AZ36" i="2" a="1"/>
  <c r="AZ36" i="2" s="1"/>
  <c r="BA36" i="2" s="1" a="1"/>
  <c r="BA36" i="2" s="1"/>
  <c r="AT19" i="2" a="1"/>
  <c r="AT19" i="2" s="1"/>
  <c r="AU19" i="2" s="1" a="1"/>
  <c r="AU19" i="2" s="1"/>
  <c r="AS19" i="2" a="1"/>
  <c r="AS19" i="2" s="1"/>
  <c r="AN30" i="2" a="1"/>
  <c r="AN30" i="2" s="1"/>
  <c r="AM30" i="2" a="1"/>
  <c r="AM30" i="2" s="1"/>
  <c r="AN24" i="2" a="1"/>
  <c r="AN24" i="2" s="1"/>
  <c r="AM24" i="2" a="1"/>
  <c r="AM24" i="2" s="1"/>
  <c r="AO17" i="2" a="1"/>
  <c r="AO17" i="2" s="1"/>
  <c r="AS16" i="2" a="1"/>
  <c r="AS16" i="2" s="1"/>
  <c r="AT16" i="2" a="1"/>
  <c r="AT16" i="2" s="1"/>
  <c r="AT10" i="2" a="1"/>
  <c r="AT10" i="2" s="1"/>
  <c r="AS10" i="2" a="1"/>
  <c r="AS10" i="2" s="1"/>
  <c r="AS21" i="2" a="1"/>
  <c r="AS21" i="2" s="1"/>
  <c r="AS41" i="2" a="1"/>
  <c r="AS41" i="2" s="1"/>
  <c r="AT41" i="2" a="1"/>
  <c r="AT41" i="2" s="1"/>
  <c r="AT21" i="2" a="1"/>
  <c r="AT21" i="2" s="1"/>
  <c r="AT49" i="2" a="1"/>
  <c r="AT49" i="2" s="1"/>
  <c r="AU49" i="2" s="1" a="1"/>
  <c r="AU49" i="2" s="1"/>
  <c r="AS49" i="2" a="1"/>
  <c r="AS49" i="2" s="1"/>
  <c r="AN11" i="2" a="1"/>
  <c r="AN11" i="2" s="1"/>
  <c r="AM11" i="2" a="1"/>
  <c r="AM11" i="2" s="1"/>
  <c r="AY18" i="2" a="1"/>
  <c r="AY18" i="2" s="1"/>
  <c r="AZ18" i="2" a="1"/>
  <c r="AZ18" i="2" s="1"/>
  <c r="BA18" i="2" s="1" a="1"/>
  <c r="BA18" i="2" s="1"/>
  <c r="AZ38" i="2" a="1"/>
  <c r="AZ38" i="2" s="1"/>
  <c r="BA38" i="2" s="1" a="1"/>
  <c r="BA38" i="2" s="1"/>
  <c r="AY38" i="2" a="1"/>
  <c r="AY38" i="2" s="1"/>
  <c r="AZ11" i="2" a="1"/>
  <c r="AZ11" i="2" s="1"/>
  <c r="AY11" i="2" a="1"/>
  <c r="AY11" i="2" s="1"/>
  <c r="AY46" i="2" a="1"/>
  <c r="AY46" i="2" s="1"/>
  <c r="AZ46" i="2" a="1"/>
  <c r="AZ46" i="2" s="1"/>
  <c r="BA46" i="2" s="1" a="1"/>
  <c r="BA46" i="2" s="1"/>
  <c r="AN6" i="2" a="1"/>
  <c r="AN6" i="2" s="1"/>
  <c r="AM6" i="2" a="1"/>
  <c r="AM6" i="2" s="1"/>
  <c r="AZ50" i="2" a="1"/>
  <c r="AZ50" i="2" s="1"/>
  <c r="BA50" i="2" s="1" a="1"/>
  <c r="BA50" i="2" s="1"/>
  <c r="AY50" i="2" a="1"/>
  <c r="AY50" i="2" s="1"/>
  <c r="AT18" i="2" a="1"/>
  <c r="AT18" i="2" s="1"/>
  <c r="AU18" i="2" s="1" a="1"/>
  <c r="AU18" i="2" s="1"/>
  <c r="AS18" i="2" a="1"/>
  <c r="AS18" i="2" s="1"/>
  <c r="AY58" i="2" a="1"/>
  <c r="AY58" i="2" s="1"/>
  <c r="AZ58" i="2" a="1"/>
  <c r="AZ58" i="2" s="1"/>
  <c r="BA58" i="2" s="1" a="1"/>
  <c r="BA58" i="2" s="1"/>
  <c r="BA51" i="2" a="1"/>
  <c r="BA51" i="2" s="1"/>
  <c r="BA32" i="2" a="1"/>
  <c r="BA32" i="2" s="1"/>
  <c r="AN9" i="2" a="1"/>
  <c r="AN9" i="2" s="1"/>
  <c r="AM9" i="2" a="1"/>
  <c r="AM9" i="2" s="1"/>
  <c r="AO53" i="2" a="1"/>
  <c r="AO53" i="2" s="1"/>
  <c r="AT32" i="2" a="1"/>
  <c r="AT32" i="2" s="1"/>
  <c r="AS32" i="2" a="1"/>
  <c r="AS32" i="2" s="1"/>
  <c r="AZ14" i="2" a="1"/>
  <c r="AZ14" i="2" s="1"/>
  <c r="AY14" i="2" a="1"/>
  <c r="AY14" i="2" s="1"/>
  <c r="AZ29" i="2" a="1"/>
  <c r="AZ29" i="2" s="1"/>
  <c r="AY29" i="2" a="1"/>
  <c r="AY29" i="2" s="1"/>
  <c r="AZ13" i="2" a="1"/>
  <c r="AZ13" i="2" s="1"/>
  <c r="BA13" i="2" s="1" a="1"/>
  <c r="BA13" i="2" s="1"/>
  <c r="AY13" i="2" a="1"/>
  <c r="AY13" i="2" s="1"/>
  <c r="AS29" i="2" a="1"/>
  <c r="AS29" i="2" s="1"/>
  <c r="AT29" i="2" a="1"/>
  <c r="AT29" i="2" s="1"/>
  <c r="AU34" i="2" a="1"/>
  <c r="AU34" i="2" s="1"/>
  <c r="AN12" i="2" a="1"/>
  <c r="AN12" i="2" s="1"/>
  <c r="AM12" i="2" a="1"/>
  <c r="AM12" i="2" s="1"/>
  <c r="AZ39" i="2" a="1"/>
  <c r="AZ39" i="2" s="1"/>
  <c r="AY39" i="2" a="1"/>
  <c r="AY39" i="2" s="1"/>
  <c r="AU21" i="2" a="1"/>
  <c r="AU21" i="2" s="1"/>
  <c r="AT27" i="2" a="1"/>
  <c r="AT27" i="2" s="1"/>
  <c r="AS27" i="2" a="1"/>
  <c r="AS27" i="2" s="1"/>
  <c r="BA6" i="2" a="1"/>
  <c r="BA6" i="2" s="1"/>
  <c r="AY22" i="2" a="1"/>
  <c r="AY22" i="2" s="1"/>
  <c r="AZ22" i="2" a="1"/>
  <c r="AZ22" i="2" s="1"/>
  <c r="BA22" i="2" s="1" a="1"/>
  <c r="BA22" i="2" s="1"/>
  <c r="AT12" i="2" a="1"/>
  <c r="AT12" i="2" s="1"/>
  <c r="AS12" i="2" a="1"/>
  <c r="AS12" i="2" s="1"/>
  <c r="AT35" i="2" a="1"/>
  <c r="AT35" i="2" s="1"/>
  <c r="AS35" i="2" a="1"/>
  <c r="AS35" i="2" s="1"/>
  <c r="AY42" i="2" a="1"/>
  <c r="AY42" i="2" s="1"/>
  <c r="AZ42" i="2" a="1"/>
  <c r="AZ42" i="2" s="1"/>
  <c r="BA42" i="2" s="1" a="1"/>
  <c r="BA42" i="2" s="1"/>
  <c r="AU23" i="2" a="1"/>
  <c r="AU23" i="2" s="1"/>
  <c r="AS45" i="2" a="1"/>
  <c r="AS45" i="2" s="1"/>
  <c r="AT45" i="2" a="1"/>
  <c r="AT45" i="2" s="1"/>
  <c r="BA41" i="2" a="1"/>
  <c r="BA41" i="2" s="1"/>
  <c r="AU53" i="2" a="1"/>
  <c r="AU53" i="2" s="1"/>
  <c r="AZ24" i="2" a="1"/>
  <c r="AZ24" i="2" s="1"/>
  <c r="AY24" i="2" a="1"/>
  <c r="AY24" i="2" s="1"/>
  <c r="AS57" i="2" a="1"/>
  <c r="AS57" i="2" s="1"/>
  <c r="AT57" i="2" a="1"/>
  <c r="AT57" i="2" s="1"/>
  <c r="AN47" i="2" a="1"/>
  <c r="AN47" i="2" s="1"/>
  <c r="AM47" i="2" a="1"/>
  <c r="AM47" i="2" s="1"/>
  <c r="AU28" i="2" a="1"/>
  <c r="AU28" i="2" s="1"/>
  <c r="AT47" i="2" a="1"/>
  <c r="AT47" i="2" s="1"/>
  <c r="AS47" i="2" a="1"/>
  <c r="AS47" i="2" s="1"/>
  <c r="AT51" i="2" a="1"/>
  <c r="AT51" i="2" s="1"/>
  <c r="AS51" i="2" a="1"/>
  <c r="AS51" i="2" s="1"/>
  <c r="AN29" i="2" a="1"/>
  <c r="AN29" i="2" s="1"/>
  <c r="AM29" i="2" a="1"/>
  <c r="AM29" i="2" s="1"/>
  <c r="AZ34" i="2" a="1"/>
  <c r="AZ34" i="2" s="1"/>
  <c r="AY34" i="2" a="1"/>
  <c r="AY34" i="2" s="1"/>
  <c r="AZ53" i="2" a="1"/>
  <c r="AZ53" i="2" s="1"/>
  <c r="AY53" i="2" a="1"/>
  <c r="AY53" i="2" s="1"/>
  <c r="AZ35" i="2" a="1"/>
  <c r="AZ35" i="2" s="1"/>
  <c r="AY35" i="2" a="1"/>
  <c r="AY35" i="2" s="1"/>
  <c r="AS40" i="2" a="1"/>
  <c r="AS40" i="2" s="1"/>
  <c r="AT40" i="2" a="1"/>
  <c r="AT40" i="2" s="1"/>
  <c r="AU40" i="2" s="1" a="1"/>
  <c r="AU40" i="2" s="1"/>
  <c r="AO45" i="2" a="1"/>
  <c r="AO45" i="2" s="1"/>
  <c r="AY48" i="2" a="1"/>
  <c r="AY48" i="2" s="1"/>
  <c r="AZ48" i="2" a="1"/>
  <c r="AZ48" i="2" s="1"/>
  <c r="BA48" i="2" s="1" a="1"/>
  <c r="BA48" i="2" s="1"/>
  <c r="AT26" i="2" a="1"/>
  <c r="AT26" i="2" s="1"/>
  <c r="AS26" i="2" a="1"/>
  <c r="AS26" i="2" s="1"/>
  <c r="AO15" i="2" a="1"/>
  <c r="AO15" i="2" s="1"/>
  <c r="BA30" i="2" a="1"/>
  <c r="BA30" i="2" s="1"/>
  <c r="AN21" i="2" a="1"/>
  <c r="AN21" i="2" s="1"/>
  <c r="AM21" i="2" a="1"/>
  <c r="AM21" i="2" s="1"/>
  <c r="BA10" i="2" a="1"/>
  <c r="BA10" i="2" s="1"/>
  <c r="AN35" i="2" a="1"/>
  <c r="AN35" i="2" s="1"/>
  <c r="AM35" i="2" a="1"/>
  <c r="AM35" i="2" s="1"/>
  <c r="AY33" i="2" a="1"/>
  <c r="AY33" i="2" s="1"/>
  <c r="AZ33" i="2" a="1"/>
  <c r="AZ33" i="2" s="1"/>
  <c r="AT42" i="2" a="1"/>
  <c r="AT42" i="2" s="1"/>
  <c r="AU42" i="2" s="1" a="1"/>
  <c r="AU42" i="2" s="1"/>
  <c r="AS42" i="2" a="1"/>
  <c r="AS42" i="2" s="1"/>
  <c r="AZ12" i="2" a="1"/>
  <c r="AZ12" i="2" s="1"/>
  <c r="AY12" i="2" a="1"/>
  <c r="AY12" i="2" s="1"/>
  <c r="AO27" i="2" a="1"/>
  <c r="AO27" i="2" s="1"/>
  <c r="AS17" i="2" a="1"/>
  <c r="AS17" i="2" s="1"/>
  <c r="AT17" i="2" a="1"/>
  <c r="AT17" i="2" s="1"/>
  <c r="AZ47" i="2" a="1"/>
  <c r="AZ47" i="2" s="1"/>
  <c r="AY47" i="2" a="1"/>
  <c r="AY47" i="2" s="1"/>
  <c r="AM55" i="2" a="1"/>
  <c r="AM55" i="2" s="1"/>
  <c r="AN55" i="2" a="1"/>
  <c r="AN55" i="2" s="1"/>
  <c r="AO55" i="2" s="1" a="1"/>
  <c r="AO55" i="2" s="1"/>
  <c r="AZ17" i="2" a="1"/>
  <c r="AZ17" i="2" s="1"/>
  <c r="AY17" i="2" a="1"/>
  <c r="AY17" i="2" s="1"/>
  <c r="AN26" i="2" a="1"/>
  <c r="AN26" i="2" s="1"/>
  <c r="AM26" i="2" a="1"/>
  <c r="AM26" i="2" s="1"/>
  <c r="AU11" i="2" a="1"/>
  <c r="AU11" i="2" s="1"/>
  <c r="BA8" i="2" a="1"/>
  <c r="BA8" i="2" s="1"/>
  <c r="AY9" i="2" a="1"/>
  <c r="AY9" i="2" s="1"/>
  <c r="AZ9" i="2" a="1"/>
  <c r="AZ9" i="2" s="1"/>
  <c r="AT31" i="2" a="1"/>
  <c r="AT31" i="2" s="1"/>
  <c r="AU31" i="2" s="1" a="1"/>
  <c r="AU31" i="2" s="1"/>
  <c r="AS31" i="2" a="1"/>
  <c r="AS31" i="2" s="1"/>
  <c r="AO28" i="2" a="1"/>
  <c r="AO28" i="2" s="1"/>
  <c r="AZ21" i="2" a="1"/>
  <c r="AZ21" i="2" s="1"/>
  <c r="AY21" i="2" a="1"/>
  <c r="AY21" i="2" s="1"/>
  <c r="AT44" i="2" a="1"/>
  <c r="AT44" i="2" s="1"/>
  <c r="AU44" i="2" s="1" a="1"/>
  <c r="AU44" i="2" s="1"/>
  <c r="AS44" i="2" a="1"/>
  <c r="AS44" i="2" s="1"/>
  <c r="AT55" i="2" a="1"/>
  <c r="AT55" i="2" s="1"/>
  <c r="AU55" i="2" s="1" a="1"/>
  <c r="AU55" i="2" s="1"/>
  <c r="AS55" i="2" a="1"/>
  <c r="AS55" i="2" s="1"/>
  <c r="AZ54" i="2" a="1"/>
  <c r="AZ54" i="2" s="1"/>
  <c r="BA54" i="2" s="1" a="1"/>
  <c r="BA54" i="2" s="1"/>
  <c r="AY54" i="2" a="1"/>
  <c r="AY54" i="2" s="1"/>
  <c r="AY7" i="2" a="1"/>
  <c r="AY7" i="2" s="1"/>
  <c r="AZ7" i="2" a="1"/>
  <c r="AZ7" i="2" s="1"/>
  <c r="BA7" i="2" s="1" a="1"/>
  <c r="BA7" i="2" s="1"/>
  <c r="BA23" i="2" a="1"/>
  <c r="BA23" i="2" s="1"/>
  <c r="AT7" i="2" a="1"/>
  <c r="AT7" i="2" s="1"/>
  <c r="AU7" i="2" s="1" a="1"/>
  <c r="AU7" i="2" s="1"/>
  <c r="AS7" i="2" a="1"/>
  <c r="AS7" i="2" s="1"/>
  <c r="AY45" i="2" a="1"/>
  <c r="AY45" i="2" s="1"/>
  <c r="AZ45" i="2" a="1"/>
  <c r="AZ45" i="2" s="1"/>
  <c r="AT9" i="2" a="1"/>
  <c r="AT9" i="2" s="1"/>
  <c r="AS9" i="2" a="1"/>
  <c r="AS9" i="2" s="1"/>
  <c r="AZ40" i="2" a="1"/>
  <c r="AZ40" i="2" s="1"/>
  <c r="BA40" i="2" s="1" a="1"/>
  <c r="BA40" i="2" s="1"/>
  <c r="AY40" i="2" a="1"/>
  <c r="AY40" i="2" s="1"/>
  <c r="AO51" i="2" a="1"/>
  <c r="AO51" i="2" s="1"/>
  <c r="AS33" i="2" a="1"/>
  <c r="AS33" i="2" s="1"/>
  <c r="AT33" i="2" a="1"/>
  <c r="AT33" i="2" s="1"/>
  <c r="AO33" i="2" a="1"/>
  <c r="AO33" i="2" s="1"/>
  <c r="AY57" i="2" a="1"/>
  <c r="AY57" i="2" s="1"/>
  <c r="AZ57" i="2" a="1"/>
  <c r="AZ57" i="2" s="1"/>
  <c r="BA57" i="2" s="1" a="1"/>
  <c r="BA57" i="2" s="1"/>
  <c r="AT5" i="2" a="1"/>
  <c r="AT5" i="2" s="1"/>
  <c r="AS5" i="2" a="1"/>
  <c r="AS5" i="2" s="1"/>
  <c r="AZ25" i="2" a="1"/>
  <c r="AZ25" i="2" s="1"/>
  <c r="BA25" i="2" s="1" a="1"/>
  <c r="BA25" i="2" s="1"/>
  <c r="AY25" i="2" a="1"/>
  <c r="AY25" i="2" s="1"/>
  <c r="AY26" i="2" a="1"/>
  <c r="AY26" i="2" s="1"/>
  <c r="AZ26" i="2" a="1"/>
  <c r="AZ26" i="2" s="1"/>
  <c r="AS39" i="2" a="1"/>
  <c r="AS39" i="2" s="1"/>
  <c r="AT39" i="2" a="1"/>
  <c r="AT39" i="2" s="1"/>
  <c r="AN10" i="2" a="1"/>
  <c r="AN10" i="2" s="1"/>
  <c r="AM10" i="2" a="1"/>
  <c r="AM10" i="2" s="1"/>
  <c r="BA27" i="2" a="1"/>
  <c r="BA27" i="2" s="1"/>
  <c r="AN54" i="2" a="1"/>
  <c r="AN54" i="2" s="1"/>
  <c r="AO54" i="2" s="1" a="1"/>
  <c r="AO54" i="2" s="1"/>
  <c r="AM54" i="2" a="1"/>
  <c r="AM54" i="2" s="1"/>
  <c r="AT20" i="2" a="1"/>
  <c r="AT20" i="2" s="1"/>
  <c r="AU20" i="2" s="1" a="1"/>
  <c r="AU20" i="2" s="1"/>
  <c r="AS20" i="2" a="1"/>
  <c r="AS20" i="2" s="1"/>
  <c r="AN41" i="2" a="1"/>
  <c r="AN41" i="2" s="1"/>
  <c r="AM41" i="2" a="1"/>
  <c r="AM41" i="2" s="1"/>
  <c r="AS8" i="2" a="1"/>
  <c r="AS8" i="2" s="1"/>
  <c r="AT8" i="2" a="1"/>
  <c r="AT8" i="2" s="1"/>
  <c r="AU8" i="2" s="1" a="1"/>
  <c r="AU8" i="2" s="1"/>
  <c r="AN14" i="2" a="1"/>
  <c r="AN14" i="2" s="1"/>
  <c r="AM14" i="2" a="1"/>
  <c r="AM14" i="2" s="1"/>
  <c r="AN57" i="2" a="1"/>
  <c r="AN57" i="2" s="1"/>
  <c r="AO57" i="2" s="1" a="1"/>
  <c r="AO57" i="2" s="1"/>
  <c r="AM57" i="2" a="1"/>
  <c r="AM57" i="2" s="1"/>
  <c r="AT52" i="2" a="1"/>
  <c r="AT52" i="2" s="1"/>
  <c r="AS52" i="2" a="1"/>
  <c r="AS52" i="2" s="1"/>
  <c r="AY44" i="2" a="1"/>
  <c r="AY44" i="2" s="1"/>
  <c r="AZ44" i="2" a="1"/>
  <c r="AZ44" i="2" s="1"/>
  <c r="BA44" i="2" s="1" a="1"/>
  <c r="BA44" i="2" s="1"/>
  <c r="AN23" i="2" a="1"/>
  <c r="AN23" i="2" s="1"/>
  <c r="AM23" i="2" a="1"/>
  <c r="AM23" i="2" s="1"/>
  <c r="AO16" i="2" l="1" a="1"/>
  <c r="AO16" i="2" s="1"/>
  <c r="AU46" i="2" a="1"/>
  <c r="AU46" i="2" s="1"/>
  <c r="AU6" i="2" a="1"/>
  <c r="AU6" i="2" s="1"/>
  <c r="AU15" i="2" a="1"/>
  <c r="AU15" i="2" s="1"/>
  <c r="BA16" i="2" a="1"/>
  <c r="BA16" i="2" s="1"/>
  <c r="AO11" i="2" a="1"/>
  <c r="AO11" i="2" s="1"/>
  <c r="AU16" i="2" a="1"/>
  <c r="AU16" i="2" s="1"/>
  <c r="AU10" i="2" a="1"/>
  <c r="AU10" i="2" s="1"/>
  <c r="BA11" i="2" a="1"/>
  <c r="BA11" i="2" s="1"/>
  <c r="AO6" i="2" a="1"/>
  <c r="AO6" i="2" s="1"/>
  <c r="AU41" i="2" a="1"/>
  <c r="AU41" i="2" s="1"/>
  <c r="AO24" i="2" a="1"/>
  <c r="AO24" i="2" s="1"/>
  <c r="AO30" i="2" a="1"/>
  <c r="AO30" i="2" s="1"/>
  <c r="BA9" i="2" a="1"/>
  <c r="BA9" i="2" s="1"/>
  <c r="BA33" i="2" a="1"/>
  <c r="BA33" i="2" s="1"/>
  <c r="AU52" i="2" a="1"/>
  <c r="AU52" i="2" s="1"/>
  <c r="BA45" i="2" a="1"/>
  <c r="BA45" i="2" s="1"/>
  <c r="BA35" i="2" a="1"/>
  <c r="BA35" i="2" s="1"/>
  <c r="AO47" i="2" a="1"/>
  <c r="AO47" i="2" s="1"/>
  <c r="AU27" i="2" a="1"/>
  <c r="AU27" i="2" s="1"/>
  <c r="BA29" i="2" a="1"/>
  <c r="BA29" i="2" s="1"/>
  <c r="AU5" i="2" a="1"/>
  <c r="AU5" i="2" s="1"/>
  <c r="BA21" i="2" a="1"/>
  <c r="BA21" i="2" s="1"/>
  <c r="AO21" i="2" a="1"/>
  <c r="AO21" i="2" s="1"/>
  <c r="AO29" i="2" a="1"/>
  <c r="AO29" i="2" s="1"/>
  <c r="AU12" i="2" a="1"/>
  <c r="AU12" i="2" s="1"/>
  <c r="BA39" i="2" a="1"/>
  <c r="BA39" i="2" s="1"/>
  <c r="BA34" i="2" a="1"/>
  <c r="BA34" i="2" s="1"/>
  <c r="AU9" i="2" a="1"/>
  <c r="AU9" i="2" s="1"/>
  <c r="BA47" i="2" a="1"/>
  <c r="BA47" i="2" s="1"/>
  <c r="BA12" i="2" a="1"/>
  <c r="BA12" i="2" s="1"/>
  <c r="AO12" i="2" a="1"/>
  <c r="AO12" i="2" s="1"/>
  <c r="AU29" i="2" a="1"/>
  <c r="AU29" i="2" s="1"/>
  <c r="AU39" i="2" a="1"/>
  <c r="AU39" i="2" s="1"/>
  <c r="AO41" i="2" a="1"/>
  <c r="AO41" i="2" s="1"/>
  <c r="AO10" i="2" a="1"/>
  <c r="AO10" i="2" s="1"/>
  <c r="AO26" i="2" a="1"/>
  <c r="AO26" i="2" s="1"/>
  <c r="AU17" i="2" a="1"/>
  <c r="AU17" i="2" s="1"/>
  <c r="AU57" i="2" a="1"/>
  <c r="AU57" i="2" s="1"/>
  <c r="BA14" i="2" a="1"/>
  <c r="BA14" i="2" s="1"/>
  <c r="AO9" i="2" a="1"/>
  <c r="AO9" i="2" s="1"/>
  <c r="AU51" i="2" a="1"/>
  <c r="AU51" i="2" s="1"/>
  <c r="AU35" i="2" a="1"/>
  <c r="AU35" i="2" s="1"/>
  <c r="BA17" i="2" a="1"/>
  <c r="BA17" i="2" s="1"/>
  <c r="AU47" i="2" a="1"/>
  <c r="AU47" i="2" s="1"/>
  <c r="BA24" i="2" a="1"/>
  <c r="BA24" i="2" s="1"/>
  <c r="AO23" i="2" a="1"/>
  <c r="AO23" i="2" s="1"/>
  <c r="AO14" i="2" a="1"/>
  <c r="AO14" i="2" s="1"/>
  <c r="BA26" i="2" a="1"/>
  <c r="BA26" i="2" s="1"/>
  <c r="AU33" i="2" a="1"/>
  <c r="AU33" i="2" s="1"/>
  <c r="AU26" i="2" a="1"/>
  <c r="AU26" i="2" s="1"/>
  <c r="AU32" i="2" a="1"/>
  <c r="AU32" i="2" s="1"/>
  <c r="AO35" i="2" a="1"/>
  <c r="AO35" i="2" s="1"/>
  <c r="BA53" i="2" a="1"/>
  <c r="BA53" i="2" s="1"/>
  <c r="AU45" i="2" a="1"/>
  <c r="AU4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<sst xmlns="http://schemas.openxmlformats.org/spreadsheetml/2006/main" count="1844" uniqueCount="304">
  <si>
    <t>The lock password is "password"</t>
  </si>
  <si>
    <t xml:space="preserve"> </t>
  </si>
  <si>
    <t>X</t>
  </si>
  <si>
    <t>X'</t>
  </si>
  <si>
    <t>X2</t>
  </si>
  <si>
    <t>Y</t>
  </si>
  <si>
    <t>Y'</t>
  </si>
  <si>
    <t>Y2</t>
  </si>
  <si>
    <t>Z</t>
  </si>
  <si>
    <t>Z'</t>
  </si>
  <si>
    <t>Z2</t>
  </si>
  <si>
    <t>X2 Y</t>
  </si>
  <si>
    <t>X2 Y'</t>
  </si>
  <si>
    <t>Y2 Z</t>
  </si>
  <si>
    <t>Y2 Z'</t>
  </si>
  <si>
    <t>Z2 X</t>
  </si>
  <si>
    <t>Z2 X'</t>
  </si>
  <si>
    <t>T-reflection</t>
  </si>
  <si>
    <t>R</t>
  </si>
  <si>
    <t>L'</t>
  </si>
  <si>
    <t>R'</t>
  </si>
  <si>
    <t>L</t>
  </si>
  <si>
    <t>R2</t>
  </si>
  <si>
    <t>L2</t>
  </si>
  <si>
    <t>a</t>
  </si>
  <si>
    <t>b</t>
  </si>
  <si>
    <t>c</t>
  </si>
  <si>
    <t>d</t>
  </si>
  <si>
    <t>Group</t>
  </si>
  <si>
    <t>A</t>
  </si>
  <si>
    <t>B</t>
  </si>
  <si>
    <t>C</t>
  </si>
  <si>
    <t>D</t>
  </si>
  <si>
    <t>Still available for ascii chars: o, =, |</t>
  </si>
  <si>
    <t>orig</t>
  </si>
  <si>
    <t>char</t>
  </si>
  <si>
    <t>code</t>
  </si>
  <si>
    <t>inverse</t>
  </si>
  <si>
    <t>inv char</t>
  </si>
  <si>
    <t>inv code</t>
  </si>
  <si>
    <t>Complement</t>
  </si>
  <si>
    <t>CompChar</t>
  </si>
  <si>
    <t>Rotation Direction</t>
  </si>
  <si>
    <t>orig + &lt;space&gt;</t>
  </si>
  <si>
    <t>(X)</t>
  </si>
  <si>
    <t>(Y)</t>
  </si>
  <si>
    <t>(Z)</t>
  </si>
  <si>
    <t>(T-reflection)</t>
  </si>
  <si>
    <t>(H-reflection)</t>
  </si>
  <si>
    <t>(S-reflection)</t>
  </si>
  <si>
    <t>orig char</t>
  </si>
  <si>
    <t>X char</t>
  </si>
  <si>
    <t>X2 char</t>
  </si>
  <si>
    <t>X' char</t>
  </si>
  <si>
    <t>Y char</t>
  </si>
  <si>
    <t>Y2 char</t>
  </si>
  <si>
    <t>Y' char</t>
  </si>
  <si>
    <t>Z char</t>
  </si>
  <si>
    <t>Z2 char</t>
  </si>
  <si>
    <t>Z' char</t>
  </si>
  <si>
    <t>T-refl char</t>
  </si>
  <si>
    <t>H-reflection</t>
  </si>
  <si>
    <t>H-refl char</t>
  </si>
  <si>
    <t>S-reflection</t>
  </si>
  <si>
    <t>S-refl char</t>
  </si>
  <si>
    <t>l</t>
  </si>
  <si>
    <t>F</t>
  </si>
  <si>
    <t>r</t>
  </si>
  <si>
    <t>r'</t>
  </si>
  <si>
    <t>f</t>
  </si>
  <si>
    <t>l'</t>
  </si>
  <si>
    <t>T</t>
  </si>
  <si>
    <t>T'</t>
  </si>
  <si>
    <t>R'L</t>
  </si>
  <si>
    <t>S</t>
  </si>
  <si>
    <t>H'</t>
  </si>
  <si>
    <t>u</t>
  </si>
  <si>
    <t>U</t>
  </si>
  <si>
    <t>F'</t>
  </si>
  <si>
    <t>D'</t>
  </si>
  <si>
    <t>f'</t>
  </si>
  <si>
    <t>d'</t>
  </si>
  <si>
    <t>RL'</t>
  </si>
  <si>
    <t>S'</t>
  </si>
  <si>
    <t>H</t>
  </si>
  <si>
    <t>g</t>
  </si>
  <si>
    <t>b'</t>
  </si>
  <si>
    <t>u'</t>
  </si>
  <si>
    <t>G</t>
  </si>
  <si>
    <t>B'</t>
  </si>
  <si>
    <t>U'</t>
  </si>
  <si>
    <t>!</t>
  </si>
  <si>
    <t>J</t>
  </si>
  <si>
    <t>l2</t>
  </si>
  <si>
    <t>F2</t>
  </si>
  <si>
    <t>D2</t>
  </si>
  <si>
    <t>r2</t>
  </si>
  <si>
    <t>j</t>
  </si>
  <si>
    <t>f2</t>
  </si>
  <si>
    <t>d2</t>
  </si>
  <si>
    <t>T2</t>
  </si>
  <si>
    <t>K</t>
  </si>
  <si>
    <t>R2L2</t>
  </si>
  <si>
    <t>S2</t>
  </si>
  <si>
    <t>H2</t>
  </si>
  <si>
    <t>n</t>
  </si>
  <si>
    <t>b2</t>
  </si>
  <si>
    <t>u2</t>
  </si>
  <si>
    <t>N</t>
  </si>
  <si>
    <t>B2</t>
  </si>
  <si>
    <t>U2</t>
  </si>
  <si>
    <t>P</t>
  </si>
  <si>
    <t>F'B</t>
  </si>
  <si>
    <t>Q</t>
  </si>
  <si>
    <t>q</t>
  </si>
  <si>
    <t>V</t>
  </si>
  <si>
    <t>FB'</t>
  </si>
  <si>
    <t>&amp;</t>
  </si>
  <si>
    <t>@</t>
  </si>
  <si>
    <t>#</t>
  </si>
  <si>
    <t>$</t>
  </si>
  <si>
    <t>?</t>
  </si>
  <si>
    <t>^</t>
  </si>
  <si>
    <t>F2B2</t>
  </si>
  <si>
    <t>~</t>
  </si>
  <si>
    <t>`</t>
  </si>
  <si>
    <t>=</t>
  </si>
  <si>
    <t>U'D</t>
  </si>
  <si>
    <t>.</t>
  </si>
  <si>
    <t>-</t>
  </si>
  <si>
    <t>+</t>
  </si>
  <si>
    <t>UD'</t>
  </si>
  <si>
    <t>k</t>
  </si>
  <si>
    <t>%</t>
  </si>
  <si>
    <t>p</t>
  </si>
  <si>
    <t>\</t>
  </si>
  <si>
    <t>v</t>
  </si>
  <si>
    <t>/</t>
  </si>
  <si>
    <t>U2D2</t>
  </si>
  <si>
    <t>_</t>
  </si>
  <si>
    <t>I</t>
  </si>
  <si>
    <t>FR</t>
  </si>
  <si>
    <t>UR</t>
  </si>
  <si>
    <t>FL</t>
  </si>
  <si>
    <t>UB</t>
  </si>
  <si>
    <t>UL</t>
  </si>
  <si>
    <t>UF</t>
  </si>
  <si>
    <t>Both face turns whose complement has a given rotation</t>
  </si>
  <si>
    <t xml:space="preserve">  -</t>
  </si>
  <si>
    <t>SeekCodes</t>
  </si>
  <si>
    <t>All Coros (Core Rotations)</t>
  </si>
  <si>
    <t>DO6 - multiple methods of identification</t>
  </si>
  <si>
    <t>Mod 4 tracker</t>
  </si>
  <si>
    <t>Rotation</t>
  </si>
  <si>
    <t>Opposite Primary</t>
  </si>
  <si>
    <t>Opposite Secondary</t>
  </si>
  <si>
    <t>Face Turn Sought</t>
  </si>
  <si>
    <t>opp Rotation</t>
  </si>
  <si>
    <t>SeekCode</t>
  </si>
  <si>
    <t>Coro</t>
  </si>
  <si>
    <t>Type</t>
  </si>
  <si>
    <t>thumb pivot</t>
  </si>
  <si>
    <t>U-F center</t>
  </si>
  <si>
    <t>180 swap</t>
  </si>
  <si>
    <t>Types</t>
  </si>
  <si>
    <t>Groups</t>
  </si>
  <si>
    <t>Thumbs</t>
  </si>
  <si>
    <t>U-F centers</t>
  </si>
  <si>
    <t>180 swaps</t>
  </si>
  <si>
    <t>RotationNum</t>
  </si>
  <si>
    <t>CompRotationNum</t>
  </si>
  <si>
    <t>Group 1</t>
  </si>
  <si>
    <t>yellow-blue</t>
  </si>
  <si>
    <t>PAPER</t>
  </si>
  <si>
    <t>MyAlg</t>
  </si>
  <si>
    <t>Y' X2</t>
  </si>
  <si>
    <t>Group 2</t>
  </si>
  <si>
    <t>yellow-green</t>
  </si>
  <si>
    <t>Z2 Y'</t>
  </si>
  <si>
    <t>Group 3</t>
  </si>
  <si>
    <t>blue-orange</t>
  </si>
  <si>
    <t>FIRE</t>
  </si>
  <si>
    <t>Y Z2</t>
  </si>
  <si>
    <t>Group 4</t>
  </si>
  <si>
    <t>green-orange</t>
  </si>
  <si>
    <t>X X Y</t>
  </si>
  <si>
    <t>Group 5</t>
  </si>
  <si>
    <t>red-white</t>
  </si>
  <si>
    <t>WATER</t>
  </si>
  <si>
    <t>X' X' Y</t>
  </si>
  <si>
    <t>Group 6</t>
  </si>
  <si>
    <t>orange-yellow</t>
  </si>
  <si>
    <t>M'</t>
  </si>
  <si>
    <t>Y' X X</t>
  </si>
  <si>
    <t>Y' X' X'</t>
  </si>
  <si>
    <t>Z Z Y'</t>
  </si>
  <si>
    <t>Z' Z' Y'</t>
  </si>
  <si>
    <t>Y Z Z</t>
  </si>
  <si>
    <t>Y Z' Z'</t>
  </si>
  <si>
    <t>X Z X</t>
  </si>
  <si>
    <t>M2</t>
  </si>
  <si>
    <t>X' Z' X'</t>
  </si>
  <si>
    <t>Z X Z</t>
  </si>
  <si>
    <t>Z' X' Z'</t>
  </si>
  <si>
    <t>X Y Z</t>
  </si>
  <si>
    <t>Z' Y' X'</t>
  </si>
  <si>
    <t>X' Y Z'</t>
  </si>
  <si>
    <t>Z Y' X</t>
  </si>
  <si>
    <t>M</t>
  </si>
  <si>
    <t>Y X2</t>
  </si>
  <si>
    <t>Z2 Y</t>
  </si>
  <si>
    <t>Y' Z2</t>
  </si>
  <si>
    <t>X X Y'</t>
  </si>
  <si>
    <t>X' X' Y'</t>
  </si>
  <si>
    <t>Y X X</t>
  </si>
  <si>
    <t>Y X' X'</t>
  </si>
  <si>
    <t>Z Z Y</t>
  </si>
  <si>
    <t>Z' Z' Y</t>
  </si>
  <si>
    <t>Y' Z Z</t>
  </si>
  <si>
    <t>Y' Z' Z'</t>
  </si>
  <si>
    <t>X Z' X</t>
  </si>
  <si>
    <t>X' Z X'</t>
  </si>
  <si>
    <t>Z X' Z</t>
  </si>
  <si>
    <t>Z' X Z'</t>
  </si>
  <si>
    <t>X Y' Z'</t>
  </si>
  <si>
    <t>Z Y X'</t>
  </si>
  <si>
    <t>X' Y' Z</t>
  </si>
  <si>
    <t>Z' Y X</t>
  </si>
  <si>
    <t>Z' Y2</t>
  </si>
  <si>
    <t>X2 Z'</t>
  </si>
  <si>
    <t>Z X2</t>
  </si>
  <si>
    <t>Y Y Z</t>
  </si>
  <si>
    <t>Y' Y' Z</t>
  </si>
  <si>
    <t>Z' Y Y</t>
  </si>
  <si>
    <t>Z' Y' Y'</t>
  </si>
  <si>
    <t>X X Z'</t>
  </si>
  <si>
    <t>X' X' Z'</t>
  </si>
  <si>
    <t>Z X X</t>
  </si>
  <si>
    <t>Z X' X'</t>
  </si>
  <si>
    <t>Y X Y</t>
  </si>
  <si>
    <t>Y' X' Y'</t>
  </si>
  <si>
    <t>X Y X</t>
  </si>
  <si>
    <t>X' Y' X'</t>
  </si>
  <si>
    <t>Y Z X</t>
  </si>
  <si>
    <t>X' Z' Y'</t>
  </si>
  <si>
    <t>Y' Z X'</t>
  </si>
  <si>
    <t>X Z' Y</t>
  </si>
  <si>
    <t>Z Y2</t>
  </si>
  <si>
    <t>X2 Z</t>
  </si>
  <si>
    <t>Z' X2</t>
  </si>
  <si>
    <t>Y Y Z'</t>
  </si>
  <si>
    <t>Y' Y' Z'</t>
  </si>
  <si>
    <t>Z Y Y</t>
  </si>
  <si>
    <t>Z Y' Y'</t>
  </si>
  <si>
    <t>X X Z</t>
  </si>
  <si>
    <t>X' X' Z</t>
  </si>
  <si>
    <t>Z' X X</t>
  </si>
  <si>
    <t>Z' X' X'</t>
  </si>
  <si>
    <t>Y X' Y</t>
  </si>
  <si>
    <t>Y' X Y'</t>
  </si>
  <si>
    <t>X Y' X</t>
  </si>
  <si>
    <t>X' Y X'</t>
  </si>
  <si>
    <t>Y Z' X'</t>
  </si>
  <si>
    <t>X Z Y'</t>
  </si>
  <si>
    <t>Y' Z' X</t>
  </si>
  <si>
    <t>X' Z Y</t>
  </si>
  <si>
    <t>X' Z2</t>
  </si>
  <si>
    <t>Y2 X'</t>
  </si>
  <si>
    <t>X Y2</t>
  </si>
  <si>
    <t>Z Z X</t>
  </si>
  <si>
    <t>Z' Z' X</t>
  </si>
  <si>
    <t>X' Z Z</t>
  </si>
  <si>
    <t>X' Z' Z'</t>
  </si>
  <si>
    <t>Y Y X'</t>
  </si>
  <si>
    <t>Y' Y' X'</t>
  </si>
  <si>
    <t>X Y Y</t>
  </si>
  <si>
    <t>X Y' Y'</t>
  </si>
  <si>
    <t>Z Y Z</t>
  </si>
  <si>
    <t>Z' Y' Z'</t>
  </si>
  <si>
    <t>Y Z Y</t>
  </si>
  <si>
    <t>Y' Z' Y'</t>
  </si>
  <si>
    <t>Z X Y</t>
  </si>
  <si>
    <t>Y' X' Z'</t>
  </si>
  <si>
    <t>Z' X Y'</t>
  </si>
  <si>
    <t>Y X' Z</t>
  </si>
  <si>
    <t>X Z2</t>
  </si>
  <si>
    <t>Y2 X</t>
  </si>
  <si>
    <t>X' Y2</t>
  </si>
  <si>
    <t>Z Z X'</t>
  </si>
  <si>
    <t>Z' Z' X'</t>
  </si>
  <si>
    <t>X Z Z</t>
  </si>
  <si>
    <t>X Z' Z'</t>
  </si>
  <si>
    <t>Y Y X</t>
  </si>
  <si>
    <t>Y' Y' X</t>
  </si>
  <si>
    <t>X' Y Y</t>
  </si>
  <si>
    <t>X' Y' Y'</t>
  </si>
  <si>
    <t>Z Y' Z</t>
  </si>
  <si>
    <t>Z' Y Z'</t>
  </si>
  <si>
    <t>Y Z' Y</t>
  </si>
  <si>
    <t>Y' Z Y'</t>
  </si>
  <si>
    <t>Z X' Y'</t>
  </si>
  <si>
    <t>Y X Z'</t>
  </si>
  <si>
    <t>Z' X' Y</t>
  </si>
  <si>
    <t>Y' X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</si>
</sst>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rial"/>
      <family val="18"/>
    </font>
    <font>
      <sz val="6"/>
      <name val="Yu Gothic"/>
      <family val="2"/>
      <charset val="128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rgb="FF505050"/>
      </bottom>
      <diagonal/>
    </border>
    <border>
      <left/>
      <right style="double">
        <color theme="1"/>
      </right>
      <top/>
      <bottom/>
      <diagonal/>
    </border>
    <border>
      <left/>
      <right style="double">
        <color theme="1"/>
      </right>
      <top/>
      <bottom style="thin">
        <color rgb="FF50505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0" xfId="0" applyFont="1" applyAlignment="1">
      <alignment wrapText="1" readingOrder="1"/>
    </xf>
    <xf numFmtId="0" fontId="5" fillId="0" borderId="0" xfId="0" applyFont="1"/>
    <xf numFmtId="0" fontId="0" fillId="0" borderId="2" xfId="0" applyBorder="1"/>
    <xf numFmtId="0" fontId="0" fillId="2" borderId="0" xfId="0" applyFill="1"/>
    <xf numFmtId="0" fontId="0" fillId="0" borderId="0" xfId="0" quotePrefix="1"/>
    <xf numFmtId="0" fontId="0" fillId="0" borderId="3" xfId="0" applyBorder="1"/>
    <xf numFmtId="0" fontId="0" fillId="0" borderId="1" xfId="0" quotePrefix="1" applyBorder="1"/>
    <xf numFmtId="0" fontId="2" fillId="0" borderId="1" xfId="0" applyFont="1" applyBorder="1"/>
    <xf numFmtId="0" fontId="3" fillId="0" borderId="5" xfId="0" applyFont="1" applyBorder="1" applyAlignment="1">
      <alignment wrapText="1" readingOrder="1"/>
    </xf>
    <xf numFmtId="0" fontId="0" fillId="0" borderId="5" xfId="0" applyBorder="1"/>
    <xf numFmtId="0" fontId="0" fillId="0" borderId="4" xfId="0" applyBorder="1"/>
    <xf numFmtId="0" fontId="3" fillId="0" borderId="6" xfId="0" applyFont="1" applyBorder="1" applyAlignment="1">
      <alignment wrapText="1" readingOrder="1"/>
    </xf>
    <xf numFmtId="0" fontId="0" fillId="0" borderId="6" xfId="0" applyBorder="1"/>
    <xf numFmtId="0" fontId="0" fillId="0" borderId="7" xfId="0" applyBorder="1"/>
    <xf numFmtId="0" fontId="6" fillId="0" borderId="5" xfId="0" applyFont="1" applyBorder="1" applyAlignment="1">
      <alignment wrapText="1" readingOrder="1"/>
    </xf>
  </cellXfs>
  <cellStyles count="1">
    <cellStyle name="Normal" xfId="0" builtinId="0"/>
  </cellStyles>
  <dxfs count="86">
    <dxf>
      <fill>
        <patternFill>
          <bgColor rgb="FF20E8ED"/>
        </patternFill>
      </fill>
    </dxf>
    <dxf>
      <fill>
        <patternFill>
          <bgColor rgb="FF92D050"/>
        </patternFill>
      </fill>
    </dxf>
    <dxf>
      <fill>
        <patternFill>
          <bgColor rgb="FF20E8ED"/>
        </patternFill>
      </fill>
    </dxf>
    <dxf>
      <fill>
        <patternFill>
          <bgColor rgb="FF92D05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sz val="1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505050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  <border>
        <right style="double">
          <color theme="1"/>
        </right>
      </border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Medium9"/>
  <colors>
    <mruColors>
      <color rgb="FF56E8C6"/>
      <color rgb="FFF36DE9"/>
      <color rgb="FF00D2C7"/>
      <color rgb="FF20E8ED"/>
      <color rgb="FFE85A6D"/>
      <color rgb="FFFF90C7"/>
      <color rgb="FF2B2B2B"/>
      <color rgb="FF7C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C8717-F9C8-4F69-BEFA-7A9CFBE9E0FC}" name="Table1" displayName="Table1" ref="Q4:R58" totalsRowShown="0" headerRowDxfId="85" dataDxfId="84">
  <autoFilter ref="Q4:R58" xr:uid="{39DC8717-F9C8-4F69-BEFA-7A9CFBE9E0FC}"/>
  <tableColumns count="2">
    <tableColumn id="2" xr3:uid="{261FAE33-952B-4602-B772-C5B266CD69CD}" name="orig" dataDxfId="83"/>
    <tableColumn id="3" xr3:uid="{224443CF-22EE-4BA6-97C6-DBE87AE0E5AB}" name="(Y)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2989BD-C98E-9A41-B671-F66D33543D5A}" name="Table2" displayName="Table2" ref="AH4:BG58" totalsRowShown="0" headerRowDxfId="81" dataDxfId="80">
  <autoFilter ref="AH4:BG58" xr:uid="{BD2989BD-C98E-9A41-B671-F66D33543D5A}"/>
  <tableColumns count="26">
    <tableColumn id="1" xr3:uid="{D84713D4-EBFB-F741-89E9-DF0DE975DCB4}" name="orig" dataDxfId="79">
      <calculatedColumnFormula>Q5</calculatedColumnFormula>
    </tableColumn>
    <tableColumn id="14" xr3:uid="{8979610E-48A5-4A4D-8022-29B6F81CF6FF}" name="orig char" dataDxfId="78">
      <calculatedColumnFormula array="1">_xlfn.XLOOKUP(TRUE, EXACT(Table2[[#This Row],[orig]], Table9[orig]), Table9[char])</calculatedColumnFormula>
    </tableColumn>
    <tableColumn id="7" xr3:uid="{E90E5CA9-DCC9-A34E-862E-3A065DC3B0EB}" name="X" dataDxfId="77">
      <calculatedColumnFormula array="1">_xlfn.XLOOKUP(TRUE, EXACT(Table2[[#This Row],[orig]], Table4[orig]), Table4[(X)])</calculatedColumnFormula>
    </tableColumn>
    <tableColumn id="15" xr3:uid="{C4C4C34D-87E0-6649-B4D7-06A4880069C7}" name="X char" dataDxfId="76">
      <calculatedColumnFormula array="1">_xlfn.XLOOKUP(TRUE, EXACT(Table2[[#This Row],[X]], Table9[orig]), Table9[char])</calculatedColumnFormula>
    </tableColumn>
    <tableColumn id="6" xr3:uid="{575DDDB4-7687-FC47-8C90-00126ED99A10}" name="X2" dataDxfId="75">
      <calculatedColumnFormula array="1">_xlfn.XLOOKUP(TRUE, EXACT(AJ5, Table4[orig]), Table4[(X)])</calculatedColumnFormula>
    </tableColumn>
    <tableColumn id="16" xr3:uid="{0A65829D-4B59-754F-8377-8AF879A07925}" name="X2 char" dataDxfId="74">
      <calculatedColumnFormula array="1">_xlfn.XLOOKUP(TRUE, EXACT(Table2[[#This Row],[X2]], Table9[orig]), Table9[char])</calculatedColumnFormula>
    </tableColumn>
    <tableColumn id="5" xr3:uid="{5EF59DDD-4B53-DE42-B6BD-7FD3D37998AA}" name="X'" dataDxfId="73">
      <calculatedColumnFormula array="1">_xlfn.XLOOKUP(TRUE, EXACT(AL5, Table4[orig]), Table4[(X)])</calculatedColumnFormula>
    </tableColumn>
    <tableColumn id="17" xr3:uid="{818E8773-AB65-B04C-9675-0D23015988F5}" name="X' char" dataDxfId="72">
      <calculatedColumnFormula array="1">_xlfn.XLOOKUP(TRUE, EXACT(Table2[[#This Row],[X'']], Table9[orig]), Table9[char])</calculatedColumnFormula>
    </tableColumn>
    <tableColumn id="2" xr3:uid="{2BDA21B0-DDFA-A943-9AE3-2002F487E936}" name="Y" dataDxfId="71">
      <calculatedColumnFormula array="1">_xlfn.XLOOKUP(TRUE, EXACT(AH5, Table1[orig]), Table1[(Y)])</calculatedColumnFormula>
    </tableColumn>
    <tableColumn id="18" xr3:uid="{EFA1CCA7-6B16-C74C-B7A7-0C0FA29CEAE8}" name="Y char" dataDxfId="70">
      <calculatedColumnFormula array="1">_xlfn.XLOOKUP(TRUE, EXACT(Table2[[#This Row],[Y]], Table9[orig]), Table9[char])</calculatedColumnFormula>
    </tableColumn>
    <tableColumn id="3" xr3:uid="{6F2E5D26-C57A-C544-B6C7-D582616ADE53}" name="Y2" dataDxfId="69">
      <calculatedColumnFormula array="1">_xlfn.XLOOKUP(TRUE, EXACT(AP5, Table1[orig]), Table1[(Y)])</calculatedColumnFormula>
    </tableColumn>
    <tableColumn id="19" xr3:uid="{50818589-CBDD-A041-AE51-0296FFB30A16}" name="Y2 char" dataDxfId="68">
      <calculatedColumnFormula array="1">_xlfn.XLOOKUP(TRUE, EXACT(Table2[[#This Row],[Y2]], Table9[orig]), Table9[char])</calculatedColumnFormula>
    </tableColumn>
    <tableColumn id="4" xr3:uid="{AF4715C6-E998-8347-9945-E4CECCAC0DF5}" name="Y'" dataDxfId="67">
      <calculatedColumnFormula array="1">_xlfn.XLOOKUP(TRUE, EXACT(AR5, Table1[orig]), Table1[(Y)])</calculatedColumnFormula>
    </tableColumn>
    <tableColumn id="20" xr3:uid="{8F499C74-9B16-CF40-A14F-06070CC8A8BC}" name="Y' char" dataDxfId="66">
      <calculatedColumnFormula array="1">_xlfn.XLOOKUP(TRUE, EXACT(Table2[[#This Row],[Y'']], Table9[orig]), Table9[char])</calculatedColumnFormula>
    </tableColumn>
    <tableColumn id="13" xr3:uid="{B6211330-7C2D-6846-9131-5A50C0C80D28}" name="Z" dataDxfId="65">
      <calculatedColumnFormula array="1">_xlfn.XLOOKUP(TRUE, EXACT(Table2[[#This Row],[orig]], Table3[orig]), Table3[(Z)])</calculatedColumnFormula>
    </tableColumn>
    <tableColumn id="21" xr3:uid="{4FE36AE0-8285-EE4E-A3EC-733D443BE06F}" name="Z char" dataDxfId="64">
      <calculatedColumnFormula array="1">_xlfn.XLOOKUP(TRUE, EXACT(Table2[[#This Row],[Z]], Table9[orig]), Table9[char])</calculatedColumnFormula>
    </tableColumn>
    <tableColumn id="12" xr3:uid="{5337B581-3138-E343-A346-D938E5793A56}" name="Z2" dataDxfId="63">
      <calculatedColumnFormula array="1">_xlfn.XLOOKUP(TRUE, EXACT(AV5, Table3[orig]), Table3[(Z)])</calculatedColumnFormula>
    </tableColumn>
    <tableColumn id="22" xr3:uid="{9BA24DAA-3B18-1341-A4D6-0BE9BF8787C7}" name="Z2 char" dataDxfId="62">
      <calculatedColumnFormula array="1">_xlfn.XLOOKUP(TRUE, EXACT(Table2[[#This Row],[Z2]], Table9[orig]), Table9[char])</calculatedColumnFormula>
    </tableColumn>
    <tableColumn id="11" xr3:uid="{7BB96A9A-0D83-DA47-BC99-B547A51EEB37}" name="Z'" dataDxfId="61">
      <calculatedColumnFormula array="1">_xlfn.XLOOKUP(TRUE, EXACT(AX5, Table3[orig]), Table3[(Z)])</calculatedColumnFormula>
    </tableColumn>
    <tableColumn id="23" xr3:uid="{5527AE26-B48B-F541-A020-540955335CA2}" name="Z' char" dataDxfId="60">
      <calculatedColumnFormula array="1">_xlfn.XLOOKUP(TRUE, EXACT(Table2[[#This Row],[Z'']], Table9[orig]), Table9[char])</calculatedColumnFormula>
    </tableColumn>
    <tableColumn id="10" xr3:uid="{6E619BEB-3249-F647-8EA6-670CD967F369}" name="T-reflection" dataDxfId="59">
      <calculatedColumnFormula array="1">_xlfn.XLOOKUP(TRUE, EXACT(Table2[[#This Row],[orig]], Table5[orig]), Table5[(T-reflection)])</calculatedColumnFormula>
    </tableColumn>
    <tableColumn id="24" xr3:uid="{CFB1CF44-B3C7-5542-B043-C9D251C54D07}" name="T-refl char" dataDxfId="58">
      <calculatedColumnFormula array="1">_xlfn.XLOOKUP(TRUE, EXACT(Table2[[#This Row],[T-reflection]], Table9[orig]), Table9[char])</calculatedColumnFormula>
    </tableColumn>
    <tableColumn id="9" xr3:uid="{345D2781-29F7-BC49-B9CA-B635C564ED1D}" name="H-reflection" dataDxfId="57">
      <calculatedColumnFormula array="1">_xlfn.XLOOKUP(TRUE, EXACT(Table2[[#This Row],[orig]], Table6[orig]), Table6[(H-reflection)])</calculatedColumnFormula>
    </tableColumn>
    <tableColumn id="25" xr3:uid="{BA911CBA-825B-AB45-88AB-4A907A66134A}" name="H-refl char" dataDxfId="56">
      <calculatedColumnFormula array="1">_xlfn.XLOOKUP(TRUE, EXACT(Table2[[#This Row],[H-reflection]], Table9[orig]), Table9[char])</calculatedColumnFormula>
    </tableColumn>
    <tableColumn id="8" xr3:uid="{425EF2DE-6131-C243-9903-CE2FE2C7566D}" name="S-reflection" dataDxfId="55">
      <calculatedColumnFormula array="1">_xlfn.XLOOKUP(TRUE, EXACT(Table2[[#This Row],[orig]], Table7[orig]), Table7[(S-reflection)])</calculatedColumnFormula>
    </tableColumn>
    <tableColumn id="26" xr3:uid="{A5EEEAE9-DA9D-CC4D-B85E-A4F9FDC54187}" name="S-refl char" dataDxfId="54">
      <calculatedColumnFormula array="1">_xlfn.XLOOKUP(TRUE, EXACT(Table2[[#This Row],[S-reflection]], Table9[orig]), Table9[char])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5DC8B-6C42-8A4F-A431-A22A6834EB22}" name="Table4" displayName="Table4" ref="N4:O58" totalsRowShown="0" headerRowDxfId="53" dataDxfId="52" tableBorderDxfId="51">
  <autoFilter ref="N4:O58" xr:uid="{FE45DC8B-6C42-8A4F-A431-A22A6834EB22}"/>
  <tableColumns count="2">
    <tableColumn id="1" xr3:uid="{C6340FD7-0F60-764E-B209-042F7E97B32C}" name="orig" dataDxfId="50"/>
    <tableColumn id="2" xr3:uid="{320E2130-696E-0041-A459-52DE6F924494}" name="(X)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10B22-54A4-6E4E-BF42-E89E63719305}" name="Table3" displayName="Table3" ref="T4:U58" totalsRowShown="0" headerRowDxfId="48" dataDxfId="47" tableBorderDxfId="46">
  <autoFilter ref="T4:U58" xr:uid="{3B810B22-54A4-6E4E-BF42-E89E63719305}"/>
  <tableColumns count="2">
    <tableColumn id="1" xr3:uid="{4640F449-0D6D-6040-93D0-F3F2CB213E57}" name="orig" dataDxfId="45"/>
    <tableColumn id="2" xr3:uid="{7ED22FEE-42CD-334B-A724-96967247B8AE}" name="(Z)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6F0EB8-6E4C-D946-B118-0E8E7E2AF251}" name="Table5" displayName="Table5" ref="W4:X58" totalsRowShown="0" headerRowDxfId="43" dataDxfId="42" tableBorderDxfId="41">
  <autoFilter ref="W4:X58" xr:uid="{6B6F0EB8-6E4C-D946-B118-0E8E7E2AF251}"/>
  <tableColumns count="2">
    <tableColumn id="1" xr3:uid="{6DFF3402-A2BB-AC45-A076-9A01D15F8D9E}" name="orig" dataDxfId="40"/>
    <tableColumn id="2" xr3:uid="{FCE8A85E-7009-AB4F-893B-20D1918F78B9}" name="(T-reflection)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D42E3-1540-6546-875D-AB4CBA9C4B78}" name="Table6" displayName="Table6" ref="Z4:AA58" totalsRowShown="0" headerRowDxfId="38" dataDxfId="37" tableBorderDxfId="36">
  <autoFilter ref="Z4:AA58" xr:uid="{FD6D42E3-1540-6546-875D-AB4CBA9C4B78}"/>
  <tableColumns count="2">
    <tableColumn id="1" xr3:uid="{331E1CFC-0112-E740-BEB9-D98CE358E25B}" name="orig" dataDxfId="35"/>
    <tableColumn id="2" xr3:uid="{FC0EE1FC-369D-BD4F-9F7C-4A4AF4365B84}" name="(H-reflection)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AC9367-0D38-DE4F-A57E-AB17C0ADDD69}" name="Table7" displayName="Table7" ref="AC4:AD58" totalsRowShown="0" headerRowDxfId="33" dataDxfId="32" tableBorderDxfId="31">
  <autoFilter ref="AC4:AD58" xr:uid="{78AC9367-0D38-DE4F-A57E-AB17C0ADDD69}"/>
  <tableColumns count="2">
    <tableColumn id="1" xr3:uid="{7E4C4427-BE99-1644-AE98-125DA80C16DC}" name="orig" dataDxfId="30"/>
    <tableColumn id="2" xr3:uid="{AE305346-7FA8-E641-BEE8-F1D2A1D47C85}" name="(S-reflection)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755446-5EF2-8143-8C87-1A7ABBC21F39}" name="Table9" displayName="Table9" ref="B4:K58" totalsRowShown="0" headerRowDxfId="28" dataDxfId="27" tableBorderDxfId="26">
  <autoFilter ref="B4:K58" xr:uid="{C5755446-5EF2-8143-8C87-1A7ABBC21F39}"/>
  <tableColumns count="10">
    <tableColumn id="1" xr3:uid="{6D6CEE8D-9ABA-1D4C-80BC-0111D5EBDB36}" name="orig" dataDxfId="25"/>
    <tableColumn id="5" xr3:uid="{1662E3B9-B2C3-4C42-803C-60253799CAFC}" name="char" dataDxfId="24"/>
    <tableColumn id="2" xr3:uid="{1324CB00-79A6-2B4D-9143-6DBAC3008FAC}" name="code" dataDxfId="23">
      <calculatedColumnFormula>CODE(Table9[[#This Row],[char]])</calculatedColumnFormula>
    </tableColumn>
    <tableColumn id="3" xr3:uid="{051D478E-0904-4B06-9033-9E911DE61016}" name="inverse" dataDxfId="22"/>
    <tableColumn id="4" xr3:uid="{392433D2-6BE2-4850-929B-7095C5837F30}" name="inv char" dataDxfId="21">
      <calculatedColumnFormula array="1">_xlfn.XLOOKUP(TRUE, EXACT(Table9[[#This Row],[inverse]], Table9[orig]), Table9[char])</calculatedColumnFormula>
    </tableColumn>
    <tableColumn id="6" xr3:uid="{B13605D8-41AC-4125-9F70-B4643E0BA6CD}" name="inv code" dataDxfId="20">
      <calculatedColumnFormula>CODE(Table9[[#This Row],[inv char]])</calculatedColumnFormula>
    </tableColumn>
    <tableColumn id="11" xr3:uid="{B435DF90-3F4A-0D44-B7C7-981F4EA63919}" name="Complement" dataDxfId="19"/>
    <tableColumn id="7" xr3:uid="{5ECCA94A-4BB1-0B49-AAD0-FD03A72963DD}" name="CompChar" dataDxfId="18">
      <calculatedColumnFormula array="1">_xlfn.XLOOKUP(TRUE, EXACT(Table9[[#This Row],[Complement]], Table9[orig]), Table9[char])</calculatedColumnFormula>
    </tableColumn>
    <tableColumn id="10" xr3:uid="{1C37F64A-F270-DF44-B8D4-BC724CBAFEB0}" name="Rotation Direction" dataDxfId="17"/>
    <tableColumn id="8" xr3:uid="{EE48057C-B7A2-9F47-8D32-A7037F92D06D}" name="orig + &lt;space&gt;" dataDxfId="16">
      <calculatedColumnFormula>Table9[[#This Row],[orig]] &amp; " "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5F4FEEC-D297-E84C-B2DE-86C5D909A908}" name="Table11" displayName="Table11" ref="B4:D58" totalsRowShown="0" headerRowDxfId="15">
  <autoFilter ref="B4:D58" xr:uid="{E5F4FEEC-D297-E84C-B2DE-86C5D909A908}"/>
  <tableColumns count="3">
    <tableColumn id="1" xr3:uid="{D2E4CF96-ECE3-5F48-8B34-4043D6BE457A}" name="Rotation"/>
    <tableColumn id="2" xr3:uid="{C9D37F46-F070-EF45-B6C8-67D96BC84F43}" name="Opposite Primary"/>
    <tableColumn id="3" xr3:uid="{F12F6E4D-FE66-F347-ABA5-C111265D88B4}" name="Opposite Seconda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35F4C9-1C7D-BC4F-999F-5FD072560DD7}" name="Table12" displayName="Table12" ref="F4:I58" totalsRowShown="0" headerRowDxfId="14">
  <autoFilter ref="F4:I58" xr:uid="{7135F4C9-1C7D-BC4F-999F-5FD072560DD7}"/>
  <tableColumns count="4">
    <tableColumn id="1" xr3:uid="{D2650480-6F65-5248-A8A1-E74703193DD3}" name="Face Turn Sought"/>
    <tableColumn id="2" xr3:uid="{D0ADEAD9-B8D0-6C4A-8587-6EC254AF77E8}" name="char"/>
    <tableColumn id="3" xr3:uid="{0E5FC2C9-2EC5-A34B-B4B2-72404D142FF6}" name="opp Rotation"/>
    <tableColumn id="4" xr3:uid="{3DBA90ED-5910-2C40-9E5A-63B85EF85C46}" name="SeekC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A058E9-C5D8-6840-99D0-CDAAF75936DA}" name="Table15" displayName="Table15" ref="L4:Q124" totalsRowShown="0">
  <autoFilter ref="L4:Q124" xr:uid="{7AA058E9-C5D8-6840-99D0-CDAAF75936DA}"/>
  <tableColumns count="6">
    <tableColumn id="1" xr3:uid="{7EF6168C-4CA7-6B42-9482-2160663272A1}" name="Coro"/>
    <tableColumn id="2" xr3:uid="{0AAAD174-C6B8-304E-8BC0-36C58B044819}" name="Type" dataDxfId="13"/>
    <tableColumn id="3" xr3:uid="{17196624-4AF9-6444-8BFD-B30CFB4A7099}" name="Group"/>
    <tableColumn id="4" xr3:uid="{31C7BA7B-0DB6-D64B-BEC0-F8C4B36F19ED}" name="thumb pivot"/>
    <tableColumn id="5" xr3:uid="{D74D199A-4D17-F949-85EB-043E9DC226B5}" name="U-F center"/>
    <tableColumn id="6" xr3:uid="{85157A08-DD55-BC49-BC65-A283730A03CF}" name="180 swap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5FBC010-C539-3A49-B472-CEB78074ED61}" name="Table17" displayName="Table17" ref="S4:W10" totalsRowShown="0" headerRowDxfId="12" dataDxfId="11" tableBorderDxfId="10">
  <autoFilter ref="S4:W10" xr:uid="{45FBC010-C539-3A49-B472-CEB78074ED61}"/>
  <tableColumns count="5">
    <tableColumn id="1" xr3:uid="{A1DEABE7-CEFF-E149-AE49-24DCA94B2423}" name="Types" dataDxfId="9"/>
    <tableColumn id="2" xr3:uid="{CFF53E1A-5317-E744-9C39-C222A1DD1142}" name="Groups" dataDxfId="8"/>
    <tableColumn id="3" xr3:uid="{371F35C8-1153-D447-B1EB-A989F413B950}" name="Thumbs" dataDxfId="7"/>
    <tableColumn id="4" xr3:uid="{1F12399E-46C3-B241-817A-EF4A9CBCB7ED}" name="U-F centers" dataDxfId="6"/>
    <tableColumn id="5" xr3:uid="{FE700833-8B7B-BA43-83A9-4E104B315659}" name="180 swaps" dataDxfId="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3591021-B267-E847-8C49-37383BCA8F0C}" name="Table14" displayName="Table14" ref="Y4:AC26" totalsRowShown="0">
  <autoFilter ref="Y4:AC26" xr:uid="{43591021-B267-E847-8C49-37383BCA8F0C}"/>
  <tableColumns count="5">
    <tableColumn id="1" xr3:uid="{136DC061-3058-114F-A1B9-EE9D4305145F}" name="X"/>
    <tableColumn id="2" xr3:uid="{CD94FC21-7443-0144-9A70-9365970941BA}" name="Y"/>
    <tableColumn id="3" xr3:uid="{171AF67D-A22B-A245-92FB-C5AADC4C7AE7}" name="Z"/>
    <tableColumn id="4" xr3:uid="{AF3D6317-92EA-0E42-8423-B81B14786204}" name="RotationNum"/>
    <tableColumn id="5" xr3:uid="{AD4E9410-2554-C14B-9833-BFD6234D044D}" name="CompRotationNum" dataDxfId="4">
      <calculatedColumnFormula>MOD(4-Table14[[#This Row],[RotationNum]],4)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789F-1937-4698-9481-F1740E941C05}">
  <sheetPr>
    <tabColor theme="8"/>
  </sheetPr>
  <dimension ref="A2:DP65"/>
  <sheetViews>
    <sheetView topLeftCell="A33" workbookViewId="0">
      <selection activeCell="K61" sqref="K61"/>
    </sheetView>
  </sheetViews>
  <sheetFormatPr baseColWidth="10" defaultColWidth="9.1640625" defaultRowHeight="15" x14ac:dyDescent="0.2"/>
  <cols>
    <col min="1" max="1" width="3.33203125" customWidth="1"/>
    <col min="2" max="3" width="7.1640625" customWidth="1"/>
    <col min="4" max="5" width="8" customWidth="1"/>
    <col min="6" max="6" width="6.1640625" customWidth="1"/>
    <col min="7" max="7" width="8" customWidth="1"/>
    <col min="9" max="10" width="7.1640625" customWidth="1"/>
    <col min="11" max="11" width="11.33203125" customWidth="1"/>
    <col min="12" max="12" width="7" customWidth="1"/>
    <col min="14" max="14" width="6.6640625" customWidth="1"/>
    <col min="15" max="15" width="4.5" customWidth="1"/>
    <col min="16" max="16" width="7.1640625" customWidth="1"/>
    <col min="17" max="17" width="7.33203125" customWidth="1"/>
    <col min="18" max="18" width="4.33203125" customWidth="1"/>
    <col min="19" max="19" width="7.1640625" customWidth="1"/>
    <col min="20" max="20" width="8.33203125" customWidth="1"/>
    <col min="21" max="21" width="4" customWidth="1"/>
    <col min="22" max="22" width="7.1640625" customWidth="1"/>
    <col min="23" max="23" width="7.83203125" customWidth="1"/>
    <col min="24" max="24" width="4" customWidth="1"/>
    <col min="25" max="25" width="7.1640625" customWidth="1"/>
    <col min="26" max="26" width="7" customWidth="1"/>
    <col min="27" max="27" width="7.6640625" customWidth="1"/>
    <col min="28" max="30" width="7.1640625" customWidth="1"/>
    <col min="31" max="31" width="6.1640625" customWidth="1"/>
    <col min="32" max="32" width="6" customWidth="1"/>
    <col min="33" max="33" width="5.1640625" customWidth="1"/>
    <col min="34" max="34" width="7" customWidth="1"/>
    <col min="35" max="35" width="5.1640625" customWidth="1"/>
    <col min="36" max="36" width="7.33203125" customWidth="1"/>
    <col min="37" max="37" width="5.1640625" customWidth="1"/>
    <col min="38" max="38" width="7.33203125" customWidth="1"/>
    <col min="39" max="39" width="5.1640625" customWidth="1"/>
    <col min="40" max="40" width="7" customWidth="1"/>
    <col min="41" max="41" width="5.1640625" customWidth="1"/>
    <col min="42" max="42" width="7.33203125" customWidth="1"/>
    <col min="43" max="47" width="9.1640625" customWidth="1"/>
    <col min="57" max="90" width="9.1640625" customWidth="1"/>
  </cols>
  <sheetData>
    <row r="2" spans="1:120" x14ac:dyDescent="0.2">
      <c r="B2" t="s">
        <v>0</v>
      </c>
      <c r="F2" t="s">
        <v>33</v>
      </c>
    </row>
    <row r="4" spans="1:120" s="2" customFormat="1" x14ac:dyDescent="0.2"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N4" s="2" t="s">
        <v>34</v>
      </c>
      <c r="O4" s="2" t="s">
        <v>44</v>
      </c>
      <c r="Q4" s="2" t="s">
        <v>34</v>
      </c>
      <c r="R4" s="2" t="s">
        <v>45</v>
      </c>
      <c r="T4" s="2" t="s">
        <v>34</v>
      </c>
      <c r="U4" s="2" t="s">
        <v>46</v>
      </c>
      <c r="W4" s="2" t="s">
        <v>34</v>
      </c>
      <c r="X4" s="2" t="s">
        <v>47</v>
      </c>
      <c r="Z4" s="2" t="s">
        <v>34</v>
      </c>
      <c r="AA4" s="2" t="s">
        <v>48</v>
      </c>
      <c r="AC4" s="2" t="s">
        <v>34</v>
      </c>
      <c r="AD4" s="2" t="s">
        <v>49</v>
      </c>
      <c r="AH4" s="2" t="s">
        <v>34</v>
      </c>
      <c r="AI4" s="2" t="s">
        <v>50</v>
      </c>
      <c r="AJ4" s="2" t="s">
        <v>2</v>
      </c>
      <c r="AK4" s="2" t="s">
        <v>51</v>
      </c>
      <c r="AL4" s="2" t="s">
        <v>4</v>
      </c>
      <c r="AM4" s="2" t="s">
        <v>52</v>
      </c>
      <c r="AN4" s="2" t="s">
        <v>3</v>
      </c>
      <c r="AO4" s="2" t="s">
        <v>53</v>
      </c>
      <c r="AP4" s="2" t="s">
        <v>5</v>
      </c>
      <c r="AQ4" s="2" t="s">
        <v>54</v>
      </c>
      <c r="AR4" s="2" t="s">
        <v>7</v>
      </c>
      <c r="AS4" s="2" t="s">
        <v>55</v>
      </c>
      <c r="AT4" s="2" t="s">
        <v>6</v>
      </c>
      <c r="AU4" s="2" t="s">
        <v>56</v>
      </c>
      <c r="AV4" s="2" t="s">
        <v>8</v>
      </c>
      <c r="AW4" s="2" t="s">
        <v>57</v>
      </c>
      <c r="AX4" s="2" t="s">
        <v>10</v>
      </c>
      <c r="AY4" s="2" t="s">
        <v>58</v>
      </c>
      <c r="AZ4" s="2" t="s">
        <v>9</v>
      </c>
      <c r="BA4" s="2" t="s">
        <v>59</v>
      </c>
      <c r="BB4" s="2" t="s">
        <v>17</v>
      </c>
      <c r="BC4" s="2" t="s">
        <v>60</v>
      </c>
      <c r="BD4" s="2" t="s">
        <v>61</v>
      </c>
      <c r="BE4" s="2" t="s">
        <v>62</v>
      </c>
      <c r="BF4" s="2" t="s">
        <v>63</v>
      </c>
      <c r="BG4" s="2" t="s">
        <v>64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x14ac:dyDescent="0.2">
      <c r="B5" s="7" t="s">
        <v>18</v>
      </c>
      <c r="C5" s="7" t="s">
        <v>18</v>
      </c>
      <c r="D5">
        <f>CODE(Table9[[#This Row],[char]])</f>
        <v>82</v>
      </c>
      <c r="E5" t="s">
        <v>20</v>
      </c>
      <c r="F5" t="str" cm="1">
        <f t="array" ref="F5">_xlfn.XLOOKUP(TRUE, EXACT(Table9[[#This Row],[inverse]], Table9[orig]), Table9[char])</f>
        <v>A</v>
      </c>
      <c r="G5">
        <f>CODE(Table9[[#This Row],[inv char]])</f>
        <v>65</v>
      </c>
      <c r="H5" t="s">
        <v>65</v>
      </c>
      <c r="I5" t="str" cm="1">
        <f t="array" ref="I5">_xlfn.XLOOKUP(TRUE, EXACT(Table9[[#This Row],[Complement]], Table9[orig]), Table9[char])</f>
        <v>l</v>
      </c>
      <c r="J5" t="s">
        <v>2</v>
      </c>
      <c r="K5" t="str">
        <f>Table9[[#This Row],[orig]] &amp; " "</f>
        <v xml:space="preserve">R </v>
      </c>
      <c r="N5" t="s">
        <v>18</v>
      </c>
      <c r="O5" t="s">
        <v>18</v>
      </c>
      <c r="Q5" t="s">
        <v>18</v>
      </c>
      <c r="R5" t="s">
        <v>66</v>
      </c>
      <c r="T5" t="s">
        <v>18</v>
      </c>
      <c r="U5" t="s">
        <v>32</v>
      </c>
      <c r="W5" t="s">
        <v>18</v>
      </c>
      <c r="X5" t="s">
        <v>19</v>
      </c>
      <c r="Z5" t="s">
        <v>18</v>
      </c>
      <c r="AA5" t="s">
        <v>20</v>
      </c>
      <c r="AC5" t="s">
        <v>18</v>
      </c>
      <c r="AD5" t="s">
        <v>20</v>
      </c>
      <c r="AH5" t="str">
        <f t="shared" ref="AH5:AH36" si="0">Q5</f>
        <v>R</v>
      </c>
      <c r="AI5" s="6" t="str" cm="1">
        <f t="array" ref="AI5">_xlfn.XLOOKUP(TRUE, EXACT(Table2[[#This Row],[orig]], Table9[orig]), Table9[char])</f>
        <v>R</v>
      </c>
      <c r="AJ5" t="str" cm="1">
        <f t="array" ref="AJ5">_xlfn.XLOOKUP(TRUE, EXACT(Table2[[#This Row],[orig]], Table4[orig]), Table4[(X)])</f>
        <v>R</v>
      </c>
      <c r="AK5" s="6" t="str" cm="1">
        <f t="array" ref="AK5">_xlfn.XLOOKUP(TRUE, EXACT(Table2[[#This Row],[X]], Table9[orig]), Table9[char])</f>
        <v>R</v>
      </c>
      <c r="AL5" t="str" cm="1">
        <f t="array" ref="AL5">_xlfn.XLOOKUP(TRUE, EXACT(AJ5, Table4[orig]), Table4[(X)])</f>
        <v>R</v>
      </c>
      <c r="AM5" s="6" t="str" cm="1">
        <f t="array" ref="AM5">_xlfn.XLOOKUP(TRUE, EXACT(Table2[[#This Row],[X2]], Table9[orig]), Table9[char])</f>
        <v>R</v>
      </c>
      <c r="AN5" t="str" cm="1">
        <f t="array" ref="AN5">_xlfn.XLOOKUP(TRUE, EXACT(AL5, Table4[orig]), Table4[(X)])</f>
        <v>R</v>
      </c>
      <c r="AO5" s="6" t="str" cm="1">
        <f t="array" ref="AO5">_xlfn.XLOOKUP(TRUE, EXACT(Table2[[#This Row],[X'']], Table9[orig]), Table9[char])</f>
        <v>R</v>
      </c>
      <c r="AP5" t="str" cm="1">
        <f t="array" ref="AP5">_xlfn.XLOOKUP(TRUE, EXACT(Table2[orig], Table1[orig]), Table1[(Y)])</f>
        <v>F</v>
      </c>
      <c r="AQ5" s="6" t="str" cm="1">
        <f t="array" ref="AQ5">_xlfn.XLOOKUP(TRUE, EXACT(Table2[[#This Row],[Y]], Table9[orig]), Table9[char])</f>
        <v>F</v>
      </c>
      <c r="AR5" t="str" cm="1">
        <f t="array" ref="AR5">_xlfn.XLOOKUP(TRUE, EXACT(AP5, Table1[orig]), Table1[(Y)])</f>
        <v>L</v>
      </c>
      <c r="AS5" s="6" t="str" cm="1">
        <f t="array" ref="AS5">_xlfn.XLOOKUP(TRUE, EXACT(Table2[[#This Row],[Y2]], Table9[orig]), Table9[char])</f>
        <v>L</v>
      </c>
      <c r="AT5" t="str" cm="1">
        <f t="array" ref="AT5">_xlfn.XLOOKUP(TRUE, EXACT(AR5, Table1[orig]), Table1[(Y)])</f>
        <v>B</v>
      </c>
      <c r="AU5" s="6" t="str" cm="1">
        <f t="array" ref="AU5">_xlfn.XLOOKUP(TRUE, EXACT(Table2[[#This Row],[Y'']], Table9[orig]), Table9[char])</f>
        <v>B</v>
      </c>
      <c r="AV5" t="str" cm="1">
        <f t="array" ref="AV5">_xlfn.XLOOKUP(TRUE, EXACT(Table2[[#This Row],[orig]], Table3[orig]), Table3[(Z)])</f>
        <v>D</v>
      </c>
      <c r="AW5" s="6" t="str" cm="1">
        <f t="array" ref="AW5">_xlfn.XLOOKUP(TRUE, EXACT(Table2[[#This Row],[Z]], Table9[orig]), Table9[char])</f>
        <v>D</v>
      </c>
      <c r="AX5" t="str" cm="1">
        <f t="array" ref="AX5">_xlfn.XLOOKUP(TRUE, EXACT(AV5, Table3[orig]), Table3[(Z)])</f>
        <v>L</v>
      </c>
      <c r="AY5" s="6" t="str" cm="1">
        <f t="array" ref="AY5">_xlfn.XLOOKUP(TRUE, EXACT(Table2[[#This Row],[Z2]], Table9[orig]), Table9[char])</f>
        <v>L</v>
      </c>
      <c r="AZ5" t="str" cm="1">
        <f t="array" ref="AZ5">_xlfn.XLOOKUP(TRUE, EXACT(AX5, Table3[orig]), Table3[(Z)])</f>
        <v>U</v>
      </c>
      <c r="BA5" s="6" t="str" cm="1">
        <f t="array" ref="BA5">_xlfn.XLOOKUP(TRUE, EXACT(Table2[[#This Row],[Z'']], Table9[orig]), Table9[char])</f>
        <v>U</v>
      </c>
      <c r="BB5" t="str" cm="1">
        <f t="array" ref="BB5">_xlfn.XLOOKUP(TRUE, EXACT(Table2[[#This Row],[orig]], Table5[orig]), Table5[(T-reflection)])</f>
        <v>L'</v>
      </c>
      <c r="BC5" s="6" t="str" cm="1">
        <f t="array" ref="BC5">_xlfn.XLOOKUP(TRUE, EXACT(Table2[[#This Row],[T-reflection]], Table9[orig]), Table9[char])</f>
        <v>G</v>
      </c>
      <c r="BD5" t="str" cm="1">
        <f t="array" ref="BD5">_xlfn.XLOOKUP(TRUE, EXACT(Table2[[#This Row],[orig]], Table6[orig]), Table6[(H-reflection)])</f>
        <v>R'</v>
      </c>
      <c r="BE5" s="6" t="str" cm="1">
        <f t="array" ref="BE5">_xlfn.XLOOKUP(TRUE, EXACT(Table2[[#This Row],[H-reflection]], Table9[orig]), Table9[char])</f>
        <v>A</v>
      </c>
      <c r="BF5" t="str" cm="1">
        <f t="array" ref="BF5">_xlfn.XLOOKUP(TRUE, EXACT(Table2[[#This Row],[orig]], Table7[orig]), Table7[(S-reflection)])</f>
        <v>R'</v>
      </c>
      <c r="BG5" s="6" t="str" cm="1">
        <f t="array" ref="BG5">_xlfn.XLOOKUP(TRUE, EXACT(Table2[[#This Row],[S-reflection]], Table9[orig]), Table9[char])</f>
        <v>A</v>
      </c>
    </row>
    <row r="6" spans="1:120" x14ac:dyDescent="0.2">
      <c r="B6" t="s">
        <v>67</v>
      </c>
      <c r="C6" t="s">
        <v>67</v>
      </c>
      <c r="D6">
        <f>CODE(Table9[[#This Row],[char]])</f>
        <v>114</v>
      </c>
      <c r="E6" t="s">
        <v>68</v>
      </c>
      <c r="F6" t="str" cm="1">
        <f t="array" ref="F6">_xlfn.XLOOKUP(TRUE, EXACT(Table9[[#This Row],[inverse]], Table9[orig]), Table9[char])</f>
        <v>a</v>
      </c>
      <c r="G6">
        <f>CODE(Table9[[#This Row],[inv char]])</f>
        <v>97</v>
      </c>
      <c r="H6" t="s">
        <v>21</v>
      </c>
      <c r="I6" t="str" cm="1">
        <f t="array" ref="I6">_xlfn.XLOOKUP(TRUE, EXACT(Table9[[#This Row],[Complement]], Table9[orig]), Table9[char])</f>
        <v>L</v>
      </c>
      <c r="J6" t="s">
        <v>2</v>
      </c>
      <c r="K6" t="str">
        <f>Table9[[#This Row],[orig]] &amp; " "</f>
        <v xml:space="preserve">r </v>
      </c>
      <c r="N6" t="s">
        <v>67</v>
      </c>
      <c r="O6" t="s">
        <v>67</v>
      </c>
      <c r="Q6" s="8" t="s">
        <v>67</v>
      </c>
      <c r="R6" t="s">
        <v>69</v>
      </c>
      <c r="T6" t="s">
        <v>67</v>
      </c>
      <c r="U6" t="s">
        <v>27</v>
      </c>
      <c r="W6" t="s">
        <v>67</v>
      </c>
      <c r="X6" t="s">
        <v>70</v>
      </c>
      <c r="Z6" t="s">
        <v>67</v>
      </c>
      <c r="AA6" t="s">
        <v>68</v>
      </c>
      <c r="AC6" t="s">
        <v>67</v>
      </c>
      <c r="AD6" t="s">
        <v>68</v>
      </c>
      <c r="AH6" t="str">
        <f t="shared" si="0"/>
        <v>r</v>
      </c>
      <c r="AI6" s="6" t="str" cm="1">
        <f t="array" ref="AI6">_xlfn.XLOOKUP(TRUE, EXACT(Table2[[#This Row],[orig]], Table9[orig]), Table9[char])</f>
        <v>r</v>
      </c>
      <c r="AJ6" t="str" cm="1">
        <f t="array" ref="AJ6">_xlfn.XLOOKUP(TRUE, EXACT(Table2[[#This Row],[orig]], Table4[orig]), Table4[(X)])</f>
        <v>r</v>
      </c>
      <c r="AK6" s="6" t="str" cm="1">
        <f t="array" ref="AK6">_xlfn.XLOOKUP(TRUE, EXACT(Table2[[#This Row],[X]], Table9[orig]), Table9[char])</f>
        <v>r</v>
      </c>
      <c r="AL6" t="str" cm="1">
        <f t="array" ref="AL6">_xlfn.XLOOKUP(TRUE, EXACT(AJ6, Table4[orig]), Table4[(X)])</f>
        <v>r</v>
      </c>
      <c r="AM6" s="6" t="str" cm="1">
        <f t="array" ref="AM6">_xlfn.XLOOKUP(TRUE, EXACT(Table2[[#This Row],[X2]], Table9[orig]), Table9[char])</f>
        <v>r</v>
      </c>
      <c r="AN6" t="str" cm="1">
        <f t="array" ref="AN6">_xlfn.XLOOKUP(TRUE, EXACT(AL6, Table4[orig]), Table4[(X)])</f>
        <v>r</v>
      </c>
      <c r="AO6" s="6" t="str" cm="1">
        <f t="array" ref="AO6">_xlfn.XLOOKUP(TRUE, EXACT(Table2[[#This Row],[X'']], Table9[orig]), Table9[char])</f>
        <v>r</v>
      </c>
      <c r="AP6" t="str" cm="1">
        <f t="array" ref="AP6">_xlfn.XLOOKUP(TRUE, EXACT(AH6, Table1[orig]), Table1[(Y)])</f>
        <v>f</v>
      </c>
      <c r="AQ6" s="6" t="str" cm="1">
        <f t="array" ref="AQ6">_xlfn.XLOOKUP(TRUE, EXACT(Table2[[#This Row],[Y]], Table9[orig]), Table9[char])</f>
        <v>f</v>
      </c>
      <c r="AR6" t="str" cm="1">
        <f t="array" ref="AR6">_xlfn.XLOOKUP(TRUE, EXACT(AP6, Table1[orig]), Table1[(Y)])</f>
        <v>l</v>
      </c>
      <c r="AS6" s="6" t="str" cm="1">
        <f t="array" ref="AS6">_xlfn.XLOOKUP(TRUE, EXACT(Table2[[#This Row],[Y2]], Table9[orig]), Table9[char])</f>
        <v>l</v>
      </c>
      <c r="AT6" t="str" cm="1">
        <f t="array" ref="AT6">_xlfn.XLOOKUP(TRUE, EXACT(AR6, Table1[orig]), Table1[(Y)])</f>
        <v>b</v>
      </c>
      <c r="AU6" s="6" t="str" cm="1">
        <f t="array" ref="AU6">_xlfn.XLOOKUP(TRUE, EXACT(Table2[[#This Row],[Y'']], Table9[orig]), Table9[char])</f>
        <v>b</v>
      </c>
      <c r="AV6" t="str" cm="1">
        <f t="array" ref="AV6">_xlfn.XLOOKUP(TRUE, EXACT(Table2[[#This Row],[orig]], Table3[orig]), Table3[(Z)])</f>
        <v>d</v>
      </c>
      <c r="AW6" s="6" t="str" cm="1">
        <f t="array" ref="AW6">_xlfn.XLOOKUP(TRUE, EXACT(Table2[[#This Row],[Z]], Table9[orig]), Table9[char])</f>
        <v>d</v>
      </c>
      <c r="AX6" t="str" cm="1">
        <f t="array" ref="AX6">_xlfn.XLOOKUP(TRUE, EXACT(AV6, Table3[orig]), Table3[(Z)])</f>
        <v>l</v>
      </c>
      <c r="AY6" s="6" t="str" cm="1">
        <f t="array" ref="AY6">_xlfn.XLOOKUP(TRUE, EXACT(Table2[[#This Row],[Z2]], Table9[orig]), Table9[char])</f>
        <v>l</v>
      </c>
      <c r="AZ6" t="str" cm="1">
        <f t="array" ref="AZ6">_xlfn.XLOOKUP(TRUE, EXACT(AX6, Table3[orig]), Table3[(Z)])</f>
        <v>u</v>
      </c>
      <c r="BA6" s="6" t="str" cm="1">
        <f t="array" ref="BA6">_xlfn.XLOOKUP(TRUE, EXACT(Table2[[#This Row],[Z'']], Table9[orig]), Table9[char])</f>
        <v>u</v>
      </c>
      <c r="BB6" t="str" cm="1">
        <f t="array" ref="BB6">_xlfn.XLOOKUP(TRUE, EXACT(Table2[[#This Row],[orig]], Table5[orig]), Table5[(T-reflection)])</f>
        <v>l'</v>
      </c>
      <c r="BC6" s="6" t="str" cm="1">
        <f t="array" ref="BC6">_xlfn.XLOOKUP(TRUE, EXACT(Table2[[#This Row],[T-reflection]], Table9[orig]), Table9[char])</f>
        <v>g</v>
      </c>
      <c r="BD6" t="str" cm="1">
        <f t="array" ref="BD6">_xlfn.XLOOKUP(TRUE, EXACT(Table2[[#This Row],[orig]], Table6[orig]), Table6[(H-reflection)])</f>
        <v>r'</v>
      </c>
      <c r="BE6" s="6" t="str" cm="1">
        <f t="array" ref="BE6">_xlfn.XLOOKUP(TRUE, EXACT(Table2[[#This Row],[H-reflection]], Table9[orig]), Table9[char])</f>
        <v>a</v>
      </c>
      <c r="BF6" t="str" cm="1">
        <f t="array" ref="BF6">_xlfn.XLOOKUP(TRUE, EXACT(Table2[[#This Row],[orig]], Table7[orig]), Table7[(S-reflection)])</f>
        <v>r'</v>
      </c>
      <c r="BG6" s="6" t="str" cm="1">
        <f t="array" ref="BG6">_xlfn.XLOOKUP(TRUE, EXACT(Table2[[#This Row],[S-reflection]], Table9[orig]), Table9[char])</f>
        <v>a</v>
      </c>
    </row>
    <row r="7" spans="1:120" x14ac:dyDescent="0.2">
      <c r="B7" s="7" t="s">
        <v>71</v>
      </c>
      <c r="C7" s="7" t="s">
        <v>71</v>
      </c>
      <c r="D7">
        <f>CODE(Table9[[#This Row],[char]])</f>
        <v>84</v>
      </c>
      <c r="E7" t="s">
        <v>72</v>
      </c>
      <c r="F7" t="str" cm="1">
        <f t="array" ref="F7">_xlfn.XLOOKUP(TRUE, EXACT(Table9[[#This Row],[inverse]], Table9[orig]), Table9[char])</f>
        <v>C</v>
      </c>
      <c r="G7">
        <f>CODE(Table9[[#This Row],[inv char]])</f>
        <v>67</v>
      </c>
      <c r="H7" t="s">
        <v>73</v>
      </c>
      <c r="I7" t="str" cm="1">
        <f t="array" ref="I7">_xlfn.CONCAT(_xlfn.XLOOKUP(TRUE, EXACT(B11, Table9[orig]), Table9[char]), _xlfn.XLOOKUP(TRUE, EXACT(B9, Table9[orig]), Table9[char]))</f>
        <v>AL</v>
      </c>
      <c r="J7" t="s">
        <v>2</v>
      </c>
      <c r="K7" t="str">
        <f>Table9[[#This Row],[orig]] &amp; " "</f>
        <v xml:space="preserve">T </v>
      </c>
      <c r="N7" t="s">
        <v>71</v>
      </c>
      <c r="O7" t="s">
        <v>71</v>
      </c>
      <c r="Q7" t="s">
        <v>71</v>
      </c>
      <c r="R7" t="s">
        <v>74</v>
      </c>
      <c r="T7" t="s">
        <v>71</v>
      </c>
      <c r="U7" t="s">
        <v>75</v>
      </c>
      <c r="W7" t="s">
        <v>71</v>
      </c>
      <c r="X7" t="s">
        <v>71</v>
      </c>
      <c r="Z7" t="s">
        <v>71</v>
      </c>
      <c r="AA7" t="s">
        <v>72</v>
      </c>
      <c r="AC7" t="s">
        <v>71</v>
      </c>
      <c r="AD7" t="s">
        <v>72</v>
      </c>
      <c r="AH7" t="str">
        <f t="shared" si="0"/>
        <v>T</v>
      </c>
      <c r="AI7" s="6" t="str" cm="1">
        <f t="array" ref="AI7">_xlfn.XLOOKUP(TRUE, EXACT(Table2[[#This Row],[orig]], Table9[orig]), Table9[char])</f>
        <v>T</v>
      </c>
      <c r="AJ7" t="str" cm="1">
        <f t="array" ref="AJ7">_xlfn.XLOOKUP(TRUE, EXACT(Table2[[#This Row],[orig]], Table4[orig]), Table4[(X)])</f>
        <v>T</v>
      </c>
      <c r="AK7" s="6" t="str" cm="1">
        <f t="array" ref="AK7">_xlfn.XLOOKUP(TRUE, EXACT(Table2[[#This Row],[X]], Table9[orig]), Table9[char])</f>
        <v>T</v>
      </c>
      <c r="AL7" t="str" cm="1">
        <f t="array" ref="AL7">_xlfn.XLOOKUP(TRUE, EXACT(AJ7, Table4[orig]), Table4[(X)])</f>
        <v>T</v>
      </c>
      <c r="AM7" s="6" t="str" cm="1">
        <f t="array" ref="AM7">_xlfn.XLOOKUP(TRUE, EXACT(Table2[[#This Row],[X2]], Table9[orig]), Table9[char])</f>
        <v>T</v>
      </c>
      <c r="AN7" t="str" cm="1">
        <f t="array" ref="AN7">_xlfn.XLOOKUP(TRUE, EXACT(AL7, Table4[orig]), Table4[(X)])</f>
        <v>T</v>
      </c>
      <c r="AO7" s="6" t="str" cm="1">
        <f t="array" ref="AO7">_xlfn.XLOOKUP(TRUE, EXACT(Table2[[#This Row],[X'']], Table9[orig]), Table9[char])</f>
        <v>T</v>
      </c>
      <c r="AP7" t="str" cm="1">
        <f t="array" ref="AP7">_xlfn.XLOOKUP(TRUE, EXACT(AH7, Table1[orig]), Table1[(Y)])</f>
        <v>S</v>
      </c>
      <c r="AQ7" s="6" t="str" cm="1">
        <f t="array" ref="AQ7">_xlfn.XLOOKUP(TRUE, EXACT(Table2[[#This Row],[Y]], Table9[orig]), Table9[char])</f>
        <v>S</v>
      </c>
      <c r="AR7" t="str" cm="1">
        <f t="array" ref="AR7">_xlfn.XLOOKUP(TRUE, EXACT(AP7, Table1[orig]), Table1[(Y)])</f>
        <v>T'</v>
      </c>
      <c r="AS7" s="6" t="str" cm="1">
        <f t="array" ref="AS7">_xlfn.XLOOKUP(TRUE, EXACT(Table2[[#This Row],[Y2]], Table9[orig]), Table9[char])</f>
        <v>C</v>
      </c>
      <c r="AT7" t="str" cm="1">
        <f t="array" ref="AT7">_xlfn.XLOOKUP(TRUE, EXACT(AR7, Table1[orig]), Table1[(Y)])</f>
        <v>S'</v>
      </c>
      <c r="AU7" s="6" t="str" cm="1">
        <f t="array" ref="AU7">_xlfn.XLOOKUP(TRUE, EXACT(Table2[[#This Row],[Y'']], Table9[orig]), Table9[char])</f>
        <v>V</v>
      </c>
      <c r="AV7" t="str" cm="1">
        <f t="array" ref="AV7">_xlfn.XLOOKUP(TRUE, EXACT(Table2[[#This Row],[orig]], Table3[orig]), Table3[(Z)])</f>
        <v>H'</v>
      </c>
      <c r="AW7" s="6" t="str" cm="1">
        <f t="array" ref="AW7">_xlfn.XLOOKUP(TRUE, EXACT(Table2[[#This Row],[Z]], Table9[orig]), Table9[char])</f>
        <v>+</v>
      </c>
      <c r="AX7" t="str" cm="1">
        <f t="array" ref="AX7">_xlfn.XLOOKUP(TRUE, EXACT(AV7, Table3[orig]), Table3[(Z)])</f>
        <v>T'</v>
      </c>
      <c r="AY7" s="6" t="str" cm="1">
        <f t="array" ref="AY7">_xlfn.XLOOKUP(TRUE, EXACT(Table2[[#This Row],[Z2]], Table9[orig]), Table9[char])</f>
        <v>C</v>
      </c>
      <c r="AZ7" t="str" cm="1">
        <f t="array" ref="AZ7">_xlfn.XLOOKUP(TRUE, EXACT(AX7, Table3[orig]), Table3[(Z)])</f>
        <v>H</v>
      </c>
      <c r="BA7" s="6" t="str" cm="1">
        <f t="array" ref="BA7">_xlfn.XLOOKUP(TRUE, EXACT(Table2[[#This Row],[Z'']], Table9[orig]), Table9[char])</f>
        <v>H</v>
      </c>
      <c r="BB7" t="str" cm="1">
        <f t="array" ref="BB7">_xlfn.XLOOKUP(TRUE, EXACT(Table2[[#This Row],[orig]], Table5[orig]), Table5[(T-reflection)])</f>
        <v>T</v>
      </c>
      <c r="BC7" s="6" t="str" cm="1">
        <f t="array" ref="BC7">_xlfn.XLOOKUP(TRUE, EXACT(Table2[[#This Row],[T-reflection]], Table9[orig]), Table9[char])</f>
        <v>T</v>
      </c>
      <c r="BD7" t="str" cm="1">
        <f t="array" ref="BD7">_xlfn.XLOOKUP(TRUE, EXACT(Table2[[#This Row],[orig]], Table6[orig]), Table6[(H-reflection)])</f>
        <v>T'</v>
      </c>
      <c r="BE7" s="6" t="str" cm="1">
        <f t="array" ref="BE7">_xlfn.XLOOKUP(TRUE, EXACT(Table2[[#This Row],[H-reflection]], Table9[orig]), Table9[char])</f>
        <v>C</v>
      </c>
      <c r="BF7" t="str" cm="1">
        <f t="array" ref="BF7">_xlfn.XLOOKUP(TRUE, EXACT(Table2[[#This Row],[orig]], Table7[orig]), Table7[(S-reflection)])</f>
        <v>T'</v>
      </c>
      <c r="BG7" s="6" t="str" cm="1">
        <f t="array" ref="BG7">_xlfn.XLOOKUP(TRUE, EXACT(Table2[[#This Row],[S-reflection]], Table9[orig]), Table9[char])</f>
        <v>C</v>
      </c>
    </row>
    <row r="8" spans="1:120" x14ac:dyDescent="0.2">
      <c r="B8" t="s">
        <v>65</v>
      </c>
      <c r="C8" t="s">
        <v>65</v>
      </c>
      <c r="D8">
        <f>CODE(Table9[[#This Row],[char]])</f>
        <v>108</v>
      </c>
      <c r="E8" t="s">
        <v>70</v>
      </c>
      <c r="F8" t="str" cm="1">
        <f t="array" ref="F8">_xlfn.XLOOKUP(TRUE, EXACT(Table9[[#This Row],[inverse]], Table9[orig]), Table9[char])</f>
        <v>g</v>
      </c>
      <c r="G8">
        <f>CODE(Table9[[#This Row],[inv char]])</f>
        <v>103</v>
      </c>
      <c r="H8" t="s">
        <v>18</v>
      </c>
      <c r="I8" t="str" cm="1">
        <f t="array" ref="I8">_xlfn.XLOOKUP(TRUE, EXACT(Table9[[#This Row],[Complement]], Table9[orig]), Table9[char])</f>
        <v>R</v>
      </c>
      <c r="J8" t="s">
        <v>3</v>
      </c>
      <c r="K8" t="str">
        <f>Table9[[#This Row],[orig]] &amp; " "</f>
        <v xml:space="preserve">l </v>
      </c>
      <c r="N8" t="s">
        <v>65</v>
      </c>
      <c r="O8" t="s">
        <v>65</v>
      </c>
      <c r="Q8" t="s">
        <v>65</v>
      </c>
      <c r="R8" t="s">
        <v>25</v>
      </c>
      <c r="T8" t="s">
        <v>65</v>
      </c>
      <c r="U8" t="s">
        <v>76</v>
      </c>
      <c r="W8" t="s">
        <v>65</v>
      </c>
      <c r="X8" t="s">
        <v>68</v>
      </c>
      <c r="Z8" t="s">
        <v>65</v>
      </c>
      <c r="AA8" t="s">
        <v>70</v>
      </c>
      <c r="AC8" t="s">
        <v>65</v>
      </c>
      <c r="AD8" t="s">
        <v>70</v>
      </c>
      <c r="AH8" t="str">
        <f t="shared" si="0"/>
        <v>l</v>
      </c>
      <c r="AI8" s="6" t="str" cm="1">
        <f t="array" ref="AI8">_xlfn.XLOOKUP(TRUE, EXACT(Table2[[#This Row],[orig]], Table9[orig]), Table9[char])</f>
        <v>l</v>
      </c>
      <c r="AJ8" t="str" cm="1">
        <f t="array" ref="AJ8">_xlfn.XLOOKUP(TRUE, EXACT(Table2[[#This Row],[orig]], Table4[orig]), Table4[(X)])</f>
        <v>l</v>
      </c>
      <c r="AK8" s="6" t="str" cm="1">
        <f t="array" ref="AK8">_xlfn.XLOOKUP(TRUE, EXACT(Table2[[#This Row],[X]], Table9[orig]), Table9[char])</f>
        <v>l</v>
      </c>
      <c r="AL8" t="str" cm="1">
        <f t="array" ref="AL8">_xlfn.XLOOKUP(TRUE, EXACT(AJ8, Table4[orig]), Table4[(X)])</f>
        <v>l</v>
      </c>
      <c r="AM8" s="6" t="str" cm="1">
        <f t="array" ref="AM8">_xlfn.XLOOKUP(TRUE, EXACT(Table2[[#This Row],[X2]], Table9[orig]), Table9[char])</f>
        <v>l</v>
      </c>
      <c r="AN8" t="str" cm="1">
        <f t="array" ref="AN8">_xlfn.XLOOKUP(TRUE, EXACT(AL8, Table4[orig]), Table4[(X)])</f>
        <v>l</v>
      </c>
      <c r="AO8" s="6" t="str" cm="1">
        <f t="array" ref="AO8">_xlfn.XLOOKUP(TRUE, EXACT(Table2[[#This Row],[X'']], Table9[orig]), Table9[char])</f>
        <v>l</v>
      </c>
      <c r="AP8" t="str" cm="1">
        <f t="array" ref="AP8">_xlfn.XLOOKUP(TRUE, EXACT(AH8, Table1[orig]), Table1[(Y)])</f>
        <v>b</v>
      </c>
      <c r="AQ8" s="6" t="str" cm="1">
        <f t="array" ref="AQ8">_xlfn.XLOOKUP(TRUE, EXACT(Table2[[#This Row],[Y]], Table9[orig]), Table9[char])</f>
        <v>b</v>
      </c>
      <c r="AR8" t="str" cm="1">
        <f t="array" ref="AR8">_xlfn.XLOOKUP(TRUE, EXACT(AP8, Table1[orig]), Table1[(Y)])</f>
        <v>r</v>
      </c>
      <c r="AS8" s="6" t="str" cm="1">
        <f t="array" ref="AS8">_xlfn.XLOOKUP(TRUE, EXACT(Table2[[#This Row],[Y2]], Table9[orig]), Table9[char])</f>
        <v>r</v>
      </c>
      <c r="AT8" t="str" cm="1">
        <f t="array" ref="AT8">_xlfn.XLOOKUP(TRUE, EXACT(AR8, Table1[orig]), Table1[(Y)])</f>
        <v>f</v>
      </c>
      <c r="AU8" s="6" t="str" cm="1">
        <f t="array" ref="AU8">_xlfn.XLOOKUP(TRUE, EXACT(Table2[[#This Row],[Y'']], Table9[orig]), Table9[char])</f>
        <v>f</v>
      </c>
      <c r="AV8" t="str" cm="1">
        <f t="array" ref="AV8">_xlfn.XLOOKUP(TRUE, EXACT(Table2[[#This Row],[orig]], Table3[orig]), Table3[(Z)])</f>
        <v>u</v>
      </c>
      <c r="AW8" s="6" t="str" cm="1">
        <f t="array" ref="AW8">_xlfn.XLOOKUP(TRUE, EXACT(Table2[[#This Row],[Z]], Table9[orig]), Table9[char])</f>
        <v>u</v>
      </c>
      <c r="AX8" t="str" cm="1">
        <f t="array" ref="AX8">_xlfn.XLOOKUP(TRUE, EXACT(AV8, Table3[orig]), Table3[(Z)])</f>
        <v>r</v>
      </c>
      <c r="AY8" s="6" t="str" cm="1">
        <f t="array" ref="AY8">_xlfn.XLOOKUP(TRUE, EXACT(Table2[[#This Row],[Z2]], Table9[orig]), Table9[char])</f>
        <v>r</v>
      </c>
      <c r="AZ8" t="str" cm="1">
        <f t="array" ref="AZ8">_xlfn.XLOOKUP(TRUE, EXACT(AX8, Table3[orig]), Table3[(Z)])</f>
        <v>d</v>
      </c>
      <c r="BA8" s="6" t="str" cm="1">
        <f t="array" ref="BA8">_xlfn.XLOOKUP(TRUE, EXACT(Table2[[#This Row],[Z'']], Table9[orig]), Table9[char])</f>
        <v>d</v>
      </c>
      <c r="BB8" t="str" cm="1">
        <f t="array" ref="BB8">_xlfn.XLOOKUP(TRUE, EXACT(Table2[[#This Row],[orig]], Table5[orig]), Table5[(T-reflection)])</f>
        <v>r'</v>
      </c>
      <c r="BC8" s="6" t="str" cm="1">
        <f t="array" ref="BC8">_xlfn.XLOOKUP(TRUE, EXACT(Table2[[#This Row],[T-reflection]], Table9[orig]), Table9[char])</f>
        <v>a</v>
      </c>
      <c r="BD8" t="str" cm="1">
        <f t="array" ref="BD8">_xlfn.XLOOKUP(TRUE, EXACT(Table2[[#This Row],[orig]], Table6[orig]), Table6[(H-reflection)])</f>
        <v>l'</v>
      </c>
      <c r="BE8" s="6" t="str" cm="1">
        <f t="array" ref="BE8">_xlfn.XLOOKUP(TRUE, EXACT(Table2[[#This Row],[H-reflection]], Table9[orig]), Table9[char])</f>
        <v>g</v>
      </c>
      <c r="BF8" t="str" cm="1">
        <f t="array" ref="BF8">_xlfn.XLOOKUP(TRUE, EXACT(Table2[[#This Row],[orig]], Table7[orig]), Table7[(S-reflection)])</f>
        <v>l'</v>
      </c>
      <c r="BG8" s="6" t="str" cm="1">
        <f t="array" ref="BG8">_xlfn.XLOOKUP(TRUE, EXACT(Table2[[#This Row],[S-reflection]], Table9[orig]), Table9[char])</f>
        <v>g</v>
      </c>
    </row>
    <row r="9" spans="1:120" x14ac:dyDescent="0.2">
      <c r="B9" s="7" t="s">
        <v>21</v>
      </c>
      <c r="C9" s="7" t="s">
        <v>21</v>
      </c>
      <c r="D9">
        <f>CODE(Table9[[#This Row],[char]])</f>
        <v>76</v>
      </c>
      <c r="E9" t="s">
        <v>19</v>
      </c>
      <c r="F9" t="str" cm="1">
        <f t="array" ref="F9">_xlfn.XLOOKUP(TRUE, EXACT(Table9[[#This Row],[inverse]], Table9[orig]), Table9[char])</f>
        <v>G</v>
      </c>
      <c r="G9">
        <f>CODE(Table9[[#This Row],[inv char]])</f>
        <v>71</v>
      </c>
      <c r="H9" t="s">
        <v>67</v>
      </c>
      <c r="I9" t="str" cm="1">
        <f t="array" ref="I9">_xlfn.XLOOKUP(TRUE, EXACT(Table9[[#This Row],[Complement]], Table9[orig]), Table9[char])</f>
        <v>r</v>
      </c>
      <c r="J9" t="s">
        <v>3</v>
      </c>
      <c r="K9" t="str">
        <f>Table9[[#This Row],[orig]] &amp; " "</f>
        <v xml:space="preserve">L </v>
      </c>
      <c r="N9" t="s">
        <v>21</v>
      </c>
      <c r="O9" t="s">
        <v>21</v>
      </c>
      <c r="Q9" t="s">
        <v>21</v>
      </c>
      <c r="R9" t="s">
        <v>30</v>
      </c>
      <c r="T9" t="s">
        <v>21</v>
      </c>
      <c r="U9" t="s">
        <v>77</v>
      </c>
      <c r="W9" t="s">
        <v>21</v>
      </c>
      <c r="X9" t="s">
        <v>20</v>
      </c>
      <c r="Z9" t="s">
        <v>21</v>
      </c>
      <c r="AA9" t="s">
        <v>19</v>
      </c>
      <c r="AC9" t="s">
        <v>21</v>
      </c>
      <c r="AD9" t="s">
        <v>19</v>
      </c>
      <c r="AH9" t="str">
        <f t="shared" si="0"/>
        <v>L</v>
      </c>
      <c r="AI9" s="6" t="str" cm="1">
        <f t="array" ref="AI9">_xlfn.XLOOKUP(TRUE, EXACT(Table2[[#This Row],[orig]], Table9[orig]), Table9[char])</f>
        <v>L</v>
      </c>
      <c r="AJ9" t="str" cm="1">
        <f t="array" ref="AJ9">_xlfn.XLOOKUP(TRUE, EXACT(Table2[[#This Row],[orig]], Table4[orig]), Table4[(X)])</f>
        <v>L</v>
      </c>
      <c r="AK9" s="6" t="str" cm="1">
        <f t="array" ref="AK9">_xlfn.XLOOKUP(TRUE, EXACT(Table2[[#This Row],[X]], Table9[orig]), Table9[char])</f>
        <v>L</v>
      </c>
      <c r="AL9" t="str" cm="1">
        <f t="array" ref="AL9">_xlfn.XLOOKUP(TRUE, EXACT(AJ9, Table4[orig]), Table4[(X)])</f>
        <v>L</v>
      </c>
      <c r="AM9" s="6" t="str" cm="1">
        <f t="array" ref="AM9">_xlfn.XLOOKUP(TRUE, EXACT(Table2[[#This Row],[X2]], Table9[orig]), Table9[char])</f>
        <v>L</v>
      </c>
      <c r="AN9" t="str" cm="1">
        <f t="array" ref="AN9">_xlfn.XLOOKUP(TRUE, EXACT(AL9, Table4[orig]), Table4[(X)])</f>
        <v>L</v>
      </c>
      <c r="AO9" s="6" t="str" cm="1">
        <f t="array" ref="AO9">_xlfn.XLOOKUP(TRUE, EXACT(Table2[[#This Row],[X'']], Table9[orig]), Table9[char])</f>
        <v>L</v>
      </c>
      <c r="AP9" t="str" cm="1">
        <f t="array" ref="AP9">_xlfn.XLOOKUP(TRUE, EXACT(AH9, Table1[orig]), Table1[(Y)])</f>
        <v>B</v>
      </c>
      <c r="AQ9" s="6" t="str" cm="1">
        <f t="array" ref="AQ9">_xlfn.XLOOKUP(TRUE, EXACT(Table2[[#This Row],[Y]], Table9[orig]), Table9[char])</f>
        <v>B</v>
      </c>
      <c r="AR9" t="str" cm="1">
        <f t="array" ref="AR9">_xlfn.XLOOKUP(TRUE, EXACT(AP9, Table1[orig]), Table1[(Y)])</f>
        <v>R</v>
      </c>
      <c r="AS9" s="6" t="str" cm="1">
        <f t="array" ref="AS9">_xlfn.XLOOKUP(TRUE, EXACT(Table2[[#This Row],[Y2]], Table9[orig]), Table9[char])</f>
        <v>R</v>
      </c>
      <c r="AT9" t="str" cm="1">
        <f t="array" ref="AT9">_xlfn.XLOOKUP(TRUE, EXACT(AR9, Table1[orig]), Table1[(Y)])</f>
        <v>F</v>
      </c>
      <c r="AU9" s="6" t="str" cm="1">
        <f t="array" ref="AU9">_xlfn.XLOOKUP(TRUE, EXACT(Table2[[#This Row],[Y'']], Table9[orig]), Table9[char])</f>
        <v>F</v>
      </c>
      <c r="AV9" t="str" cm="1">
        <f t="array" ref="AV9">_xlfn.XLOOKUP(TRUE, EXACT(Table2[[#This Row],[orig]], Table3[orig]), Table3[(Z)])</f>
        <v>U</v>
      </c>
      <c r="AW9" s="6" t="str" cm="1">
        <f t="array" ref="AW9">_xlfn.XLOOKUP(TRUE, EXACT(Table2[[#This Row],[Z]], Table9[orig]), Table9[char])</f>
        <v>U</v>
      </c>
      <c r="AX9" t="str" cm="1">
        <f t="array" ref="AX9">_xlfn.XLOOKUP(TRUE, EXACT(AV9, Table3[orig]), Table3[(Z)])</f>
        <v>R</v>
      </c>
      <c r="AY9" s="6" t="str" cm="1">
        <f t="array" ref="AY9">_xlfn.XLOOKUP(TRUE, EXACT(Table2[[#This Row],[Z2]], Table9[orig]), Table9[char])</f>
        <v>R</v>
      </c>
      <c r="AZ9" t="str" cm="1">
        <f t="array" ref="AZ9">_xlfn.XLOOKUP(TRUE, EXACT(AX9, Table3[orig]), Table3[(Z)])</f>
        <v>D</v>
      </c>
      <c r="BA9" s="6" t="str" cm="1">
        <f t="array" ref="BA9">_xlfn.XLOOKUP(TRUE, EXACT(Table2[[#This Row],[Z'']], Table9[orig]), Table9[char])</f>
        <v>D</v>
      </c>
      <c r="BB9" t="str" cm="1">
        <f t="array" ref="BB9">_xlfn.XLOOKUP(TRUE, EXACT(Table2[[#This Row],[orig]], Table5[orig]), Table5[(T-reflection)])</f>
        <v>R'</v>
      </c>
      <c r="BC9" s="6" t="str" cm="1">
        <f t="array" ref="BC9">_xlfn.XLOOKUP(TRUE, EXACT(Table2[[#This Row],[T-reflection]], Table9[orig]), Table9[char])</f>
        <v>A</v>
      </c>
      <c r="BD9" t="str" cm="1">
        <f t="array" ref="BD9">_xlfn.XLOOKUP(TRUE, EXACT(Table2[[#This Row],[orig]], Table6[orig]), Table6[(H-reflection)])</f>
        <v>L'</v>
      </c>
      <c r="BE9" s="6" t="str" cm="1">
        <f t="array" ref="BE9">_xlfn.XLOOKUP(TRUE, EXACT(Table2[[#This Row],[H-reflection]], Table9[orig]), Table9[char])</f>
        <v>G</v>
      </c>
      <c r="BF9" t="str" cm="1">
        <f t="array" ref="BF9">_xlfn.XLOOKUP(TRUE, EXACT(Table2[[#This Row],[orig]], Table7[orig]), Table7[(S-reflection)])</f>
        <v>L'</v>
      </c>
      <c r="BG9" s="6" t="str" cm="1">
        <f t="array" ref="BG9">_xlfn.XLOOKUP(TRUE, EXACT(Table2[[#This Row],[S-reflection]], Table9[orig]), Table9[char])</f>
        <v>G</v>
      </c>
    </row>
    <row r="10" spans="1:120" s="3" customFormat="1" x14ac:dyDescent="0.2">
      <c r="A10"/>
      <c r="B10" s="3" t="s">
        <v>2</v>
      </c>
      <c r="C10" s="3" t="s">
        <v>2</v>
      </c>
      <c r="D10" s="3">
        <f>CODE(Table9[[#This Row],[char]])</f>
        <v>88</v>
      </c>
      <c r="E10" s="3" t="s">
        <v>3</v>
      </c>
      <c r="F10" s="3" t="str" cm="1">
        <f t="array" ref="F10">_xlfn.XLOOKUP(TRUE, EXACT(Table9[[#This Row],[inverse]], Table9[orig]), Table9[char])</f>
        <v>!</v>
      </c>
      <c r="G10" s="3">
        <f>CODE(Table9[[#This Row],[inv char]])</f>
        <v>33</v>
      </c>
      <c r="H10" s="3">
        <v>0</v>
      </c>
      <c r="I10" s="3">
        <v>0</v>
      </c>
      <c r="J10" s="3" t="s">
        <v>2</v>
      </c>
      <c r="K10" t="str">
        <f>Table9[[#This Row],[orig]] &amp; " "</f>
        <v xml:space="preserve">X </v>
      </c>
      <c r="L10"/>
      <c r="N10" s="3" t="s">
        <v>2</v>
      </c>
      <c r="O10" s="3" t="s">
        <v>2</v>
      </c>
      <c r="P10"/>
      <c r="Q10" s="3" t="s">
        <v>2</v>
      </c>
      <c r="R10" s="3" t="s">
        <v>8</v>
      </c>
      <c r="S10"/>
      <c r="T10" s="3" t="s">
        <v>2</v>
      </c>
      <c r="U10" s="3" t="s">
        <v>6</v>
      </c>
      <c r="V10"/>
      <c r="W10" s="3" t="s">
        <v>2</v>
      </c>
      <c r="X10" s="3" t="s">
        <v>2</v>
      </c>
      <c r="Y10"/>
      <c r="Z10" s="3" t="s">
        <v>2</v>
      </c>
      <c r="AA10" s="3" t="s">
        <v>3</v>
      </c>
      <c r="AB10"/>
      <c r="AC10" s="3" t="s">
        <v>2</v>
      </c>
      <c r="AD10" s="3" t="s">
        <v>3</v>
      </c>
      <c r="AE10"/>
      <c r="AF10"/>
      <c r="AG10"/>
      <c r="AH10" s="3" t="str">
        <f t="shared" si="0"/>
        <v>X</v>
      </c>
      <c r="AI10" s="9" t="str" cm="1">
        <f t="array" ref="AI10">_xlfn.XLOOKUP(TRUE, EXACT(Table2[[#This Row],[orig]], Table9[orig]), Table9[char])</f>
        <v>X</v>
      </c>
      <c r="AJ10" s="3" t="str" cm="1">
        <f t="array" ref="AJ10">_xlfn.XLOOKUP(TRUE, EXACT(Table2[[#This Row],[orig]], Table4[orig]), Table4[(X)])</f>
        <v>X</v>
      </c>
      <c r="AK10" s="9" t="str" cm="1">
        <f t="array" ref="AK10">_xlfn.XLOOKUP(TRUE, EXACT(Table2[[#This Row],[X]], Table9[orig]), Table9[char])</f>
        <v>X</v>
      </c>
      <c r="AL10" s="3" t="str" cm="1">
        <f t="array" ref="AL10">_xlfn.XLOOKUP(TRUE, EXACT(AJ10, Table4[orig]), Table4[(X)])</f>
        <v>X</v>
      </c>
      <c r="AM10" s="9" t="str" cm="1">
        <f t="array" ref="AM10">_xlfn.XLOOKUP(TRUE, EXACT(Table2[[#This Row],[X2]], Table9[orig]), Table9[char])</f>
        <v>X</v>
      </c>
      <c r="AN10" s="3" t="str" cm="1">
        <f t="array" ref="AN10">_xlfn.XLOOKUP(TRUE, EXACT(AL10, Table4[orig]), Table4[(X)])</f>
        <v>X</v>
      </c>
      <c r="AO10" s="9" t="str" cm="1">
        <f t="array" ref="AO10">_xlfn.XLOOKUP(TRUE, EXACT(Table2[[#This Row],[X'']], Table9[orig]), Table9[char])</f>
        <v>X</v>
      </c>
      <c r="AP10" s="3" t="str" cm="1">
        <f t="array" ref="AP10">_xlfn.XLOOKUP(TRUE, EXACT(AH10, Table1[orig]), Table1[(Y)])</f>
        <v>Z</v>
      </c>
      <c r="AQ10" s="9" t="str" cm="1">
        <f t="array" ref="AQ10">_xlfn.XLOOKUP(TRUE, EXACT(Table2[[#This Row],[Y]], Table9[orig]), Table9[char])</f>
        <v>Z</v>
      </c>
      <c r="AR10" s="3" t="str" cm="1">
        <f t="array" ref="AR10">_xlfn.XLOOKUP(TRUE, EXACT(AP10, Table1[orig]), Table1[(Y)])</f>
        <v>X'</v>
      </c>
      <c r="AS10" s="9" t="str" cm="1">
        <f t="array" ref="AS10">_xlfn.XLOOKUP(TRUE, EXACT(Table2[[#This Row],[Y2]], Table9[orig]), Table9[char])</f>
        <v>!</v>
      </c>
      <c r="AT10" s="3" t="str" cm="1">
        <f t="array" ref="AT10">_xlfn.XLOOKUP(TRUE, EXACT(AR10, Table1[orig]), Table1[(Y)])</f>
        <v>Z'</v>
      </c>
      <c r="AU10" s="9" t="str" cm="1">
        <f t="array" ref="AU10">_xlfn.XLOOKUP(TRUE, EXACT(Table2[[#This Row],[Y'']], Table9[orig]), Table9[char])</f>
        <v>#</v>
      </c>
      <c r="AV10" s="3" t="str" cm="1">
        <f t="array" ref="AV10">_xlfn.XLOOKUP(TRUE, EXACT(Table2[[#This Row],[orig]], Table3[orig]), Table3[(Z)])</f>
        <v>Y'</v>
      </c>
      <c r="AW10" s="9" t="str" cm="1">
        <f t="array" ref="AW10">_xlfn.XLOOKUP(TRUE, EXACT(Table2[[#This Row],[Z]], Table9[orig]), Table9[char])</f>
        <v>p</v>
      </c>
      <c r="AX10" s="3" t="str" cm="1">
        <f t="array" ref="AX10">_xlfn.XLOOKUP(TRUE, EXACT(AV10, Table3[orig]), Table3[(Z)])</f>
        <v>X'</v>
      </c>
      <c r="AY10" s="9" t="str" cm="1">
        <f t="array" ref="AY10">_xlfn.XLOOKUP(TRUE, EXACT(Table2[[#This Row],[Z2]], Table9[orig]), Table9[char])</f>
        <v>!</v>
      </c>
      <c r="AZ10" s="3" t="str" cm="1">
        <f t="array" ref="AZ10">_xlfn.XLOOKUP(TRUE, EXACT(AX10, Table3[orig]), Table3[(Z)])</f>
        <v>Y</v>
      </c>
      <c r="BA10" s="9" t="str" cm="1">
        <f t="array" ref="BA10">_xlfn.XLOOKUP(TRUE, EXACT(Table2[[#This Row],[Z'']], Table9[orig]), Table9[char])</f>
        <v>Y</v>
      </c>
      <c r="BB10" s="3" t="str" cm="1">
        <f t="array" ref="BB10">_xlfn.XLOOKUP(TRUE, EXACT(Table2[[#This Row],[orig]], Table5[orig]), Table5[(T-reflection)])</f>
        <v>X</v>
      </c>
      <c r="BC10" s="9" t="str" cm="1">
        <f t="array" ref="BC10">_xlfn.XLOOKUP(TRUE, EXACT(Table2[[#This Row],[T-reflection]], Table9[orig]), Table9[char])</f>
        <v>X</v>
      </c>
      <c r="BD10" s="3" t="str" cm="1">
        <f t="array" ref="BD10">_xlfn.XLOOKUP(TRUE, EXACT(Table2[[#This Row],[orig]], Table6[orig]), Table6[(H-reflection)])</f>
        <v>X'</v>
      </c>
      <c r="BE10" s="9" t="str" cm="1">
        <f t="array" ref="BE10">_xlfn.XLOOKUP(TRUE, EXACT(Table2[[#This Row],[H-reflection]], Table9[orig]), Table9[char])</f>
        <v>!</v>
      </c>
      <c r="BF10" s="3" t="str" cm="1">
        <f t="array" ref="BF10">_xlfn.XLOOKUP(TRUE, EXACT(Table2[[#This Row],[orig]], Table7[orig]), Table7[(S-reflection)])</f>
        <v>X'</v>
      </c>
      <c r="BG10" s="6" t="str" cm="1">
        <f t="array" ref="BG10">_xlfn.XLOOKUP(TRUE, EXACT(Table2[[#This Row],[S-reflection]], Table9[orig]), Table9[char])</f>
        <v>!</v>
      </c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</row>
    <row r="11" spans="1:120" x14ac:dyDescent="0.2">
      <c r="B11" s="7" t="s">
        <v>20</v>
      </c>
      <c r="C11" s="7" t="s">
        <v>29</v>
      </c>
      <c r="D11">
        <f>CODE(Table9[[#This Row],[char]])</f>
        <v>65</v>
      </c>
      <c r="E11" t="s">
        <v>18</v>
      </c>
      <c r="F11" t="str" cm="1">
        <f t="array" ref="F11">_xlfn.XLOOKUP(TRUE, EXACT(Table9[[#This Row],[inverse]], Table9[orig]), Table9[char])</f>
        <v>R</v>
      </c>
      <c r="G11">
        <f>CODE(Table9[[#This Row],[inv char]])</f>
        <v>82</v>
      </c>
      <c r="H11" t="s">
        <v>70</v>
      </c>
      <c r="I11" t="str" cm="1">
        <f t="array" ref="I11">_xlfn.XLOOKUP(TRUE, EXACT(Table9[[#This Row],[Complement]], Table9[orig]), Table9[char])</f>
        <v>g</v>
      </c>
      <c r="J11" t="s">
        <v>3</v>
      </c>
      <c r="K11" t="str">
        <f>Table9[[#This Row],[orig]] &amp; " "</f>
        <v xml:space="preserve">R' </v>
      </c>
      <c r="N11" t="s">
        <v>20</v>
      </c>
      <c r="O11" t="s">
        <v>20</v>
      </c>
      <c r="Q11" t="s">
        <v>20</v>
      </c>
      <c r="R11" t="s">
        <v>78</v>
      </c>
      <c r="T11" t="s">
        <v>20</v>
      </c>
      <c r="U11" t="s">
        <v>79</v>
      </c>
      <c r="W11" t="s">
        <v>20</v>
      </c>
      <c r="X11" t="s">
        <v>21</v>
      </c>
      <c r="Z11" t="s">
        <v>20</v>
      </c>
      <c r="AA11" t="s">
        <v>18</v>
      </c>
      <c r="AC11" t="s">
        <v>20</v>
      </c>
      <c r="AD11" t="s">
        <v>18</v>
      </c>
      <c r="AH11" t="str">
        <f t="shared" si="0"/>
        <v>R'</v>
      </c>
      <c r="AI11" s="6" t="str" cm="1">
        <f t="array" ref="AI11">_xlfn.XLOOKUP(TRUE, EXACT(Table2[[#This Row],[orig]], Table9[orig]), Table9[char])</f>
        <v>A</v>
      </c>
      <c r="AJ11" t="str" cm="1">
        <f t="array" ref="AJ11">_xlfn.XLOOKUP(TRUE, EXACT(Table2[[#This Row],[orig]], Table4[orig]), Table4[(X)])</f>
        <v>R'</v>
      </c>
      <c r="AK11" s="6" t="str" cm="1">
        <f t="array" ref="AK11">_xlfn.XLOOKUP(TRUE, EXACT(Table2[[#This Row],[X]], Table9[orig]), Table9[char])</f>
        <v>A</v>
      </c>
      <c r="AL11" t="str" cm="1">
        <f t="array" ref="AL11">_xlfn.XLOOKUP(TRUE, EXACT(AJ11, Table4[orig]), Table4[(X)])</f>
        <v>R'</v>
      </c>
      <c r="AM11" s="6" t="str" cm="1">
        <f t="array" ref="AM11">_xlfn.XLOOKUP(TRUE, EXACT(Table2[[#This Row],[X2]], Table9[orig]), Table9[char])</f>
        <v>A</v>
      </c>
      <c r="AN11" t="str" cm="1">
        <f t="array" ref="AN11">_xlfn.XLOOKUP(TRUE, EXACT(AL11, Table4[orig]), Table4[(X)])</f>
        <v>R'</v>
      </c>
      <c r="AO11" s="6" t="str" cm="1">
        <f t="array" ref="AO11">_xlfn.XLOOKUP(TRUE, EXACT(Table2[[#This Row],[X'']], Table9[orig]), Table9[char])</f>
        <v>A</v>
      </c>
      <c r="AP11" t="str" cm="1">
        <f t="array" ref="AP11">_xlfn.XLOOKUP(TRUE, EXACT(AH11, Table1[orig]), Table1[(Y)])</f>
        <v>F'</v>
      </c>
      <c r="AQ11" s="6" t="str" cm="1">
        <f t="array" ref="AQ11">_xlfn.XLOOKUP(TRUE, EXACT(Table2[[#This Row],[Y]], Table9[orig]), Table9[char])</f>
        <v>Q</v>
      </c>
      <c r="AR11" t="str" cm="1">
        <f t="array" ref="AR11">_xlfn.XLOOKUP(TRUE, EXACT(AP11, Table1[orig]), Table1[(Y)])</f>
        <v>L'</v>
      </c>
      <c r="AS11" s="6" t="str" cm="1">
        <f t="array" ref="AS11">_xlfn.XLOOKUP(TRUE, EXACT(Table2[[#This Row],[Y2]], Table9[orig]), Table9[char])</f>
        <v>G</v>
      </c>
      <c r="AT11" t="str" cm="1">
        <f t="array" ref="AT11">_xlfn.XLOOKUP(TRUE, EXACT(AR11, Table1[orig]), Table1[(Y)])</f>
        <v>B'</v>
      </c>
      <c r="AU11" s="6" t="str" cm="1">
        <f t="array" ref="AU11">_xlfn.XLOOKUP(TRUE, EXACT(Table2[[#This Row],[Y'']], Table9[orig]), Table9[char])</f>
        <v>@</v>
      </c>
      <c r="AV11" t="str" cm="1">
        <f t="array" ref="AV11">_xlfn.XLOOKUP(TRUE, EXACT(Table2[[#This Row],[orig]], Table3[orig]), Table3[(Z)])</f>
        <v>D'</v>
      </c>
      <c r="AW11" s="6" t="str" cm="1">
        <f t="array" ref="AW11">_xlfn.XLOOKUP(TRUE, EXACT(Table2[[#This Row],[Z]], Table9[orig]), Table9[char])</f>
        <v>%</v>
      </c>
      <c r="AX11" t="str" cm="1">
        <f t="array" ref="AX11">_xlfn.XLOOKUP(TRUE, EXACT(AV11, Table3[orig]), Table3[(Z)])</f>
        <v>L'</v>
      </c>
      <c r="AY11" s="6" t="str" cm="1">
        <f t="array" ref="AY11">_xlfn.XLOOKUP(TRUE, EXACT(Table2[[#This Row],[Z2]], Table9[orig]), Table9[char])</f>
        <v>G</v>
      </c>
      <c r="AZ11" t="str" cm="1">
        <f t="array" ref="AZ11">_xlfn.XLOOKUP(TRUE, EXACT(AX11, Table3[orig]), Table3[(Z)])</f>
        <v>U'</v>
      </c>
      <c r="BA11" s="6" t="str" cm="1">
        <f t="array" ref="BA11">_xlfn.XLOOKUP(TRUE, EXACT(Table2[[#This Row],[Z'']], Table9[orig]), Table9[char])</f>
        <v>.</v>
      </c>
      <c r="BB11" t="str" cm="1">
        <f t="array" ref="BB11">_xlfn.XLOOKUP(TRUE, EXACT(Table2[[#This Row],[orig]], Table5[orig]), Table5[(T-reflection)])</f>
        <v>L</v>
      </c>
      <c r="BC11" s="6" t="str" cm="1">
        <f t="array" ref="BC11">_xlfn.XLOOKUP(TRUE, EXACT(Table2[[#This Row],[T-reflection]], Table9[orig]), Table9[char])</f>
        <v>L</v>
      </c>
      <c r="BD11" t="str" cm="1">
        <f t="array" ref="BD11">_xlfn.XLOOKUP(TRUE, EXACT(Table2[[#This Row],[orig]], Table6[orig]), Table6[(H-reflection)])</f>
        <v>R</v>
      </c>
      <c r="BE11" s="6" t="str" cm="1">
        <f t="array" ref="BE11">_xlfn.XLOOKUP(TRUE, EXACT(Table2[[#This Row],[H-reflection]], Table9[orig]), Table9[char])</f>
        <v>R</v>
      </c>
      <c r="BF11" t="str" cm="1">
        <f t="array" ref="BF11">_xlfn.XLOOKUP(TRUE, EXACT(Table2[[#This Row],[orig]], Table7[orig]), Table7[(S-reflection)])</f>
        <v>R</v>
      </c>
      <c r="BG11" s="6" t="str" cm="1">
        <f t="array" ref="BG11">_xlfn.XLOOKUP(TRUE, EXACT(Table2[[#This Row],[S-reflection]], Table9[orig]), Table9[char])</f>
        <v>R</v>
      </c>
    </row>
    <row r="12" spans="1:120" x14ac:dyDescent="0.2">
      <c r="B12" t="s">
        <v>68</v>
      </c>
      <c r="C12" t="s">
        <v>24</v>
      </c>
      <c r="D12">
        <f>CODE(Table9[[#This Row],[char]])</f>
        <v>97</v>
      </c>
      <c r="E12" t="s">
        <v>67</v>
      </c>
      <c r="F12" t="str" cm="1">
        <f t="array" ref="F12">_xlfn.XLOOKUP(TRUE, EXACT(Table9[[#This Row],[inverse]], Table9[orig]), Table9[char])</f>
        <v>r</v>
      </c>
      <c r="G12">
        <f>CODE(Table9[[#This Row],[inv char]])</f>
        <v>114</v>
      </c>
      <c r="H12" t="s">
        <v>19</v>
      </c>
      <c r="I12" t="str" cm="1">
        <f t="array" ref="I12">_xlfn.XLOOKUP(TRUE, EXACT(Table9[[#This Row],[Complement]], Table9[orig]), Table9[char])</f>
        <v>G</v>
      </c>
      <c r="J12" t="s">
        <v>3</v>
      </c>
      <c r="K12" t="str">
        <f>Table9[[#This Row],[orig]] &amp; " "</f>
        <v xml:space="preserve">r' </v>
      </c>
      <c r="N12" t="s">
        <v>68</v>
      </c>
      <c r="O12" t="s">
        <v>68</v>
      </c>
      <c r="Q12" t="s">
        <v>68</v>
      </c>
      <c r="R12" t="s">
        <v>80</v>
      </c>
      <c r="T12" t="s">
        <v>68</v>
      </c>
      <c r="U12" t="s">
        <v>81</v>
      </c>
      <c r="W12" t="s">
        <v>68</v>
      </c>
      <c r="X12" t="s">
        <v>65</v>
      </c>
      <c r="Z12" t="s">
        <v>68</v>
      </c>
      <c r="AA12" t="s">
        <v>67</v>
      </c>
      <c r="AC12" t="s">
        <v>68</v>
      </c>
      <c r="AD12" t="s">
        <v>67</v>
      </c>
      <c r="AH12" t="str">
        <f t="shared" si="0"/>
        <v>r'</v>
      </c>
      <c r="AI12" s="6" t="str" cm="1">
        <f t="array" ref="AI12">_xlfn.XLOOKUP(TRUE, EXACT(Table2[[#This Row],[orig]], Table9[orig]), Table9[char])</f>
        <v>a</v>
      </c>
      <c r="AJ12" t="str" cm="1">
        <f t="array" ref="AJ12">_xlfn.XLOOKUP(TRUE, EXACT(Table2[[#This Row],[orig]], Table4[orig]), Table4[(X)])</f>
        <v>r'</v>
      </c>
      <c r="AK12" s="6" t="str" cm="1">
        <f t="array" ref="AK12">_xlfn.XLOOKUP(TRUE, EXACT(Table2[[#This Row],[X]], Table9[orig]), Table9[char])</f>
        <v>a</v>
      </c>
      <c r="AL12" t="str" cm="1">
        <f t="array" ref="AL12">_xlfn.XLOOKUP(TRUE, EXACT(AJ12, Table4[orig]), Table4[(X)])</f>
        <v>r'</v>
      </c>
      <c r="AM12" s="6" t="str" cm="1">
        <f t="array" ref="AM12">_xlfn.XLOOKUP(TRUE, EXACT(Table2[[#This Row],[X2]], Table9[orig]), Table9[char])</f>
        <v>a</v>
      </c>
      <c r="AN12" t="str" cm="1">
        <f t="array" ref="AN12">_xlfn.XLOOKUP(TRUE, EXACT(AL12, Table4[orig]), Table4[(X)])</f>
        <v>r'</v>
      </c>
      <c r="AO12" s="6" t="str" cm="1">
        <f t="array" ref="AO12">_xlfn.XLOOKUP(TRUE, EXACT(Table2[[#This Row],[X'']], Table9[orig]), Table9[char])</f>
        <v>a</v>
      </c>
      <c r="AP12" t="str" cm="1">
        <f t="array" ref="AP12">_xlfn.XLOOKUP(TRUE, EXACT(AH12, Table1[orig]), Table1[(Y)])</f>
        <v>f'</v>
      </c>
      <c r="AQ12" s="6" t="str" cm="1">
        <f t="array" ref="AQ12">_xlfn.XLOOKUP(TRUE, EXACT(Table2[[#This Row],[Y]], Table9[orig]), Table9[char])</f>
        <v>q</v>
      </c>
      <c r="AR12" t="str" cm="1">
        <f t="array" ref="AR12">_xlfn.XLOOKUP(TRUE, EXACT(AP12, Table1[orig]), Table1[(Y)])</f>
        <v>l'</v>
      </c>
      <c r="AS12" s="6" t="str" cm="1">
        <f t="array" ref="AS12">_xlfn.XLOOKUP(TRUE, EXACT(Table2[[#This Row],[Y2]], Table9[orig]), Table9[char])</f>
        <v>g</v>
      </c>
      <c r="AT12" t="str" cm="1">
        <f t="array" ref="AT12">_xlfn.XLOOKUP(TRUE, EXACT(AR12, Table1[orig]), Table1[(Y)])</f>
        <v>b'</v>
      </c>
      <c r="AU12" s="6" t="str" cm="1">
        <f t="array" ref="AU12">_xlfn.XLOOKUP(TRUE, EXACT(Table2[[#This Row],[Y'']], Table9[orig]), Table9[char])</f>
        <v>&amp;</v>
      </c>
      <c r="AV12" t="str" cm="1">
        <f t="array" ref="AV12">_xlfn.XLOOKUP(TRUE, EXACT(Table2[[#This Row],[orig]], Table3[orig]), Table3[(Z)])</f>
        <v>d'</v>
      </c>
      <c r="AW12" s="6" t="str" cm="1">
        <f t="array" ref="AW12">_xlfn.XLOOKUP(TRUE, EXACT(Table2[[#This Row],[Z]], Table9[orig]), Table9[char])</f>
        <v>k</v>
      </c>
      <c r="AX12" t="str" cm="1">
        <f t="array" ref="AX12">_xlfn.XLOOKUP(TRUE, EXACT(AV12, Table3[orig]), Table3[(Z)])</f>
        <v>l'</v>
      </c>
      <c r="AY12" s="6" t="str" cm="1">
        <f t="array" ref="AY12">_xlfn.XLOOKUP(TRUE, EXACT(Table2[[#This Row],[Z2]], Table9[orig]), Table9[char])</f>
        <v>g</v>
      </c>
      <c r="AZ12" t="str" cm="1">
        <f t="array" ref="AZ12">_xlfn.XLOOKUP(TRUE, EXACT(AX12, Table3[orig]), Table3[(Z)])</f>
        <v>u'</v>
      </c>
      <c r="BA12" s="6" t="str" cm="1">
        <f t="array" ref="BA12">_xlfn.XLOOKUP(TRUE, EXACT(Table2[[#This Row],[Z'']], Table9[orig]), Table9[char])</f>
        <v>-</v>
      </c>
      <c r="BB12" t="str" cm="1">
        <f t="array" ref="BB12">_xlfn.XLOOKUP(TRUE, EXACT(Table2[[#This Row],[orig]], Table5[orig]), Table5[(T-reflection)])</f>
        <v>l</v>
      </c>
      <c r="BC12" s="6" t="str" cm="1">
        <f t="array" ref="BC12">_xlfn.XLOOKUP(TRUE, EXACT(Table2[[#This Row],[T-reflection]], Table9[orig]), Table9[char])</f>
        <v>l</v>
      </c>
      <c r="BD12" t="str" cm="1">
        <f t="array" ref="BD12">_xlfn.XLOOKUP(TRUE, EXACT(Table2[[#This Row],[orig]], Table6[orig]), Table6[(H-reflection)])</f>
        <v>r</v>
      </c>
      <c r="BE12" s="6" t="str" cm="1">
        <f t="array" ref="BE12">_xlfn.XLOOKUP(TRUE, EXACT(Table2[[#This Row],[H-reflection]], Table9[orig]), Table9[char])</f>
        <v>r</v>
      </c>
      <c r="BF12" t="str" cm="1">
        <f t="array" ref="BF12">_xlfn.XLOOKUP(TRUE, EXACT(Table2[[#This Row],[orig]], Table7[orig]), Table7[(S-reflection)])</f>
        <v>r</v>
      </c>
      <c r="BG12" s="6" t="str" cm="1">
        <f t="array" ref="BG12">_xlfn.XLOOKUP(TRUE, EXACT(Table2[[#This Row],[S-reflection]], Table9[orig]), Table9[char])</f>
        <v>r</v>
      </c>
    </row>
    <row r="13" spans="1:120" x14ac:dyDescent="0.2">
      <c r="B13" s="7" t="s">
        <v>72</v>
      </c>
      <c r="C13" s="7" t="s">
        <v>31</v>
      </c>
      <c r="D13">
        <f>CODE(Table9[[#This Row],[char]])</f>
        <v>67</v>
      </c>
      <c r="E13" t="s">
        <v>71</v>
      </c>
      <c r="F13" t="str" cm="1">
        <f t="array" ref="F13">_xlfn.XLOOKUP(TRUE, EXACT(Table9[[#This Row],[inverse]], Table9[orig]), Table9[char])</f>
        <v>T</v>
      </c>
      <c r="G13">
        <f>CODE(Table9[[#This Row],[inv char]])</f>
        <v>84</v>
      </c>
      <c r="H13" t="s">
        <v>82</v>
      </c>
      <c r="I13" t="str" cm="1">
        <f t="array" ref="I13">_xlfn.CONCAT(_xlfn.XLOOKUP(TRUE, EXACT(B5, Table9[orig]), Table9[char]), _xlfn.XLOOKUP(TRUE, EXACT(B15, Table9[orig]), Table9[char]))</f>
        <v>RG</v>
      </c>
      <c r="J13" t="s">
        <v>3</v>
      </c>
      <c r="K13" t="str">
        <f>Table9[[#This Row],[orig]] &amp; " "</f>
        <v xml:space="preserve">T' </v>
      </c>
      <c r="N13" t="s">
        <v>72</v>
      </c>
      <c r="O13" t="s">
        <v>72</v>
      </c>
      <c r="Q13" t="s">
        <v>72</v>
      </c>
      <c r="R13" t="s">
        <v>83</v>
      </c>
      <c r="T13" t="s">
        <v>72</v>
      </c>
      <c r="U13" t="s">
        <v>84</v>
      </c>
      <c r="W13" t="s">
        <v>72</v>
      </c>
      <c r="X13" t="s">
        <v>72</v>
      </c>
      <c r="Z13" t="s">
        <v>72</v>
      </c>
      <c r="AA13" t="s">
        <v>71</v>
      </c>
      <c r="AC13" t="s">
        <v>72</v>
      </c>
      <c r="AD13" t="s">
        <v>71</v>
      </c>
      <c r="AH13" t="str">
        <f t="shared" si="0"/>
        <v>T'</v>
      </c>
      <c r="AI13" s="6" t="str" cm="1">
        <f t="array" ref="AI13">_xlfn.XLOOKUP(TRUE, EXACT(Table2[[#This Row],[orig]], Table9[orig]), Table9[char])</f>
        <v>C</v>
      </c>
      <c r="AJ13" t="str" cm="1">
        <f t="array" ref="AJ13">_xlfn.XLOOKUP(TRUE, EXACT(Table2[[#This Row],[orig]], Table4[orig]), Table4[(X)])</f>
        <v>T'</v>
      </c>
      <c r="AK13" s="6" t="str" cm="1">
        <f t="array" ref="AK13">_xlfn.XLOOKUP(TRUE, EXACT(Table2[[#This Row],[X]], Table9[orig]), Table9[char])</f>
        <v>C</v>
      </c>
      <c r="AL13" t="str" cm="1">
        <f t="array" ref="AL13">_xlfn.XLOOKUP(TRUE, EXACT(AJ13, Table4[orig]), Table4[(X)])</f>
        <v>T'</v>
      </c>
      <c r="AM13" s="6" t="str" cm="1">
        <f t="array" ref="AM13">_xlfn.XLOOKUP(TRUE, EXACT(Table2[[#This Row],[X2]], Table9[orig]), Table9[char])</f>
        <v>C</v>
      </c>
      <c r="AN13" t="str" cm="1">
        <f t="array" ref="AN13">_xlfn.XLOOKUP(TRUE, EXACT(AL13, Table4[orig]), Table4[(X)])</f>
        <v>T'</v>
      </c>
      <c r="AO13" s="6" t="str" cm="1">
        <f t="array" ref="AO13">_xlfn.XLOOKUP(TRUE, EXACT(Table2[[#This Row],[X'']], Table9[orig]), Table9[char])</f>
        <v>C</v>
      </c>
      <c r="AP13" t="str" cm="1">
        <f t="array" ref="AP13">_xlfn.XLOOKUP(TRUE, EXACT(AH13, Table1[orig]), Table1[(Y)])</f>
        <v>S'</v>
      </c>
      <c r="AQ13" s="6" t="str" cm="1">
        <f t="array" ref="AQ13">_xlfn.XLOOKUP(TRUE, EXACT(Table2[[#This Row],[Y]], Table9[orig]), Table9[char])</f>
        <v>V</v>
      </c>
      <c r="AR13" t="str" cm="1">
        <f t="array" ref="AR13">_xlfn.XLOOKUP(TRUE, EXACT(AP13, Table1[orig]), Table1[(Y)])</f>
        <v>T</v>
      </c>
      <c r="AS13" s="6" t="str" cm="1">
        <f t="array" ref="AS13">_xlfn.XLOOKUP(TRUE, EXACT(Table2[[#This Row],[Y2]], Table9[orig]), Table9[char])</f>
        <v>T</v>
      </c>
      <c r="AT13" t="str" cm="1">
        <f t="array" ref="AT13">_xlfn.XLOOKUP(TRUE, EXACT(AR13, Table1[orig]), Table1[(Y)])</f>
        <v>S</v>
      </c>
      <c r="AU13" s="6" t="str" cm="1">
        <f t="array" ref="AU13">_xlfn.XLOOKUP(TRUE, EXACT(Table2[[#This Row],[Y'']], Table9[orig]), Table9[char])</f>
        <v>S</v>
      </c>
      <c r="AV13" t="str" cm="1">
        <f t="array" ref="AV13">_xlfn.XLOOKUP(TRUE, EXACT(Table2[[#This Row],[orig]], Table3[orig]), Table3[(Z)])</f>
        <v>H</v>
      </c>
      <c r="AW13" s="6" t="str" cm="1">
        <f t="array" ref="AW13">_xlfn.XLOOKUP(TRUE, EXACT(Table2[[#This Row],[Z]], Table9[orig]), Table9[char])</f>
        <v>H</v>
      </c>
      <c r="AX13" t="str" cm="1">
        <f t="array" ref="AX13">_xlfn.XLOOKUP(TRUE, EXACT(AV13, Table3[orig]), Table3[(Z)])</f>
        <v>T</v>
      </c>
      <c r="AY13" s="6" t="str" cm="1">
        <f t="array" ref="AY13">_xlfn.XLOOKUP(TRUE, EXACT(Table2[[#This Row],[Z2]], Table9[orig]), Table9[char])</f>
        <v>T</v>
      </c>
      <c r="AZ13" t="str" cm="1">
        <f t="array" ref="AZ13">_xlfn.XLOOKUP(TRUE, EXACT(AX13, Table3[orig]), Table3[(Z)])</f>
        <v>H'</v>
      </c>
      <c r="BA13" s="6" t="str" cm="1">
        <f t="array" ref="BA13">_xlfn.XLOOKUP(TRUE, EXACT(Table2[[#This Row],[Z'']], Table9[orig]), Table9[char])</f>
        <v>+</v>
      </c>
      <c r="BB13" t="str" cm="1">
        <f t="array" ref="BB13">_xlfn.XLOOKUP(TRUE, EXACT(Table2[[#This Row],[orig]], Table5[orig]), Table5[(T-reflection)])</f>
        <v>T'</v>
      </c>
      <c r="BC13" s="6" t="str" cm="1">
        <f t="array" ref="BC13">_xlfn.XLOOKUP(TRUE, EXACT(Table2[[#This Row],[T-reflection]], Table9[orig]), Table9[char])</f>
        <v>C</v>
      </c>
      <c r="BD13" t="str" cm="1">
        <f t="array" ref="BD13">_xlfn.XLOOKUP(TRUE, EXACT(Table2[[#This Row],[orig]], Table6[orig]), Table6[(H-reflection)])</f>
        <v>T</v>
      </c>
      <c r="BE13" s="6" t="str" cm="1">
        <f t="array" ref="BE13">_xlfn.XLOOKUP(TRUE, EXACT(Table2[[#This Row],[H-reflection]], Table9[orig]), Table9[char])</f>
        <v>T</v>
      </c>
      <c r="BF13" t="str" cm="1">
        <f t="array" ref="BF13">_xlfn.XLOOKUP(TRUE, EXACT(Table2[[#This Row],[orig]], Table7[orig]), Table7[(S-reflection)])</f>
        <v>T</v>
      </c>
      <c r="BG13" s="6" t="str" cm="1">
        <f t="array" ref="BG13">_xlfn.XLOOKUP(TRUE, EXACT(Table2[[#This Row],[S-reflection]], Table9[orig]), Table9[char])</f>
        <v>T</v>
      </c>
    </row>
    <row r="14" spans="1:120" x14ac:dyDescent="0.2">
      <c r="B14" t="s">
        <v>70</v>
      </c>
      <c r="C14" t="s">
        <v>85</v>
      </c>
      <c r="D14">
        <f>CODE(Table9[[#This Row],[char]])</f>
        <v>103</v>
      </c>
      <c r="E14" t="s">
        <v>65</v>
      </c>
      <c r="F14" t="str" cm="1">
        <f t="array" ref="F14">_xlfn.XLOOKUP(TRUE, EXACT(Table9[[#This Row],[inverse]], Table9[orig]), Table9[char])</f>
        <v>l</v>
      </c>
      <c r="G14">
        <f>CODE(Table9[[#This Row],[inv char]])</f>
        <v>108</v>
      </c>
      <c r="H14" t="s">
        <v>20</v>
      </c>
      <c r="I14" t="str" cm="1">
        <f t="array" ref="I14">_xlfn.XLOOKUP(TRUE, EXACT(Table9[[#This Row],[Complement]], Table9[orig]), Table9[char])</f>
        <v>A</v>
      </c>
      <c r="J14" t="s">
        <v>2</v>
      </c>
      <c r="K14" t="str">
        <f>Table9[[#This Row],[orig]] &amp; " "</f>
        <v xml:space="preserve">l' </v>
      </c>
      <c r="N14" t="s">
        <v>70</v>
      </c>
      <c r="O14" t="s">
        <v>70</v>
      </c>
      <c r="Q14" t="s">
        <v>70</v>
      </c>
      <c r="R14" t="s">
        <v>86</v>
      </c>
      <c r="T14" t="s">
        <v>70</v>
      </c>
      <c r="U14" t="s">
        <v>87</v>
      </c>
      <c r="W14" t="s">
        <v>70</v>
      </c>
      <c r="X14" t="s">
        <v>67</v>
      </c>
      <c r="Z14" t="s">
        <v>70</v>
      </c>
      <c r="AA14" t="s">
        <v>65</v>
      </c>
      <c r="AC14" t="s">
        <v>70</v>
      </c>
      <c r="AD14" t="s">
        <v>65</v>
      </c>
      <c r="AH14" t="str">
        <f t="shared" si="0"/>
        <v>l'</v>
      </c>
      <c r="AI14" s="6" t="str" cm="1">
        <f t="array" ref="AI14">_xlfn.XLOOKUP(TRUE, EXACT(Table2[[#This Row],[orig]], Table9[orig]), Table9[char])</f>
        <v>g</v>
      </c>
      <c r="AJ14" t="str" cm="1">
        <f t="array" ref="AJ14">_xlfn.XLOOKUP(TRUE, EXACT(Table2[[#This Row],[orig]], Table4[orig]), Table4[(X)])</f>
        <v>l'</v>
      </c>
      <c r="AK14" s="6" t="str" cm="1">
        <f t="array" ref="AK14">_xlfn.XLOOKUP(TRUE, EXACT(Table2[[#This Row],[X]], Table9[orig]), Table9[char])</f>
        <v>g</v>
      </c>
      <c r="AL14" t="str" cm="1">
        <f t="array" ref="AL14">_xlfn.XLOOKUP(TRUE, EXACT(AJ14, Table4[orig]), Table4[(X)])</f>
        <v>l'</v>
      </c>
      <c r="AM14" s="6" t="str" cm="1">
        <f t="array" ref="AM14">_xlfn.XLOOKUP(TRUE, EXACT(Table2[[#This Row],[X2]], Table9[orig]), Table9[char])</f>
        <v>g</v>
      </c>
      <c r="AN14" t="str" cm="1">
        <f t="array" ref="AN14">_xlfn.XLOOKUP(TRUE, EXACT(AL14, Table4[orig]), Table4[(X)])</f>
        <v>l'</v>
      </c>
      <c r="AO14" s="6" t="str" cm="1">
        <f t="array" ref="AO14">_xlfn.XLOOKUP(TRUE, EXACT(Table2[[#This Row],[X'']], Table9[orig]), Table9[char])</f>
        <v>g</v>
      </c>
      <c r="AP14" t="str" cm="1">
        <f t="array" ref="AP14">_xlfn.XLOOKUP(TRUE, EXACT(AH14, Table1[orig]), Table1[(Y)])</f>
        <v>b'</v>
      </c>
      <c r="AQ14" s="6" t="str" cm="1">
        <f t="array" ref="AQ14">_xlfn.XLOOKUP(TRUE, EXACT(Table2[[#This Row],[Y]], Table9[orig]), Table9[char])</f>
        <v>&amp;</v>
      </c>
      <c r="AR14" t="str" cm="1">
        <f t="array" ref="AR14">_xlfn.XLOOKUP(TRUE, EXACT(AP14, Table1[orig]), Table1[(Y)])</f>
        <v>r'</v>
      </c>
      <c r="AS14" s="6" t="str" cm="1">
        <f t="array" ref="AS14">_xlfn.XLOOKUP(TRUE, EXACT(Table2[[#This Row],[Y2]], Table9[orig]), Table9[char])</f>
        <v>a</v>
      </c>
      <c r="AT14" t="str" cm="1">
        <f t="array" ref="AT14">_xlfn.XLOOKUP(TRUE, EXACT(AR14, Table1[orig]), Table1[(Y)])</f>
        <v>f'</v>
      </c>
      <c r="AU14" s="6" t="str" cm="1">
        <f t="array" ref="AU14">_xlfn.XLOOKUP(TRUE, EXACT(Table2[[#This Row],[Y'']], Table9[orig]), Table9[char])</f>
        <v>q</v>
      </c>
      <c r="AV14" t="str" cm="1">
        <f t="array" ref="AV14">_xlfn.XLOOKUP(TRUE, EXACT(Table2[[#This Row],[orig]], Table3[orig]), Table3[(Z)])</f>
        <v>u'</v>
      </c>
      <c r="AW14" s="6" t="str" cm="1">
        <f t="array" ref="AW14">_xlfn.XLOOKUP(TRUE, EXACT(Table2[[#This Row],[Z]], Table9[orig]), Table9[char])</f>
        <v>-</v>
      </c>
      <c r="AX14" t="str" cm="1">
        <f t="array" ref="AX14">_xlfn.XLOOKUP(TRUE, EXACT(AV14, Table3[orig]), Table3[(Z)])</f>
        <v>r'</v>
      </c>
      <c r="AY14" s="6" t="str" cm="1">
        <f t="array" ref="AY14">_xlfn.XLOOKUP(TRUE, EXACT(Table2[[#This Row],[Z2]], Table9[orig]), Table9[char])</f>
        <v>a</v>
      </c>
      <c r="AZ14" t="str" cm="1">
        <f t="array" ref="AZ14">_xlfn.XLOOKUP(TRUE, EXACT(AX14, Table3[orig]), Table3[(Z)])</f>
        <v>d'</v>
      </c>
      <c r="BA14" s="6" t="str" cm="1">
        <f t="array" ref="BA14">_xlfn.XLOOKUP(TRUE, EXACT(Table2[[#This Row],[Z'']], Table9[orig]), Table9[char])</f>
        <v>k</v>
      </c>
      <c r="BB14" t="str" cm="1">
        <f t="array" ref="BB14">_xlfn.XLOOKUP(TRUE, EXACT(Table2[[#This Row],[orig]], Table5[orig]), Table5[(T-reflection)])</f>
        <v>r</v>
      </c>
      <c r="BC14" s="6" t="str" cm="1">
        <f t="array" ref="BC14">_xlfn.XLOOKUP(TRUE, EXACT(Table2[[#This Row],[T-reflection]], Table9[orig]), Table9[char])</f>
        <v>r</v>
      </c>
      <c r="BD14" t="str" cm="1">
        <f t="array" ref="BD14">_xlfn.XLOOKUP(TRUE, EXACT(Table2[[#This Row],[orig]], Table6[orig]), Table6[(H-reflection)])</f>
        <v>l</v>
      </c>
      <c r="BE14" s="6" t="str" cm="1">
        <f t="array" ref="BE14">_xlfn.XLOOKUP(TRUE, EXACT(Table2[[#This Row],[H-reflection]], Table9[orig]), Table9[char])</f>
        <v>l</v>
      </c>
      <c r="BF14" t="str" cm="1">
        <f t="array" ref="BF14">_xlfn.XLOOKUP(TRUE, EXACT(Table2[[#This Row],[orig]], Table7[orig]), Table7[(S-reflection)])</f>
        <v>l</v>
      </c>
      <c r="BG14" s="6" t="str" cm="1">
        <f t="array" ref="BG14">_xlfn.XLOOKUP(TRUE, EXACT(Table2[[#This Row],[S-reflection]], Table9[orig]), Table9[char])</f>
        <v>l</v>
      </c>
    </row>
    <row r="15" spans="1:120" x14ac:dyDescent="0.2">
      <c r="B15" s="7" t="s">
        <v>19</v>
      </c>
      <c r="C15" s="7" t="s">
        <v>88</v>
      </c>
      <c r="D15" s="1">
        <f>CODE(Table9[[#This Row],[char]])</f>
        <v>71</v>
      </c>
      <c r="E15" t="s">
        <v>21</v>
      </c>
      <c r="F15" t="str" cm="1">
        <f t="array" ref="F15">_xlfn.XLOOKUP(TRUE, EXACT(Table9[[#This Row],[inverse]], Table9[orig]), Table9[char])</f>
        <v>L</v>
      </c>
      <c r="G15">
        <f>CODE(Table9[[#This Row],[inv char]])</f>
        <v>76</v>
      </c>
      <c r="H15" t="s">
        <v>68</v>
      </c>
      <c r="I15" t="str" cm="1">
        <f t="array" ref="I15">_xlfn.XLOOKUP(TRUE, EXACT(Table9[[#This Row],[Complement]], Table9[orig]), Table9[char])</f>
        <v>a</v>
      </c>
      <c r="J15" t="s">
        <v>2</v>
      </c>
      <c r="K15" t="str">
        <f>Table9[[#This Row],[orig]] &amp; " "</f>
        <v xml:space="preserve">L' </v>
      </c>
      <c r="N15" t="s">
        <v>19</v>
      </c>
      <c r="O15" t="s">
        <v>19</v>
      </c>
      <c r="Q15" t="s">
        <v>19</v>
      </c>
      <c r="R15" t="s">
        <v>89</v>
      </c>
      <c r="T15" t="s">
        <v>19</v>
      </c>
      <c r="U15" t="s">
        <v>90</v>
      </c>
      <c r="W15" t="s">
        <v>19</v>
      </c>
      <c r="X15" t="s">
        <v>18</v>
      </c>
      <c r="Z15" t="s">
        <v>19</v>
      </c>
      <c r="AA15" t="s">
        <v>21</v>
      </c>
      <c r="AC15" t="s">
        <v>19</v>
      </c>
      <c r="AD15" t="s">
        <v>21</v>
      </c>
      <c r="AH15" t="str">
        <f t="shared" si="0"/>
        <v>L'</v>
      </c>
      <c r="AI15" s="6" t="str" cm="1">
        <f t="array" ref="AI15">_xlfn.XLOOKUP(TRUE, EXACT(Table2[[#This Row],[orig]], Table9[orig]), Table9[char])</f>
        <v>G</v>
      </c>
      <c r="AJ15" t="str" cm="1">
        <f t="array" ref="AJ15">_xlfn.XLOOKUP(TRUE, EXACT(Table2[[#This Row],[orig]], Table4[orig]), Table4[(X)])</f>
        <v>L'</v>
      </c>
      <c r="AK15" s="6" t="str" cm="1">
        <f t="array" ref="AK15">_xlfn.XLOOKUP(TRUE, EXACT(Table2[[#This Row],[X]], Table9[orig]), Table9[char])</f>
        <v>G</v>
      </c>
      <c r="AL15" t="str" cm="1">
        <f t="array" ref="AL15">_xlfn.XLOOKUP(TRUE, EXACT(AJ15, Table4[orig]), Table4[(X)])</f>
        <v>L'</v>
      </c>
      <c r="AM15" s="6" t="str" cm="1">
        <f t="array" ref="AM15">_xlfn.XLOOKUP(TRUE, EXACT(Table2[[#This Row],[X2]], Table9[orig]), Table9[char])</f>
        <v>G</v>
      </c>
      <c r="AN15" t="str" cm="1">
        <f t="array" ref="AN15">_xlfn.XLOOKUP(TRUE, EXACT(AL15, Table4[orig]), Table4[(X)])</f>
        <v>L'</v>
      </c>
      <c r="AO15" s="6" t="str" cm="1">
        <f t="array" ref="AO15">_xlfn.XLOOKUP(TRUE, EXACT(Table2[[#This Row],[X'']], Table9[orig]), Table9[char])</f>
        <v>G</v>
      </c>
      <c r="AP15" t="str" cm="1">
        <f t="array" ref="AP15">_xlfn.XLOOKUP(TRUE, EXACT(AH15, Table1[orig]), Table1[(Y)])</f>
        <v>B'</v>
      </c>
      <c r="AQ15" s="6" t="str" cm="1">
        <f t="array" ref="AQ15">_xlfn.XLOOKUP(TRUE, EXACT(Table2[[#This Row],[Y]], Table9[orig]), Table9[char])</f>
        <v>@</v>
      </c>
      <c r="AR15" t="str" cm="1">
        <f t="array" ref="AR15">_xlfn.XLOOKUP(TRUE, EXACT(AP15, Table1[orig]), Table1[(Y)])</f>
        <v>R'</v>
      </c>
      <c r="AS15" s="6" t="str" cm="1">
        <f t="array" ref="AS15">_xlfn.XLOOKUP(TRUE, EXACT(Table2[[#This Row],[Y2]], Table9[orig]), Table9[char])</f>
        <v>A</v>
      </c>
      <c r="AT15" t="str" cm="1">
        <f t="array" ref="AT15">_xlfn.XLOOKUP(TRUE, EXACT(AR15, Table1[orig]), Table1[(Y)])</f>
        <v>F'</v>
      </c>
      <c r="AU15" s="6" t="str" cm="1">
        <f t="array" ref="AU15">_xlfn.XLOOKUP(TRUE, EXACT(Table2[[#This Row],[Y'']], Table9[orig]), Table9[char])</f>
        <v>Q</v>
      </c>
      <c r="AV15" t="str" cm="1">
        <f t="array" ref="AV15">_xlfn.XLOOKUP(TRUE, EXACT(Table2[[#This Row],[orig]], Table3[orig]), Table3[(Z)])</f>
        <v>U'</v>
      </c>
      <c r="AW15" s="6" t="str" cm="1">
        <f t="array" ref="AW15">_xlfn.XLOOKUP(TRUE, EXACT(Table2[[#This Row],[Z]], Table9[orig]), Table9[char])</f>
        <v>.</v>
      </c>
      <c r="AX15" t="str" cm="1">
        <f t="array" ref="AX15">_xlfn.XLOOKUP(TRUE, EXACT(AV15, Table3[orig]), Table3[(Z)])</f>
        <v>R'</v>
      </c>
      <c r="AY15" s="6" t="str" cm="1">
        <f t="array" ref="AY15">_xlfn.XLOOKUP(TRUE, EXACT(Table2[[#This Row],[Z2]], Table9[orig]), Table9[char])</f>
        <v>A</v>
      </c>
      <c r="AZ15" t="str" cm="1">
        <f t="array" ref="AZ15">_xlfn.XLOOKUP(TRUE, EXACT(AX15, Table3[orig]), Table3[(Z)])</f>
        <v>D'</v>
      </c>
      <c r="BA15" s="6" t="str" cm="1">
        <f t="array" ref="BA15">_xlfn.XLOOKUP(TRUE, EXACT(Table2[[#This Row],[Z'']], Table9[orig]), Table9[char])</f>
        <v>%</v>
      </c>
      <c r="BB15" t="str" cm="1">
        <f t="array" ref="BB15">_xlfn.XLOOKUP(TRUE, EXACT(Table2[[#This Row],[orig]], Table5[orig]), Table5[(T-reflection)])</f>
        <v>R</v>
      </c>
      <c r="BC15" s="6" t="str" cm="1">
        <f t="array" ref="BC15">_xlfn.XLOOKUP(TRUE, EXACT(Table2[[#This Row],[T-reflection]], Table9[orig]), Table9[char])</f>
        <v>R</v>
      </c>
      <c r="BD15" t="str" cm="1">
        <f t="array" ref="BD15">_xlfn.XLOOKUP(TRUE, EXACT(Table2[[#This Row],[orig]], Table6[orig]), Table6[(H-reflection)])</f>
        <v>L</v>
      </c>
      <c r="BE15" s="6" t="str" cm="1">
        <f t="array" ref="BE15">_xlfn.XLOOKUP(TRUE, EXACT(Table2[[#This Row],[H-reflection]], Table9[orig]), Table9[char])</f>
        <v>L</v>
      </c>
      <c r="BF15" t="str" cm="1">
        <f t="array" ref="BF15">_xlfn.XLOOKUP(TRUE, EXACT(Table2[[#This Row],[orig]], Table7[orig]), Table7[(S-reflection)])</f>
        <v>L</v>
      </c>
      <c r="BG15" s="6" t="str" cm="1">
        <f t="array" ref="BG15">_xlfn.XLOOKUP(TRUE, EXACT(Table2[[#This Row],[S-reflection]], Table9[orig]), Table9[char])</f>
        <v>L</v>
      </c>
    </row>
    <row r="16" spans="1:120" s="3" customFormat="1" x14ac:dyDescent="0.2">
      <c r="A16"/>
      <c r="B16" s="3" t="s">
        <v>3</v>
      </c>
      <c r="C16" s="3" t="s">
        <v>91</v>
      </c>
      <c r="D16" s="11">
        <f>CODE(Table9[[#This Row],[char]])</f>
        <v>33</v>
      </c>
      <c r="E16" s="3" t="s">
        <v>2</v>
      </c>
      <c r="F16" s="3" t="str" cm="1">
        <f t="array" ref="F16">_xlfn.XLOOKUP(TRUE, EXACT(Table9[[#This Row],[inverse]], Table9[orig]), Table9[char])</f>
        <v>X</v>
      </c>
      <c r="G16" s="3">
        <f>CODE(Table9[[#This Row],[inv char]])</f>
        <v>88</v>
      </c>
      <c r="H16" s="3">
        <v>0</v>
      </c>
      <c r="I16" s="3">
        <v>0</v>
      </c>
      <c r="J16" s="3" t="s">
        <v>3</v>
      </c>
      <c r="K16" t="str">
        <f>Table9[[#This Row],[orig]] &amp; " "</f>
        <v xml:space="preserve">X' </v>
      </c>
      <c r="L16"/>
      <c r="N16" s="3" t="s">
        <v>3</v>
      </c>
      <c r="O16" s="3" t="s">
        <v>3</v>
      </c>
      <c r="P16"/>
      <c r="Q16" s="3" t="s">
        <v>3</v>
      </c>
      <c r="R16" s="3" t="s">
        <v>9</v>
      </c>
      <c r="S16"/>
      <c r="T16" s="3" t="s">
        <v>3</v>
      </c>
      <c r="U16" s="3" t="s">
        <v>5</v>
      </c>
      <c r="V16"/>
      <c r="W16" s="3" t="s">
        <v>3</v>
      </c>
      <c r="X16" s="3" t="s">
        <v>3</v>
      </c>
      <c r="Y16"/>
      <c r="Z16" s="3" t="s">
        <v>3</v>
      </c>
      <c r="AA16" s="3" t="s">
        <v>2</v>
      </c>
      <c r="AB16"/>
      <c r="AC16" s="3" t="s">
        <v>3</v>
      </c>
      <c r="AD16" s="3" t="s">
        <v>2</v>
      </c>
      <c r="AE16"/>
      <c r="AF16"/>
      <c r="AG16"/>
      <c r="AH16" s="3" t="str">
        <f t="shared" si="0"/>
        <v>X'</v>
      </c>
      <c r="AI16" s="9" t="str" cm="1">
        <f t="array" ref="AI16">_xlfn.XLOOKUP(TRUE, EXACT(Table2[[#This Row],[orig]], Table9[orig]), Table9[char])</f>
        <v>!</v>
      </c>
      <c r="AJ16" s="3" t="str" cm="1">
        <f t="array" ref="AJ16">_xlfn.XLOOKUP(TRUE, EXACT(Table2[[#This Row],[orig]], Table4[orig]), Table4[(X)])</f>
        <v>X'</v>
      </c>
      <c r="AK16" s="9" t="str" cm="1">
        <f t="array" ref="AK16">_xlfn.XLOOKUP(TRUE, EXACT(Table2[[#This Row],[X]], Table9[orig]), Table9[char])</f>
        <v>!</v>
      </c>
      <c r="AL16" s="3" t="str" cm="1">
        <f t="array" ref="AL16">_xlfn.XLOOKUP(TRUE, EXACT(AJ16, Table4[orig]), Table4[(X)])</f>
        <v>X'</v>
      </c>
      <c r="AM16" s="9" t="str" cm="1">
        <f t="array" ref="AM16">_xlfn.XLOOKUP(TRUE, EXACT(Table2[[#This Row],[X2]], Table9[orig]), Table9[char])</f>
        <v>!</v>
      </c>
      <c r="AN16" s="3" t="str" cm="1">
        <f t="array" ref="AN16">_xlfn.XLOOKUP(TRUE, EXACT(AL16, Table4[orig]), Table4[(X)])</f>
        <v>X'</v>
      </c>
      <c r="AO16" s="9" t="str" cm="1">
        <f t="array" ref="AO16">_xlfn.XLOOKUP(TRUE, EXACT(Table2[[#This Row],[X'']], Table9[orig]), Table9[char])</f>
        <v>!</v>
      </c>
      <c r="AP16" s="3" t="str" cm="1">
        <f t="array" ref="AP16">_xlfn.XLOOKUP(TRUE, EXACT(AH16, Table1[orig]), Table1[(Y)])</f>
        <v>Z'</v>
      </c>
      <c r="AQ16" s="9" t="str" cm="1">
        <f t="array" ref="AQ16">_xlfn.XLOOKUP(TRUE, EXACT(Table2[[#This Row],[Y]], Table9[orig]), Table9[char])</f>
        <v>#</v>
      </c>
      <c r="AR16" s="3" t="str" cm="1">
        <f t="array" ref="AR16">_xlfn.XLOOKUP(TRUE, EXACT(AP16, Table1[orig]), Table1[(Y)])</f>
        <v>X</v>
      </c>
      <c r="AS16" s="9" t="str" cm="1">
        <f t="array" ref="AS16">_xlfn.XLOOKUP(TRUE, EXACT(Table2[[#This Row],[Y2]], Table9[orig]), Table9[char])</f>
        <v>X</v>
      </c>
      <c r="AT16" s="3" t="str" cm="1">
        <f t="array" ref="AT16">_xlfn.XLOOKUP(TRUE, EXACT(AR16, Table1[orig]), Table1[(Y)])</f>
        <v>Z</v>
      </c>
      <c r="AU16" s="9" t="str" cm="1">
        <f t="array" ref="AU16">_xlfn.XLOOKUP(TRUE, EXACT(Table2[[#This Row],[Y'']], Table9[orig]), Table9[char])</f>
        <v>Z</v>
      </c>
      <c r="AV16" s="3" t="str" cm="1">
        <f t="array" ref="AV16">_xlfn.XLOOKUP(TRUE, EXACT(Table2[[#This Row],[orig]], Table3[orig]), Table3[(Z)])</f>
        <v>Y</v>
      </c>
      <c r="AW16" s="9" t="str" cm="1">
        <f t="array" ref="AW16">_xlfn.XLOOKUP(TRUE, EXACT(Table2[[#This Row],[Z]], Table9[orig]), Table9[char])</f>
        <v>Y</v>
      </c>
      <c r="AX16" s="3" t="str" cm="1">
        <f t="array" ref="AX16">_xlfn.XLOOKUP(TRUE, EXACT(AV16, Table3[orig]), Table3[(Z)])</f>
        <v>X</v>
      </c>
      <c r="AY16" s="9" t="str" cm="1">
        <f t="array" ref="AY16">_xlfn.XLOOKUP(TRUE, EXACT(Table2[[#This Row],[Z2]], Table9[orig]), Table9[char])</f>
        <v>X</v>
      </c>
      <c r="AZ16" s="3" t="str" cm="1">
        <f t="array" ref="AZ16">_xlfn.XLOOKUP(TRUE, EXACT(AX16, Table3[orig]), Table3[(Z)])</f>
        <v>Y'</v>
      </c>
      <c r="BA16" s="9" t="str" cm="1">
        <f t="array" ref="BA16">_xlfn.XLOOKUP(TRUE, EXACT(Table2[[#This Row],[Z'']], Table9[orig]), Table9[char])</f>
        <v>p</v>
      </c>
      <c r="BB16" s="3" t="str" cm="1">
        <f t="array" ref="BB16">_xlfn.XLOOKUP(TRUE, EXACT(Table2[[#This Row],[orig]], Table5[orig]), Table5[(T-reflection)])</f>
        <v>X'</v>
      </c>
      <c r="BC16" s="9" t="str" cm="1">
        <f t="array" ref="BC16">_xlfn.XLOOKUP(TRUE, EXACT(Table2[[#This Row],[T-reflection]], Table9[orig]), Table9[char])</f>
        <v>!</v>
      </c>
      <c r="BD16" s="3" t="str" cm="1">
        <f t="array" ref="BD16">_xlfn.XLOOKUP(TRUE, EXACT(Table2[[#This Row],[orig]], Table6[orig]), Table6[(H-reflection)])</f>
        <v>X</v>
      </c>
      <c r="BE16" s="9" t="str" cm="1">
        <f t="array" ref="BE16">_xlfn.XLOOKUP(TRUE, EXACT(Table2[[#This Row],[H-reflection]], Table9[orig]), Table9[char])</f>
        <v>X</v>
      </c>
      <c r="BF16" s="3" t="str" cm="1">
        <f t="array" ref="BF16">_xlfn.XLOOKUP(TRUE, EXACT(Table2[[#This Row],[orig]], Table7[orig]), Table7[(S-reflection)])</f>
        <v>X</v>
      </c>
      <c r="BG16" s="6" t="str" cm="1">
        <f t="array" ref="BG16">_xlfn.XLOOKUP(TRUE, EXACT(Table2[[#This Row],[S-reflection]], Table9[orig]), Table9[char])</f>
        <v>X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18" x14ac:dyDescent="0.2">
      <c r="B17" s="7" t="s">
        <v>22</v>
      </c>
      <c r="C17" s="7" t="s">
        <v>92</v>
      </c>
      <c r="D17" s="1">
        <f>CODE(Table9[[#This Row],[char]])</f>
        <v>74</v>
      </c>
      <c r="E17" t="s">
        <v>22</v>
      </c>
      <c r="F17" t="str" cm="1">
        <f t="array" ref="F17">_xlfn.XLOOKUP(TRUE, EXACT(Table9[[#This Row],[inverse]], Table9[orig]), Table9[char])</f>
        <v>J</v>
      </c>
      <c r="G17">
        <f>CODE(Table9[[#This Row],[inv char]])</f>
        <v>74</v>
      </c>
      <c r="H17" t="s">
        <v>93</v>
      </c>
      <c r="I17" t="str" cm="1">
        <f t="array" ref="I17">_xlfn.XLOOKUP(TRUE, EXACT(Table9[[#This Row],[Complement]], Table9[orig]), Table9[char])</f>
        <v>n</v>
      </c>
      <c r="J17" t="s">
        <v>4</v>
      </c>
      <c r="K17" t="str">
        <f>Table9[[#This Row],[orig]] &amp; " "</f>
        <v xml:space="preserve">R2 </v>
      </c>
      <c r="N17" t="s">
        <v>22</v>
      </c>
      <c r="O17" t="s">
        <v>22</v>
      </c>
      <c r="Q17" t="s">
        <v>22</v>
      </c>
      <c r="R17" t="s">
        <v>94</v>
      </c>
      <c r="T17" t="s">
        <v>22</v>
      </c>
      <c r="U17" t="s">
        <v>95</v>
      </c>
      <c r="W17" t="s">
        <v>22</v>
      </c>
      <c r="X17" t="s">
        <v>23</v>
      </c>
      <c r="Z17" t="s">
        <v>22</v>
      </c>
      <c r="AA17" t="s">
        <v>22</v>
      </c>
      <c r="AC17" t="s">
        <v>22</v>
      </c>
      <c r="AD17" t="s">
        <v>22</v>
      </c>
      <c r="AH17" t="str">
        <f t="shared" si="0"/>
        <v>R2</v>
      </c>
      <c r="AI17" s="6" t="str" cm="1">
        <f t="array" ref="AI17">_xlfn.XLOOKUP(TRUE, EXACT(Table2[[#This Row],[orig]], Table9[orig]), Table9[char])</f>
        <v>J</v>
      </c>
      <c r="AJ17" t="str" cm="1">
        <f t="array" ref="AJ17">_xlfn.XLOOKUP(TRUE, EXACT(Table2[[#This Row],[orig]], Table4[orig]), Table4[(X)])</f>
        <v>R2</v>
      </c>
      <c r="AK17" s="6" t="str" cm="1">
        <f t="array" ref="AK17">_xlfn.XLOOKUP(TRUE, EXACT(Table2[[#This Row],[X]], Table9[orig]), Table9[char])</f>
        <v>J</v>
      </c>
      <c r="AL17" t="str" cm="1">
        <f t="array" ref="AL17">_xlfn.XLOOKUP(TRUE, EXACT(AJ17, Table4[orig]), Table4[(X)])</f>
        <v>R2</v>
      </c>
      <c r="AM17" s="6" t="str" cm="1">
        <f t="array" ref="AM17">_xlfn.XLOOKUP(TRUE, EXACT(Table2[[#This Row],[X2]], Table9[orig]), Table9[char])</f>
        <v>J</v>
      </c>
      <c r="AN17" t="str" cm="1">
        <f t="array" ref="AN17">_xlfn.XLOOKUP(TRUE, EXACT(AL17, Table4[orig]), Table4[(X)])</f>
        <v>R2</v>
      </c>
      <c r="AO17" s="6" t="str" cm="1">
        <f t="array" ref="AO17">_xlfn.XLOOKUP(TRUE, EXACT(Table2[[#This Row],[X'']], Table9[orig]), Table9[char])</f>
        <v>J</v>
      </c>
      <c r="AP17" t="str" cm="1">
        <f t="array" ref="AP17">_xlfn.XLOOKUP(TRUE, EXACT(AH17, Table1[orig]), Table1[(Y)])</f>
        <v>F2</v>
      </c>
      <c r="AQ17" s="6" t="str" cm="1">
        <f t="array" ref="AQ17">_xlfn.XLOOKUP(TRUE, EXACT(Table2[[#This Row],[Y]], Table9[orig]), Table9[char])</f>
        <v>$</v>
      </c>
      <c r="AR17" t="str" cm="1">
        <f t="array" ref="AR17">_xlfn.XLOOKUP(TRUE, EXACT(AP17, Table1[orig]), Table1[(Y)])</f>
        <v>L2</v>
      </c>
      <c r="AS17" s="6" t="str" cm="1">
        <f t="array" ref="AS17">_xlfn.XLOOKUP(TRUE, EXACT(Table2[[#This Row],[Y2]], Table9[orig]), Table9[char])</f>
        <v>N</v>
      </c>
      <c r="AT17" t="str" cm="1">
        <f t="array" ref="AT17">_xlfn.XLOOKUP(TRUE, EXACT(AR17, Table1[orig]), Table1[(Y)])</f>
        <v>B2</v>
      </c>
      <c r="AU17" s="6" t="str" cm="1">
        <f t="array" ref="AU17">_xlfn.XLOOKUP(TRUE, EXACT(Table2[[#This Row],[Y'']], Table9[orig]), Table9[char])</f>
        <v>`</v>
      </c>
      <c r="AV17" t="str" cm="1">
        <f t="array" ref="AV17">_xlfn.XLOOKUP(TRUE, EXACT(Table2[[#This Row],[orig]], Table3[orig]), Table3[(Z)])</f>
        <v>D2</v>
      </c>
      <c r="AW17" s="6" t="str" cm="1">
        <f t="array" ref="AW17">_xlfn.XLOOKUP(TRUE, EXACT(Table2[[#This Row],[Z]], Table9[orig]), Table9[char])</f>
        <v>c</v>
      </c>
      <c r="AX17" t="str" cm="1">
        <f t="array" ref="AX17">_xlfn.XLOOKUP(TRUE, EXACT(AV17, Table3[orig]), Table3[(Z)])</f>
        <v>L2</v>
      </c>
      <c r="AY17" s="6" t="str" cm="1">
        <f t="array" ref="AY17">_xlfn.XLOOKUP(TRUE, EXACT(Table2[[#This Row],[Z2]], Table9[orig]), Table9[char])</f>
        <v>N</v>
      </c>
      <c r="AZ17" t="str" cm="1">
        <f t="array" ref="AZ17">_xlfn.XLOOKUP(TRUE, EXACT(AX17, Table3[orig]), Table3[(Z)])</f>
        <v>U2</v>
      </c>
      <c r="BA17" s="6" t="str" cm="1">
        <f t="array" ref="BA17">_xlfn.XLOOKUP(TRUE, EXACT(Table2[[#This Row],[Z'']], Table9[orig]), Table9[char])</f>
        <v>\</v>
      </c>
      <c r="BB17" t="str" cm="1">
        <f t="array" ref="BB17">_xlfn.XLOOKUP(TRUE, EXACT(Table2[[#This Row],[orig]], Table5[orig]), Table5[(T-reflection)])</f>
        <v>L2</v>
      </c>
      <c r="BC17" s="6" t="str" cm="1">
        <f t="array" ref="BC17">_xlfn.XLOOKUP(TRUE, EXACT(Table2[[#This Row],[T-reflection]], Table9[orig]), Table9[char])</f>
        <v>N</v>
      </c>
      <c r="BD17" t="str" cm="1">
        <f t="array" ref="BD17">_xlfn.XLOOKUP(TRUE, EXACT(Table2[[#This Row],[orig]], Table6[orig]), Table6[(H-reflection)])</f>
        <v>R2</v>
      </c>
      <c r="BE17" s="6" t="str" cm="1">
        <f t="array" ref="BE17">_xlfn.XLOOKUP(TRUE, EXACT(Table2[[#This Row],[H-reflection]], Table9[orig]), Table9[char])</f>
        <v>J</v>
      </c>
      <c r="BF17" t="str" cm="1">
        <f t="array" ref="BF17">_xlfn.XLOOKUP(TRUE, EXACT(Table2[[#This Row],[orig]], Table7[orig]), Table7[(S-reflection)])</f>
        <v>R2</v>
      </c>
      <c r="BG17" s="6" t="str" cm="1">
        <f t="array" ref="BG17">_xlfn.XLOOKUP(TRUE, EXACT(Table2[[#This Row],[S-reflection]], Table9[orig]), Table9[char])</f>
        <v>J</v>
      </c>
    </row>
    <row r="18" spans="1:118" x14ac:dyDescent="0.2">
      <c r="B18" t="s">
        <v>96</v>
      </c>
      <c r="C18" t="s">
        <v>97</v>
      </c>
      <c r="D18" s="1">
        <f>CODE(Table9[[#This Row],[char]])</f>
        <v>106</v>
      </c>
      <c r="E18" t="s">
        <v>96</v>
      </c>
      <c r="F18" t="str" cm="1">
        <f t="array" ref="F18">_xlfn.XLOOKUP(TRUE, EXACT(Table9[[#This Row],[inverse]], Table9[orig]), Table9[char])</f>
        <v>j</v>
      </c>
      <c r="G18">
        <f>CODE(Table9[[#This Row],[inv char]])</f>
        <v>106</v>
      </c>
      <c r="H18" t="s">
        <v>23</v>
      </c>
      <c r="I18" t="str" cm="1">
        <f t="array" ref="I18">_xlfn.XLOOKUP(TRUE, EXACT(Table9[[#This Row],[Complement]], Table9[orig]), Table9[char])</f>
        <v>N</v>
      </c>
      <c r="J18" t="s">
        <v>4</v>
      </c>
      <c r="K18" t="str">
        <f>Table9[[#This Row],[orig]] &amp; " "</f>
        <v xml:space="preserve">r2 </v>
      </c>
      <c r="N18" t="s">
        <v>96</v>
      </c>
      <c r="O18" t="s">
        <v>96</v>
      </c>
      <c r="Q18" t="s">
        <v>96</v>
      </c>
      <c r="R18" t="s">
        <v>98</v>
      </c>
      <c r="T18" t="s">
        <v>96</v>
      </c>
      <c r="U18" t="s">
        <v>99</v>
      </c>
      <c r="W18" t="s">
        <v>96</v>
      </c>
      <c r="X18" t="s">
        <v>93</v>
      </c>
      <c r="Z18" t="s">
        <v>96</v>
      </c>
      <c r="AA18" t="s">
        <v>96</v>
      </c>
      <c r="AC18" t="s">
        <v>96</v>
      </c>
      <c r="AD18" t="s">
        <v>96</v>
      </c>
      <c r="AH18" t="str">
        <f t="shared" si="0"/>
        <v>r2</v>
      </c>
      <c r="AI18" s="6" t="str" cm="1">
        <f t="array" ref="AI18">_xlfn.XLOOKUP(TRUE, EXACT(Table2[[#This Row],[orig]], Table9[orig]), Table9[char])</f>
        <v>j</v>
      </c>
      <c r="AJ18" t="str" cm="1">
        <f t="array" ref="AJ18">_xlfn.XLOOKUP(TRUE, EXACT(Table2[[#This Row],[orig]], Table4[orig]), Table4[(X)])</f>
        <v>r2</v>
      </c>
      <c r="AK18" s="6" t="str" cm="1">
        <f t="array" ref="AK18">_xlfn.XLOOKUP(TRUE, EXACT(Table2[[#This Row],[X]], Table9[orig]), Table9[char])</f>
        <v>j</v>
      </c>
      <c r="AL18" t="str" cm="1">
        <f t="array" ref="AL18">_xlfn.XLOOKUP(TRUE, EXACT(AJ18, Table4[orig]), Table4[(X)])</f>
        <v>r2</v>
      </c>
      <c r="AM18" s="6" t="str" cm="1">
        <f t="array" ref="AM18">_xlfn.XLOOKUP(TRUE, EXACT(Table2[[#This Row],[X2]], Table9[orig]), Table9[char])</f>
        <v>j</v>
      </c>
      <c r="AN18" t="str" cm="1">
        <f t="array" ref="AN18">_xlfn.XLOOKUP(TRUE, EXACT(AL18, Table4[orig]), Table4[(X)])</f>
        <v>r2</v>
      </c>
      <c r="AO18" s="6" t="str" cm="1">
        <f t="array" ref="AO18">_xlfn.XLOOKUP(TRUE, EXACT(Table2[[#This Row],[X'']], Table9[orig]), Table9[char])</f>
        <v>j</v>
      </c>
      <c r="AP18" t="str" cm="1">
        <f t="array" ref="AP18">_xlfn.XLOOKUP(TRUE, EXACT(AH18, Table1[orig]), Table1[(Y)])</f>
        <v>f2</v>
      </c>
      <c r="AQ18" s="6" t="str" cm="1">
        <f t="array" ref="AQ18">_xlfn.XLOOKUP(TRUE, EXACT(Table2[[#This Row],[Y]], Table9[orig]), Table9[char])</f>
        <v>?</v>
      </c>
      <c r="AR18" t="str" cm="1">
        <f t="array" ref="AR18">_xlfn.XLOOKUP(TRUE, EXACT(AP18, Table1[orig]), Table1[(Y)])</f>
        <v>l2</v>
      </c>
      <c r="AS18" s="6" t="str" cm="1">
        <f t="array" ref="AS18">_xlfn.XLOOKUP(TRUE, EXACT(Table2[[#This Row],[Y2]], Table9[orig]), Table9[char])</f>
        <v>n</v>
      </c>
      <c r="AT18" t="str" cm="1">
        <f t="array" ref="AT18">_xlfn.XLOOKUP(TRUE, EXACT(AR18, Table1[orig]), Table1[(Y)])</f>
        <v>b2</v>
      </c>
      <c r="AU18" s="6" t="str" cm="1">
        <f t="array" ref="AU18">_xlfn.XLOOKUP(TRUE, EXACT(Table2[[#This Row],[Y'']], Table9[orig]), Table9[char])</f>
        <v>~</v>
      </c>
      <c r="AV18" t="str" cm="1">
        <f t="array" ref="AV18">_xlfn.XLOOKUP(TRUE, EXACT(Table2[[#This Row],[orig]], Table3[orig]), Table3[(Z)])</f>
        <v>d2</v>
      </c>
      <c r="AW18" s="6" t="str" cm="1">
        <f t="array" ref="AW18">_xlfn.XLOOKUP(TRUE, EXACT(Table2[[#This Row],[Z]], Table9[orig]), Table9[char])</f>
        <v>_</v>
      </c>
      <c r="AX18" t="str" cm="1">
        <f t="array" ref="AX18">_xlfn.XLOOKUP(TRUE, EXACT(AV18, Table3[orig]), Table3[(Z)])</f>
        <v>l2</v>
      </c>
      <c r="AY18" s="6" t="str" cm="1">
        <f t="array" ref="AY18">_xlfn.XLOOKUP(TRUE, EXACT(Table2[[#This Row],[Z2]], Table9[orig]), Table9[char])</f>
        <v>n</v>
      </c>
      <c r="AZ18" t="str" cm="1">
        <f t="array" ref="AZ18">_xlfn.XLOOKUP(TRUE, EXACT(AX18, Table3[orig]), Table3[(Z)])</f>
        <v>u2</v>
      </c>
      <c r="BA18" s="6" t="str" cm="1">
        <f t="array" ref="BA18">_xlfn.XLOOKUP(TRUE, EXACT(Table2[[#This Row],[Z'']], Table9[orig]), Table9[char])</f>
        <v>v</v>
      </c>
      <c r="BB18" t="str" cm="1">
        <f t="array" ref="BB18">_xlfn.XLOOKUP(TRUE, EXACT(Table2[[#This Row],[orig]], Table5[orig]), Table5[(T-reflection)])</f>
        <v>l2</v>
      </c>
      <c r="BC18" s="6" t="str" cm="1">
        <f t="array" ref="BC18">_xlfn.XLOOKUP(TRUE, EXACT(Table2[[#This Row],[T-reflection]], Table9[orig]), Table9[char])</f>
        <v>n</v>
      </c>
      <c r="BD18" t="str" cm="1">
        <f t="array" ref="BD18">_xlfn.XLOOKUP(TRUE, EXACT(Table2[[#This Row],[orig]], Table6[orig]), Table6[(H-reflection)])</f>
        <v>r2</v>
      </c>
      <c r="BE18" s="6" t="str" cm="1">
        <f t="array" ref="BE18">_xlfn.XLOOKUP(TRUE, EXACT(Table2[[#This Row],[H-reflection]], Table9[orig]), Table9[char])</f>
        <v>j</v>
      </c>
      <c r="BF18" t="str" cm="1">
        <f t="array" ref="BF18">_xlfn.XLOOKUP(TRUE, EXACT(Table2[[#This Row],[orig]], Table7[orig]), Table7[(S-reflection)])</f>
        <v>r2</v>
      </c>
      <c r="BG18" s="6" t="str" cm="1">
        <f t="array" ref="BG18">_xlfn.XLOOKUP(TRUE, EXACT(Table2[[#This Row],[S-reflection]], Table9[orig]), Table9[char])</f>
        <v>j</v>
      </c>
    </row>
    <row r="19" spans="1:118" x14ac:dyDescent="0.2">
      <c r="B19" s="7" t="s">
        <v>100</v>
      </c>
      <c r="C19" s="7" t="s">
        <v>101</v>
      </c>
      <c r="D19" s="1">
        <f>CODE(Table9[[#This Row],[char]])</f>
        <v>75</v>
      </c>
      <c r="E19" t="s">
        <v>100</v>
      </c>
      <c r="F19" t="str" cm="1">
        <f t="array" ref="F19">_xlfn.XLOOKUP(TRUE, EXACT(Table9[[#This Row],[inverse]], Table9[orig]), Table9[char])</f>
        <v>K</v>
      </c>
      <c r="G19">
        <f>CODE(Table9[[#This Row],[inv char]])</f>
        <v>75</v>
      </c>
      <c r="H19" t="s">
        <v>102</v>
      </c>
      <c r="I19" t="str" cm="1">
        <f t="array" ref="I19">_xlfn.CONCAT(_xlfn.XLOOKUP(TRUE, EXACT(B17, Table9[orig]), Table9[char]), _xlfn.XLOOKUP(TRUE, EXACT(B21, Table9[orig]), Table9[char]))</f>
        <v>JN</v>
      </c>
      <c r="J19" t="s">
        <v>4</v>
      </c>
      <c r="K19" t="str">
        <f>Table9[[#This Row],[orig]] &amp; " "</f>
        <v xml:space="preserve">T2 </v>
      </c>
      <c r="N19" t="s">
        <v>100</v>
      </c>
      <c r="O19" t="s">
        <v>100</v>
      </c>
      <c r="Q19" t="s">
        <v>100</v>
      </c>
      <c r="R19" t="s">
        <v>103</v>
      </c>
      <c r="T19" t="s">
        <v>100</v>
      </c>
      <c r="U19" t="s">
        <v>104</v>
      </c>
      <c r="W19" t="s">
        <v>100</v>
      </c>
      <c r="X19" t="s">
        <v>100</v>
      </c>
      <c r="Z19" t="s">
        <v>100</v>
      </c>
      <c r="AA19" t="s">
        <v>100</v>
      </c>
      <c r="AC19" t="s">
        <v>100</v>
      </c>
      <c r="AD19" t="s">
        <v>100</v>
      </c>
      <c r="AH19" t="str">
        <f t="shared" si="0"/>
        <v>T2</v>
      </c>
      <c r="AI19" s="6" t="str" cm="1">
        <f t="array" ref="AI19">_xlfn.XLOOKUP(TRUE, EXACT(Table2[[#This Row],[orig]], Table9[orig]), Table9[char])</f>
        <v>K</v>
      </c>
      <c r="AJ19" t="str" cm="1">
        <f t="array" ref="AJ19">_xlfn.XLOOKUP(TRUE, EXACT(Table2[[#This Row],[orig]], Table4[orig]), Table4[(X)])</f>
        <v>T2</v>
      </c>
      <c r="AK19" s="6" t="str" cm="1">
        <f t="array" ref="AK19">_xlfn.XLOOKUP(TRUE, EXACT(Table2[[#This Row],[X]], Table9[orig]), Table9[char])</f>
        <v>K</v>
      </c>
      <c r="AL19" t="str" cm="1">
        <f t="array" ref="AL19">_xlfn.XLOOKUP(TRUE, EXACT(AJ19, Table4[orig]), Table4[(X)])</f>
        <v>T2</v>
      </c>
      <c r="AM19" s="6" t="str" cm="1">
        <f t="array" ref="AM19">_xlfn.XLOOKUP(TRUE, EXACT(Table2[[#This Row],[X2]], Table9[orig]), Table9[char])</f>
        <v>K</v>
      </c>
      <c r="AN19" t="str" cm="1">
        <f t="array" ref="AN19">_xlfn.XLOOKUP(TRUE, EXACT(AL19, Table4[orig]), Table4[(X)])</f>
        <v>T2</v>
      </c>
      <c r="AO19" s="6" t="str" cm="1">
        <f t="array" ref="AO19">_xlfn.XLOOKUP(TRUE, EXACT(Table2[[#This Row],[X'']], Table9[orig]), Table9[char])</f>
        <v>K</v>
      </c>
      <c r="AP19" t="str" cm="1">
        <f t="array" ref="AP19">_xlfn.XLOOKUP(TRUE, EXACT(AH19, Table1[orig]), Table1[(Y)])</f>
        <v>S2</v>
      </c>
      <c r="AQ19" s="6" t="str" cm="1">
        <f t="array" ref="AQ19">_xlfn.XLOOKUP(TRUE, EXACT(Table2[[#This Row],[Y]], Table9[orig]), Table9[char])</f>
        <v>^</v>
      </c>
      <c r="AR19" t="str" cm="1">
        <f t="array" ref="AR19">_xlfn.XLOOKUP(TRUE, EXACT(AP19, Table1[orig]), Table1[(Y)])</f>
        <v>T2</v>
      </c>
      <c r="AS19" s="6" t="str" cm="1">
        <f t="array" ref="AS19">_xlfn.XLOOKUP(TRUE, EXACT(Table2[[#This Row],[Y2]], Table9[orig]), Table9[char])</f>
        <v>K</v>
      </c>
      <c r="AT19" t="str" cm="1">
        <f t="array" ref="AT19">_xlfn.XLOOKUP(TRUE, EXACT(AR19, Table1[orig]), Table1[(Y)])</f>
        <v>S2</v>
      </c>
      <c r="AU19" s="6" t="str" cm="1">
        <f t="array" ref="AU19">_xlfn.XLOOKUP(TRUE, EXACT(Table2[[#This Row],[Y'']], Table9[orig]), Table9[char])</f>
        <v>^</v>
      </c>
      <c r="AV19" t="str" cm="1">
        <f t="array" ref="AV19">_xlfn.XLOOKUP(TRUE, EXACT(Table2[[#This Row],[orig]], Table3[orig]), Table3[(Z)])</f>
        <v>H2</v>
      </c>
      <c r="AW19" s="6" t="str" cm="1">
        <f t="array" ref="AW19">_xlfn.XLOOKUP(TRUE, EXACT(Table2[[#This Row],[Z]], Table9[orig]), Table9[char])</f>
        <v>/</v>
      </c>
      <c r="AX19" t="str" cm="1">
        <f t="array" ref="AX19">_xlfn.XLOOKUP(TRUE, EXACT(AV19, Table3[orig]), Table3[(Z)])</f>
        <v>T2</v>
      </c>
      <c r="AY19" s="6" t="str" cm="1">
        <f t="array" ref="AY19">_xlfn.XLOOKUP(TRUE, EXACT(Table2[[#This Row],[Z2]], Table9[orig]), Table9[char])</f>
        <v>K</v>
      </c>
      <c r="AZ19" t="str" cm="1">
        <f t="array" ref="AZ19">_xlfn.XLOOKUP(TRUE, EXACT(AX19, Table3[orig]), Table3[(Z)])</f>
        <v>H2</v>
      </c>
      <c r="BA19" s="6" t="str" cm="1">
        <f t="array" ref="BA19">_xlfn.XLOOKUP(TRUE, EXACT(Table2[[#This Row],[Z'']], Table9[orig]), Table9[char])</f>
        <v>/</v>
      </c>
      <c r="BB19" t="str" cm="1">
        <f t="array" ref="BB19">_xlfn.XLOOKUP(TRUE, EXACT(Table2[[#This Row],[orig]], Table5[orig]), Table5[(T-reflection)])</f>
        <v>T2</v>
      </c>
      <c r="BC19" s="6" t="str" cm="1">
        <f t="array" ref="BC19">_xlfn.XLOOKUP(TRUE, EXACT(Table2[[#This Row],[T-reflection]], Table9[orig]), Table9[char])</f>
        <v>K</v>
      </c>
      <c r="BD19" t="str" cm="1">
        <f t="array" ref="BD19">_xlfn.XLOOKUP(TRUE, EXACT(Table2[[#This Row],[orig]], Table6[orig]), Table6[(H-reflection)])</f>
        <v>T2</v>
      </c>
      <c r="BE19" s="6" t="str" cm="1">
        <f t="array" ref="BE19">_xlfn.XLOOKUP(TRUE, EXACT(Table2[[#This Row],[H-reflection]], Table9[orig]), Table9[char])</f>
        <v>K</v>
      </c>
      <c r="BF19" t="str" cm="1">
        <f t="array" ref="BF19">_xlfn.XLOOKUP(TRUE, EXACT(Table2[[#This Row],[orig]], Table7[orig]), Table7[(S-reflection)])</f>
        <v>T2</v>
      </c>
      <c r="BG19" s="6" t="str" cm="1">
        <f t="array" ref="BG19">_xlfn.XLOOKUP(TRUE, EXACT(Table2[[#This Row],[S-reflection]], Table9[orig]), Table9[char])</f>
        <v>K</v>
      </c>
    </row>
    <row r="20" spans="1:118" x14ac:dyDescent="0.2">
      <c r="B20" t="s">
        <v>93</v>
      </c>
      <c r="C20" t="s">
        <v>105</v>
      </c>
      <c r="D20" s="1">
        <f>CODE(Table9[[#This Row],[char]])</f>
        <v>110</v>
      </c>
      <c r="E20" t="s">
        <v>93</v>
      </c>
      <c r="F20" t="str" cm="1">
        <f t="array" ref="F20">_xlfn.XLOOKUP(TRUE, EXACT(Table9[[#This Row],[inverse]], Table9[orig]), Table9[char])</f>
        <v>n</v>
      </c>
      <c r="G20">
        <f>CODE(Table9[[#This Row],[inv char]])</f>
        <v>110</v>
      </c>
      <c r="H20" t="s">
        <v>22</v>
      </c>
      <c r="I20" t="str" cm="1">
        <f t="array" ref="I20">_xlfn.XLOOKUP(TRUE, EXACT(Table9[[#This Row],[Complement]], Table9[orig]), Table9[char])</f>
        <v>J</v>
      </c>
      <c r="J20" t="s">
        <v>4</v>
      </c>
      <c r="K20" t="str">
        <f>Table9[[#This Row],[orig]] &amp; " "</f>
        <v xml:space="preserve">l2 </v>
      </c>
      <c r="N20" t="s">
        <v>93</v>
      </c>
      <c r="O20" t="s">
        <v>93</v>
      </c>
      <c r="Q20" t="s">
        <v>93</v>
      </c>
      <c r="R20" t="s">
        <v>106</v>
      </c>
      <c r="T20" t="s">
        <v>93</v>
      </c>
      <c r="U20" t="s">
        <v>107</v>
      </c>
      <c r="W20" t="s">
        <v>93</v>
      </c>
      <c r="X20" t="s">
        <v>96</v>
      </c>
      <c r="Z20" t="s">
        <v>93</v>
      </c>
      <c r="AA20" t="s">
        <v>93</v>
      </c>
      <c r="AC20" t="s">
        <v>93</v>
      </c>
      <c r="AD20" t="s">
        <v>93</v>
      </c>
      <c r="AH20" t="str">
        <f t="shared" si="0"/>
        <v>l2</v>
      </c>
      <c r="AI20" s="6" t="str" cm="1">
        <f t="array" ref="AI20">_xlfn.XLOOKUP(TRUE, EXACT(Table2[[#This Row],[orig]], Table9[orig]), Table9[char])</f>
        <v>n</v>
      </c>
      <c r="AJ20" t="str" cm="1">
        <f t="array" ref="AJ20">_xlfn.XLOOKUP(TRUE, EXACT(Table2[[#This Row],[orig]], Table4[orig]), Table4[(X)])</f>
        <v>l2</v>
      </c>
      <c r="AK20" s="6" t="str" cm="1">
        <f t="array" ref="AK20">_xlfn.XLOOKUP(TRUE, EXACT(Table2[[#This Row],[X]], Table9[orig]), Table9[char])</f>
        <v>n</v>
      </c>
      <c r="AL20" t="str" cm="1">
        <f t="array" ref="AL20">_xlfn.XLOOKUP(TRUE, EXACT(AJ20, Table4[orig]), Table4[(X)])</f>
        <v>l2</v>
      </c>
      <c r="AM20" s="6" t="str" cm="1">
        <f t="array" ref="AM20">_xlfn.XLOOKUP(TRUE, EXACT(Table2[[#This Row],[X2]], Table9[orig]), Table9[char])</f>
        <v>n</v>
      </c>
      <c r="AN20" t="str" cm="1">
        <f t="array" ref="AN20">_xlfn.XLOOKUP(TRUE, EXACT(AL20, Table4[orig]), Table4[(X)])</f>
        <v>l2</v>
      </c>
      <c r="AO20" s="6" t="str" cm="1">
        <f t="array" ref="AO20">_xlfn.XLOOKUP(TRUE, EXACT(Table2[[#This Row],[X'']], Table9[orig]), Table9[char])</f>
        <v>n</v>
      </c>
      <c r="AP20" t="str" cm="1">
        <f t="array" ref="AP20">_xlfn.XLOOKUP(TRUE, EXACT(AH20, Table1[orig]), Table1[(Y)])</f>
        <v>b2</v>
      </c>
      <c r="AQ20" s="6" t="str" cm="1">
        <f t="array" ref="AQ20">_xlfn.XLOOKUP(TRUE, EXACT(Table2[[#This Row],[Y]], Table9[orig]), Table9[char])</f>
        <v>~</v>
      </c>
      <c r="AR20" t="str" cm="1">
        <f t="array" ref="AR20">_xlfn.XLOOKUP(TRUE, EXACT(AP20, Table1[orig]), Table1[(Y)])</f>
        <v>r2</v>
      </c>
      <c r="AS20" s="6" t="str" cm="1">
        <f t="array" ref="AS20">_xlfn.XLOOKUP(TRUE, EXACT(Table2[[#This Row],[Y2]], Table9[orig]), Table9[char])</f>
        <v>j</v>
      </c>
      <c r="AT20" t="str" cm="1">
        <f t="array" ref="AT20">_xlfn.XLOOKUP(TRUE, EXACT(AR20, Table1[orig]), Table1[(Y)])</f>
        <v>f2</v>
      </c>
      <c r="AU20" s="6" t="str" cm="1">
        <f t="array" ref="AU20">_xlfn.XLOOKUP(TRUE, EXACT(Table2[[#This Row],[Y'']], Table9[orig]), Table9[char])</f>
        <v>?</v>
      </c>
      <c r="AV20" t="str" cm="1">
        <f t="array" ref="AV20">_xlfn.XLOOKUP(TRUE, EXACT(Table2[[#This Row],[orig]], Table3[orig]), Table3[(Z)])</f>
        <v>u2</v>
      </c>
      <c r="AW20" s="6" t="str" cm="1">
        <f t="array" ref="AW20">_xlfn.XLOOKUP(TRUE, EXACT(Table2[[#This Row],[Z]], Table9[orig]), Table9[char])</f>
        <v>v</v>
      </c>
      <c r="AX20" t="str" cm="1">
        <f t="array" ref="AX20">_xlfn.XLOOKUP(TRUE, EXACT(AV20, Table3[orig]), Table3[(Z)])</f>
        <v>r2</v>
      </c>
      <c r="AY20" s="6" t="str" cm="1">
        <f t="array" ref="AY20">_xlfn.XLOOKUP(TRUE, EXACT(Table2[[#This Row],[Z2]], Table9[orig]), Table9[char])</f>
        <v>j</v>
      </c>
      <c r="AZ20" t="str" cm="1">
        <f t="array" ref="AZ20">_xlfn.XLOOKUP(TRUE, EXACT(AX20, Table3[orig]), Table3[(Z)])</f>
        <v>d2</v>
      </c>
      <c r="BA20" s="6" t="str" cm="1">
        <f t="array" ref="BA20">_xlfn.XLOOKUP(TRUE, EXACT(Table2[[#This Row],[Z'']], Table9[orig]), Table9[char])</f>
        <v>_</v>
      </c>
      <c r="BB20" t="str" cm="1">
        <f t="array" ref="BB20">_xlfn.XLOOKUP(TRUE, EXACT(Table2[[#This Row],[orig]], Table5[orig]), Table5[(T-reflection)])</f>
        <v>r2</v>
      </c>
      <c r="BC20" s="6" t="str" cm="1">
        <f t="array" ref="BC20">_xlfn.XLOOKUP(TRUE, EXACT(Table2[[#This Row],[T-reflection]], Table9[orig]), Table9[char])</f>
        <v>j</v>
      </c>
      <c r="BD20" t="str" cm="1">
        <f t="array" ref="BD20">_xlfn.XLOOKUP(TRUE, EXACT(Table2[[#This Row],[orig]], Table6[orig]), Table6[(H-reflection)])</f>
        <v>l2</v>
      </c>
      <c r="BE20" s="6" t="str" cm="1">
        <f t="array" ref="BE20">_xlfn.XLOOKUP(TRUE, EXACT(Table2[[#This Row],[H-reflection]], Table9[orig]), Table9[char])</f>
        <v>n</v>
      </c>
      <c r="BF20" t="str" cm="1">
        <f t="array" ref="BF20">_xlfn.XLOOKUP(TRUE, EXACT(Table2[[#This Row],[orig]], Table7[orig]), Table7[(S-reflection)])</f>
        <v>l2</v>
      </c>
      <c r="BG20" s="6" t="str" cm="1">
        <f t="array" ref="BG20">_xlfn.XLOOKUP(TRUE, EXACT(Table2[[#This Row],[S-reflection]], Table9[orig]), Table9[char])</f>
        <v>n</v>
      </c>
    </row>
    <row r="21" spans="1:118" x14ac:dyDescent="0.2">
      <c r="B21" s="7" t="s">
        <v>23</v>
      </c>
      <c r="C21" s="7" t="s">
        <v>108</v>
      </c>
      <c r="D21" s="1">
        <f>CODE(Table9[[#This Row],[char]])</f>
        <v>78</v>
      </c>
      <c r="E21" t="s">
        <v>23</v>
      </c>
      <c r="F21" t="str" cm="1">
        <f t="array" ref="F21">_xlfn.XLOOKUP(TRUE, EXACT(Table9[[#This Row],[inverse]], Table9[orig]), Table9[char])</f>
        <v>N</v>
      </c>
      <c r="G21">
        <f>CODE(Table9[[#This Row],[inv char]])</f>
        <v>78</v>
      </c>
      <c r="H21" t="s">
        <v>96</v>
      </c>
      <c r="I21" t="str" cm="1">
        <f t="array" ref="I21">_xlfn.XLOOKUP(TRUE, EXACT(Table9[[#This Row],[Complement]], Table9[orig]), Table9[char])</f>
        <v>j</v>
      </c>
      <c r="J21" t="s">
        <v>4</v>
      </c>
      <c r="K21" t="str">
        <f>Table9[[#This Row],[orig]] &amp; " "</f>
        <v xml:space="preserve">L2 </v>
      </c>
      <c r="N21" t="s">
        <v>23</v>
      </c>
      <c r="O21" t="s">
        <v>23</v>
      </c>
      <c r="Q21" t="s">
        <v>23</v>
      </c>
      <c r="R21" t="s">
        <v>109</v>
      </c>
      <c r="T21" t="s">
        <v>23</v>
      </c>
      <c r="U21" t="s">
        <v>110</v>
      </c>
      <c r="W21" t="s">
        <v>23</v>
      </c>
      <c r="X21" t="s">
        <v>22</v>
      </c>
      <c r="Z21" t="s">
        <v>23</v>
      </c>
      <c r="AA21" t="s">
        <v>23</v>
      </c>
      <c r="AC21" t="s">
        <v>23</v>
      </c>
      <c r="AD21" t="s">
        <v>23</v>
      </c>
      <c r="AH21" t="str">
        <f t="shared" si="0"/>
        <v>L2</v>
      </c>
      <c r="AI21" s="6" t="str" cm="1">
        <f t="array" ref="AI21">_xlfn.XLOOKUP(TRUE, EXACT(Table2[[#This Row],[orig]], Table9[orig]), Table9[char])</f>
        <v>N</v>
      </c>
      <c r="AJ21" t="str" cm="1">
        <f t="array" ref="AJ21">_xlfn.XLOOKUP(TRUE, EXACT(Table2[[#This Row],[orig]], Table4[orig]), Table4[(X)])</f>
        <v>L2</v>
      </c>
      <c r="AK21" s="6" t="str" cm="1">
        <f t="array" ref="AK21">_xlfn.XLOOKUP(TRUE, EXACT(Table2[[#This Row],[X]], Table9[orig]), Table9[char])</f>
        <v>N</v>
      </c>
      <c r="AL21" t="str" cm="1">
        <f t="array" ref="AL21">_xlfn.XLOOKUP(TRUE, EXACT(AJ21, Table4[orig]), Table4[(X)])</f>
        <v>L2</v>
      </c>
      <c r="AM21" s="6" t="str" cm="1">
        <f t="array" ref="AM21">_xlfn.XLOOKUP(TRUE, EXACT(Table2[[#This Row],[X2]], Table9[orig]), Table9[char])</f>
        <v>N</v>
      </c>
      <c r="AN21" t="str" cm="1">
        <f t="array" ref="AN21">_xlfn.XLOOKUP(TRUE, EXACT(AL21, Table4[orig]), Table4[(X)])</f>
        <v>L2</v>
      </c>
      <c r="AO21" s="6" t="str" cm="1">
        <f t="array" ref="AO21">_xlfn.XLOOKUP(TRUE, EXACT(Table2[[#This Row],[X'']], Table9[orig]), Table9[char])</f>
        <v>N</v>
      </c>
      <c r="AP21" t="str" cm="1">
        <f t="array" ref="AP21">_xlfn.XLOOKUP(TRUE, EXACT(AH21, Table1[orig]), Table1[(Y)])</f>
        <v>B2</v>
      </c>
      <c r="AQ21" s="6" t="str" cm="1">
        <f t="array" ref="AQ21">_xlfn.XLOOKUP(TRUE, EXACT(Table2[[#This Row],[Y]], Table9[orig]), Table9[char])</f>
        <v>`</v>
      </c>
      <c r="AR21" t="str" cm="1">
        <f t="array" ref="AR21">_xlfn.XLOOKUP(TRUE, EXACT(AP21, Table1[orig]), Table1[(Y)])</f>
        <v>R2</v>
      </c>
      <c r="AS21" s="6" t="str" cm="1">
        <f t="array" ref="AS21">_xlfn.XLOOKUP(TRUE, EXACT(Table2[[#This Row],[Y2]], Table9[orig]), Table9[char])</f>
        <v>J</v>
      </c>
      <c r="AT21" t="str" cm="1">
        <f t="array" ref="AT21">_xlfn.XLOOKUP(TRUE, EXACT(AR21, Table1[orig]), Table1[(Y)])</f>
        <v>F2</v>
      </c>
      <c r="AU21" s="6" t="str" cm="1">
        <f t="array" ref="AU21">_xlfn.XLOOKUP(TRUE, EXACT(Table2[[#This Row],[Y'']], Table9[orig]), Table9[char])</f>
        <v>$</v>
      </c>
      <c r="AV21" t="str" cm="1">
        <f t="array" ref="AV21">_xlfn.XLOOKUP(TRUE, EXACT(Table2[[#This Row],[orig]], Table3[orig]), Table3[(Z)])</f>
        <v>U2</v>
      </c>
      <c r="AW21" s="6" t="str" cm="1">
        <f t="array" ref="AW21">_xlfn.XLOOKUP(TRUE, EXACT(Table2[[#This Row],[Z]], Table9[orig]), Table9[char])</f>
        <v>\</v>
      </c>
      <c r="AX21" t="str" cm="1">
        <f t="array" ref="AX21">_xlfn.XLOOKUP(TRUE, EXACT(AV21, Table3[orig]), Table3[(Z)])</f>
        <v>R2</v>
      </c>
      <c r="AY21" s="6" t="str" cm="1">
        <f t="array" ref="AY21">_xlfn.XLOOKUP(TRUE, EXACT(Table2[[#This Row],[Z2]], Table9[orig]), Table9[char])</f>
        <v>J</v>
      </c>
      <c r="AZ21" t="str" cm="1">
        <f t="array" ref="AZ21">_xlfn.XLOOKUP(TRUE, EXACT(AX21, Table3[orig]), Table3[(Z)])</f>
        <v>D2</v>
      </c>
      <c r="BA21" s="6" t="str" cm="1">
        <f t="array" ref="BA21">_xlfn.XLOOKUP(TRUE, EXACT(Table2[[#This Row],[Z'']], Table9[orig]), Table9[char])</f>
        <v>c</v>
      </c>
      <c r="BB21" t="str" cm="1">
        <f t="array" ref="BB21">_xlfn.XLOOKUP(TRUE, EXACT(Table2[[#This Row],[orig]], Table5[orig]), Table5[(T-reflection)])</f>
        <v>R2</v>
      </c>
      <c r="BC21" s="6" t="str" cm="1">
        <f t="array" ref="BC21">_xlfn.XLOOKUP(TRUE, EXACT(Table2[[#This Row],[T-reflection]], Table9[orig]), Table9[char])</f>
        <v>J</v>
      </c>
      <c r="BD21" t="str" cm="1">
        <f t="array" ref="BD21">_xlfn.XLOOKUP(TRUE, EXACT(Table2[[#This Row],[orig]], Table6[orig]), Table6[(H-reflection)])</f>
        <v>L2</v>
      </c>
      <c r="BE21" s="6" t="str" cm="1">
        <f t="array" ref="BE21">_xlfn.XLOOKUP(TRUE, EXACT(Table2[[#This Row],[H-reflection]], Table9[orig]), Table9[char])</f>
        <v>N</v>
      </c>
      <c r="BF21" t="str" cm="1">
        <f t="array" ref="BF21">_xlfn.XLOOKUP(TRUE, EXACT(Table2[[#This Row],[orig]], Table7[orig]), Table7[(S-reflection)])</f>
        <v>L2</v>
      </c>
      <c r="BG21" s="6" t="str" cm="1">
        <f t="array" ref="BG21">_xlfn.XLOOKUP(TRUE, EXACT(Table2[[#This Row],[S-reflection]], Table9[orig]), Table9[char])</f>
        <v>N</v>
      </c>
    </row>
    <row r="22" spans="1:118" s="3" customFormat="1" x14ac:dyDescent="0.2">
      <c r="A22"/>
      <c r="B22" s="3" t="s">
        <v>4</v>
      </c>
      <c r="C22" s="3" t="s">
        <v>111</v>
      </c>
      <c r="D22" s="11">
        <f>CODE(Table9[[#This Row],[char]])</f>
        <v>80</v>
      </c>
      <c r="E22" s="3" t="s">
        <v>4</v>
      </c>
      <c r="F22" s="3" t="str" cm="1">
        <f t="array" ref="F22">_xlfn.XLOOKUP(TRUE, EXACT(Table9[[#This Row],[inverse]], Table9[orig]), Table9[char])</f>
        <v>P</v>
      </c>
      <c r="G22" s="3">
        <f>CODE(Table9[[#This Row],[inv char]])</f>
        <v>80</v>
      </c>
      <c r="H22" s="3">
        <v>0</v>
      </c>
      <c r="I22" s="3">
        <v>0</v>
      </c>
      <c r="J22" s="3" t="s">
        <v>4</v>
      </c>
      <c r="K22" t="str">
        <f>Table9[[#This Row],[orig]] &amp; " "</f>
        <v xml:space="preserve">X2 </v>
      </c>
      <c r="L22"/>
      <c r="N22" s="3" t="s">
        <v>4</v>
      </c>
      <c r="O22" s="3" t="s">
        <v>4</v>
      </c>
      <c r="P22"/>
      <c r="Q22" s="3" t="s">
        <v>4</v>
      </c>
      <c r="R22" s="3" t="s">
        <v>10</v>
      </c>
      <c r="S22"/>
      <c r="T22" s="3" t="s">
        <v>4</v>
      </c>
      <c r="U22" s="3" t="s">
        <v>7</v>
      </c>
      <c r="V22"/>
      <c r="W22" s="3" t="s">
        <v>4</v>
      </c>
      <c r="X22" s="3" t="s">
        <v>4</v>
      </c>
      <c r="Y22"/>
      <c r="Z22" s="3" t="s">
        <v>4</v>
      </c>
      <c r="AA22" s="3" t="s">
        <v>4</v>
      </c>
      <c r="AB22"/>
      <c r="AC22" s="3" t="s">
        <v>4</v>
      </c>
      <c r="AD22" s="3" t="s">
        <v>4</v>
      </c>
      <c r="AE22"/>
      <c r="AF22"/>
      <c r="AG22"/>
      <c r="AH22" s="3" t="str">
        <f t="shared" si="0"/>
        <v>X2</v>
      </c>
      <c r="AI22" s="9" t="str" cm="1">
        <f t="array" ref="AI22">_xlfn.XLOOKUP(TRUE, EXACT(Table2[[#This Row],[orig]], Table9[orig]), Table9[char])</f>
        <v>P</v>
      </c>
      <c r="AJ22" s="3" t="str" cm="1">
        <f t="array" ref="AJ22">_xlfn.XLOOKUP(TRUE, EXACT(Table2[[#This Row],[orig]], Table4[orig]), Table4[(X)])</f>
        <v>X2</v>
      </c>
      <c r="AK22" s="9" t="str" cm="1">
        <f t="array" ref="AK22">_xlfn.XLOOKUP(TRUE, EXACT(Table2[[#This Row],[X]], Table9[orig]), Table9[char])</f>
        <v>P</v>
      </c>
      <c r="AL22" s="3" t="str" cm="1">
        <f t="array" ref="AL22">_xlfn.XLOOKUP(TRUE, EXACT(AJ22, Table4[orig]), Table4[(X)])</f>
        <v>X2</v>
      </c>
      <c r="AM22" s="9" t="str" cm="1">
        <f t="array" ref="AM22">_xlfn.XLOOKUP(TRUE, EXACT(Table2[[#This Row],[X2]], Table9[orig]), Table9[char])</f>
        <v>P</v>
      </c>
      <c r="AN22" s="3" t="str" cm="1">
        <f t="array" ref="AN22">_xlfn.XLOOKUP(TRUE, EXACT(AL22, Table4[orig]), Table4[(X)])</f>
        <v>X2</v>
      </c>
      <c r="AO22" s="9" t="str" cm="1">
        <f t="array" ref="AO22">_xlfn.XLOOKUP(TRUE, EXACT(Table2[[#This Row],[X'']], Table9[orig]), Table9[char])</f>
        <v>P</v>
      </c>
      <c r="AP22" s="3" t="str" cm="1">
        <f t="array" ref="AP22">_xlfn.XLOOKUP(TRUE, EXACT(AH22, Table1[orig]), Table1[(Y)])</f>
        <v>Z2</v>
      </c>
      <c r="AQ22" s="9" t="str" cm="1">
        <f t="array" ref="AQ22">_xlfn.XLOOKUP(TRUE, EXACT(Table2[[#This Row],[Y]], Table9[orig]), Table9[char])</f>
        <v>=</v>
      </c>
      <c r="AR22" s="3" t="str" cm="1">
        <f t="array" ref="AR22">_xlfn.XLOOKUP(TRUE, EXACT(AP22, Table1[orig]), Table1[(Y)])</f>
        <v>X2</v>
      </c>
      <c r="AS22" s="9" t="str" cm="1">
        <f t="array" ref="AS22">_xlfn.XLOOKUP(TRUE, EXACT(Table2[[#This Row],[Y2]], Table9[orig]), Table9[char])</f>
        <v>P</v>
      </c>
      <c r="AT22" s="3" t="str" cm="1">
        <f t="array" ref="AT22">_xlfn.XLOOKUP(TRUE, EXACT(AR22, Table1[orig]), Table1[(Y)])</f>
        <v>Z2</v>
      </c>
      <c r="AU22" s="9" t="str" cm="1">
        <f t="array" ref="AU22">_xlfn.XLOOKUP(TRUE, EXACT(Table2[[#This Row],[Y'']], Table9[orig]), Table9[char])</f>
        <v>=</v>
      </c>
      <c r="AV22" s="3" t="str" cm="1">
        <f t="array" ref="AV22">_xlfn.XLOOKUP(TRUE, EXACT(Table2[[#This Row],[orig]], Table3[orig]), Table3[(Z)])</f>
        <v>Y2</v>
      </c>
      <c r="AW22" s="9" t="str" cm="1">
        <f t="array" ref="AW22">_xlfn.XLOOKUP(TRUE, EXACT(Table2[[#This Row],[Z]], Table9[orig]), Table9[char])</f>
        <v>I</v>
      </c>
      <c r="AX22" s="3" t="str" cm="1">
        <f t="array" ref="AX22">_xlfn.XLOOKUP(TRUE, EXACT(AV22, Table3[orig]), Table3[(Z)])</f>
        <v>X2</v>
      </c>
      <c r="AY22" s="9" t="str" cm="1">
        <f t="array" ref="AY22">_xlfn.XLOOKUP(TRUE, EXACT(Table2[[#This Row],[Z2]], Table9[orig]), Table9[char])</f>
        <v>P</v>
      </c>
      <c r="AZ22" s="3" t="str" cm="1">
        <f t="array" ref="AZ22">_xlfn.XLOOKUP(TRUE, EXACT(AX22, Table3[orig]), Table3[(Z)])</f>
        <v>Y2</v>
      </c>
      <c r="BA22" s="9" t="str" cm="1">
        <f t="array" ref="BA22">_xlfn.XLOOKUP(TRUE, EXACT(Table2[[#This Row],[Z'']], Table9[orig]), Table9[char])</f>
        <v>I</v>
      </c>
      <c r="BB22" s="3" t="str" cm="1">
        <f t="array" ref="BB22">_xlfn.XLOOKUP(TRUE, EXACT(Table2[[#This Row],[orig]], Table5[orig]), Table5[(T-reflection)])</f>
        <v>X2</v>
      </c>
      <c r="BC22" s="9" t="str" cm="1">
        <f t="array" ref="BC22">_xlfn.XLOOKUP(TRUE, EXACT(Table2[[#This Row],[T-reflection]], Table9[orig]), Table9[char])</f>
        <v>P</v>
      </c>
      <c r="BD22" s="3" t="str" cm="1">
        <f t="array" ref="BD22">_xlfn.XLOOKUP(TRUE, EXACT(Table2[[#This Row],[orig]], Table6[orig]), Table6[(H-reflection)])</f>
        <v>X2</v>
      </c>
      <c r="BE22" s="9" t="str" cm="1">
        <f t="array" ref="BE22">_xlfn.XLOOKUP(TRUE, EXACT(Table2[[#This Row],[H-reflection]], Table9[orig]), Table9[char])</f>
        <v>P</v>
      </c>
      <c r="BF22" s="3" t="str" cm="1">
        <f t="array" ref="BF22">_xlfn.XLOOKUP(TRUE, EXACT(Table2[[#This Row],[orig]], Table7[orig]), Table7[(S-reflection)])</f>
        <v>X2</v>
      </c>
      <c r="BG22" s="6" t="str" cm="1">
        <f t="array" ref="BG22">_xlfn.XLOOKUP(TRUE, EXACT(Table2[[#This Row],[S-reflection]], Table9[orig]), Table9[char])</f>
        <v>P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</row>
    <row r="23" spans="1:118" x14ac:dyDescent="0.2">
      <c r="B23" s="7" t="s">
        <v>66</v>
      </c>
      <c r="C23" s="7" t="s">
        <v>66</v>
      </c>
      <c r="D23" s="1">
        <f>CODE(Table9[[#This Row],[char]])</f>
        <v>70</v>
      </c>
      <c r="E23" t="s">
        <v>78</v>
      </c>
      <c r="F23" t="str" cm="1">
        <f t="array" ref="F23">_xlfn.XLOOKUP(TRUE, EXACT(Table9[[#This Row],[inverse]], Table9[orig]), Table9[char])</f>
        <v>Q</v>
      </c>
      <c r="G23">
        <f>CODE(Table9[[#This Row],[inv char]])</f>
        <v>81</v>
      </c>
      <c r="H23" t="s">
        <v>25</v>
      </c>
      <c r="I23" t="str" cm="1">
        <f t="array" ref="I23">_xlfn.XLOOKUP(TRUE, EXACT(Table9[[#This Row],[Complement]], Table9[orig]), Table9[char])</f>
        <v>b</v>
      </c>
      <c r="J23" t="s">
        <v>8</v>
      </c>
      <c r="K23" t="str">
        <f>Table9[[#This Row],[orig]] &amp; " "</f>
        <v xml:space="preserve">F </v>
      </c>
      <c r="N23" t="s">
        <v>66</v>
      </c>
      <c r="O23" t="s">
        <v>77</v>
      </c>
      <c r="Q23" t="s">
        <v>66</v>
      </c>
      <c r="R23" t="s">
        <v>21</v>
      </c>
      <c r="T23" t="s">
        <v>66</v>
      </c>
      <c r="U23" t="s">
        <v>66</v>
      </c>
      <c r="W23" t="s">
        <v>66</v>
      </c>
      <c r="X23" t="s">
        <v>78</v>
      </c>
      <c r="Z23" t="s">
        <v>66</v>
      </c>
      <c r="AA23" t="s">
        <v>78</v>
      </c>
      <c r="AC23" t="s">
        <v>66</v>
      </c>
      <c r="AD23" t="s">
        <v>89</v>
      </c>
      <c r="AH23" t="str">
        <f t="shared" si="0"/>
        <v>F</v>
      </c>
      <c r="AI23" s="6" t="str" cm="1">
        <f t="array" ref="AI23">_xlfn.XLOOKUP(TRUE, EXACT(Table2[[#This Row],[orig]], Table9[orig]), Table9[char])</f>
        <v>F</v>
      </c>
      <c r="AJ23" t="str" cm="1">
        <f t="array" ref="AJ23">_xlfn.XLOOKUP(TRUE, EXACT(Table2[[#This Row],[orig]], Table4[orig]), Table4[(X)])</f>
        <v>U</v>
      </c>
      <c r="AK23" s="6" t="str" cm="1">
        <f t="array" ref="AK23">_xlfn.XLOOKUP(TRUE, EXACT(Table2[[#This Row],[X]], Table9[orig]), Table9[char])</f>
        <v>U</v>
      </c>
      <c r="AL23" t="str" cm="1">
        <f t="array" ref="AL23">_xlfn.XLOOKUP(TRUE, EXACT(AJ23, Table4[orig]), Table4[(X)])</f>
        <v>B</v>
      </c>
      <c r="AM23" s="6" t="str" cm="1">
        <f t="array" ref="AM23">_xlfn.XLOOKUP(TRUE, EXACT(Table2[[#This Row],[X2]], Table9[orig]), Table9[char])</f>
        <v>B</v>
      </c>
      <c r="AN23" t="str" cm="1">
        <f t="array" ref="AN23">_xlfn.XLOOKUP(TRUE, EXACT(AL23, Table4[orig]), Table4[(X)])</f>
        <v>D</v>
      </c>
      <c r="AO23" s="6" t="str" cm="1">
        <f t="array" ref="AO23">_xlfn.XLOOKUP(TRUE, EXACT(Table2[[#This Row],[X'']], Table9[orig]), Table9[char])</f>
        <v>D</v>
      </c>
      <c r="AP23" t="str" cm="1">
        <f t="array" ref="AP23">_xlfn.XLOOKUP(TRUE, EXACT(AH23, Table1[orig]), Table1[(Y)])</f>
        <v>L</v>
      </c>
      <c r="AQ23" s="6" t="str" cm="1">
        <f t="array" ref="AQ23">_xlfn.XLOOKUP(TRUE, EXACT(Table2[[#This Row],[Y]], Table9[orig]), Table9[char])</f>
        <v>L</v>
      </c>
      <c r="AR23" t="str" cm="1">
        <f t="array" ref="AR23">_xlfn.XLOOKUP(TRUE, EXACT(AP23, Table1[orig]), Table1[(Y)])</f>
        <v>B</v>
      </c>
      <c r="AS23" s="6" t="str" cm="1">
        <f t="array" ref="AS23">_xlfn.XLOOKUP(TRUE, EXACT(Table2[[#This Row],[Y2]], Table9[orig]), Table9[char])</f>
        <v>B</v>
      </c>
      <c r="AT23" t="str" cm="1">
        <f t="array" ref="AT23">_xlfn.XLOOKUP(TRUE, EXACT(AR23, Table1[orig]), Table1[(Y)])</f>
        <v>R</v>
      </c>
      <c r="AU23" s="6" t="str" cm="1">
        <f t="array" ref="AU23">_xlfn.XLOOKUP(TRUE, EXACT(Table2[[#This Row],[Y'']], Table9[orig]), Table9[char])</f>
        <v>R</v>
      </c>
      <c r="AV23" t="str" cm="1">
        <f t="array" ref="AV23">_xlfn.XLOOKUP(TRUE, EXACT(Table2[[#This Row],[orig]], Table3[orig]), Table3[(Z)])</f>
        <v>F</v>
      </c>
      <c r="AW23" s="6" t="str" cm="1">
        <f t="array" ref="AW23">_xlfn.XLOOKUP(TRUE, EXACT(Table2[[#This Row],[Z]], Table9[orig]), Table9[char])</f>
        <v>F</v>
      </c>
      <c r="AX23" t="str" cm="1">
        <f t="array" ref="AX23">_xlfn.XLOOKUP(TRUE, EXACT(AV23, Table3[orig]), Table3[(Z)])</f>
        <v>F</v>
      </c>
      <c r="AY23" s="6" t="str" cm="1">
        <f t="array" ref="AY23">_xlfn.XLOOKUP(TRUE, EXACT(Table2[[#This Row],[Z2]], Table9[orig]), Table9[char])</f>
        <v>F</v>
      </c>
      <c r="AZ23" t="str" cm="1">
        <f t="array" ref="AZ23">_xlfn.XLOOKUP(TRUE, EXACT(AX23, Table3[orig]), Table3[(Z)])</f>
        <v>F</v>
      </c>
      <c r="BA23" s="6" t="str" cm="1">
        <f t="array" ref="BA23">_xlfn.XLOOKUP(TRUE, EXACT(Table2[[#This Row],[Z'']], Table9[orig]), Table9[char])</f>
        <v>F</v>
      </c>
      <c r="BB23" t="str" cm="1">
        <f t="array" ref="BB23">_xlfn.XLOOKUP(TRUE, EXACT(Table2[[#This Row],[orig]], Table5[orig]), Table5[(T-reflection)])</f>
        <v>F'</v>
      </c>
      <c r="BC23" s="6" t="str" cm="1">
        <f t="array" ref="BC23">_xlfn.XLOOKUP(TRUE, EXACT(Table2[[#This Row],[T-reflection]], Table9[orig]), Table9[char])</f>
        <v>Q</v>
      </c>
      <c r="BD23" t="str" cm="1">
        <f t="array" ref="BD23">_xlfn.XLOOKUP(TRUE, EXACT(Table2[[#This Row],[orig]], Table6[orig]), Table6[(H-reflection)])</f>
        <v>F'</v>
      </c>
      <c r="BE23" s="6" t="str" cm="1">
        <f t="array" ref="BE23">_xlfn.XLOOKUP(TRUE, EXACT(Table2[[#This Row],[H-reflection]], Table9[orig]), Table9[char])</f>
        <v>Q</v>
      </c>
      <c r="BF23" t="str" cm="1">
        <f t="array" ref="BF23">_xlfn.XLOOKUP(TRUE, EXACT(Table2[[#This Row],[orig]], Table7[orig]), Table7[(S-reflection)])</f>
        <v>B'</v>
      </c>
      <c r="BG23" s="6" t="str" cm="1">
        <f t="array" ref="BG23">_xlfn.XLOOKUP(TRUE, EXACT(Table2[[#This Row],[S-reflection]], Table9[orig]), Table9[char])</f>
        <v>@</v>
      </c>
    </row>
    <row r="24" spans="1:118" x14ac:dyDescent="0.2">
      <c r="B24" t="s">
        <v>69</v>
      </c>
      <c r="C24" t="s">
        <v>69</v>
      </c>
      <c r="D24" s="1">
        <f>CODE(Table9[[#This Row],[char]])</f>
        <v>102</v>
      </c>
      <c r="E24" t="s">
        <v>80</v>
      </c>
      <c r="F24" t="str" cm="1">
        <f t="array" ref="F24">_xlfn.XLOOKUP(TRUE, EXACT(Table9[[#This Row],[inverse]], Table9[orig]), Table9[char])</f>
        <v>q</v>
      </c>
      <c r="G24">
        <f>CODE(Table9[[#This Row],[inv char]])</f>
        <v>113</v>
      </c>
      <c r="H24" t="s">
        <v>30</v>
      </c>
      <c r="I24" t="str" cm="1">
        <f t="array" ref="I24">_xlfn.XLOOKUP(TRUE, EXACT(Table9[[#This Row],[Complement]], Table9[orig]), Table9[char])</f>
        <v>B</v>
      </c>
      <c r="J24" t="s">
        <v>8</v>
      </c>
      <c r="K24" t="str">
        <f>Table9[[#This Row],[orig]] &amp; " "</f>
        <v xml:space="preserve">f </v>
      </c>
      <c r="N24" t="s">
        <v>69</v>
      </c>
      <c r="O24" t="s">
        <v>76</v>
      </c>
      <c r="Q24" t="s">
        <v>69</v>
      </c>
      <c r="R24" t="s">
        <v>65</v>
      </c>
      <c r="T24" t="s">
        <v>69</v>
      </c>
      <c r="U24" t="s">
        <v>69</v>
      </c>
      <c r="W24" t="s">
        <v>69</v>
      </c>
      <c r="X24" t="s">
        <v>80</v>
      </c>
      <c r="Z24" t="s">
        <v>69</v>
      </c>
      <c r="AA24" t="s">
        <v>80</v>
      </c>
      <c r="AC24" t="s">
        <v>69</v>
      </c>
      <c r="AD24" t="s">
        <v>86</v>
      </c>
      <c r="AH24" t="str">
        <f t="shared" si="0"/>
        <v>f</v>
      </c>
      <c r="AI24" s="6" t="str" cm="1">
        <f t="array" ref="AI24">_xlfn.XLOOKUP(TRUE, EXACT(Table2[[#This Row],[orig]], Table9[orig]), Table9[char])</f>
        <v>f</v>
      </c>
      <c r="AJ24" t="str" cm="1">
        <f t="array" ref="AJ24">_xlfn.XLOOKUP(TRUE, EXACT(Table2[[#This Row],[orig]], Table4[orig]), Table4[(X)])</f>
        <v>u</v>
      </c>
      <c r="AK24" s="6" t="str" cm="1">
        <f t="array" ref="AK24">_xlfn.XLOOKUP(TRUE, EXACT(Table2[[#This Row],[X]], Table9[orig]), Table9[char])</f>
        <v>u</v>
      </c>
      <c r="AL24" t="str" cm="1">
        <f t="array" ref="AL24">_xlfn.XLOOKUP(TRUE, EXACT(AJ24, Table4[orig]), Table4[(X)])</f>
        <v>b</v>
      </c>
      <c r="AM24" s="6" t="str" cm="1">
        <f t="array" ref="AM24">_xlfn.XLOOKUP(TRUE, EXACT(Table2[[#This Row],[X2]], Table9[orig]), Table9[char])</f>
        <v>b</v>
      </c>
      <c r="AN24" t="str" cm="1">
        <f t="array" ref="AN24">_xlfn.XLOOKUP(TRUE, EXACT(AL24, Table4[orig]), Table4[(X)])</f>
        <v>d</v>
      </c>
      <c r="AO24" s="6" t="str" cm="1">
        <f t="array" ref="AO24">_xlfn.XLOOKUP(TRUE, EXACT(Table2[[#This Row],[X'']], Table9[orig]), Table9[char])</f>
        <v>d</v>
      </c>
      <c r="AP24" t="str" cm="1">
        <f t="array" ref="AP24">_xlfn.XLOOKUP(TRUE, EXACT(AH24, Table1[orig]), Table1[(Y)])</f>
        <v>l</v>
      </c>
      <c r="AQ24" s="6" t="str" cm="1">
        <f t="array" ref="AQ24">_xlfn.XLOOKUP(TRUE, EXACT(Table2[[#This Row],[Y]], Table9[orig]), Table9[char])</f>
        <v>l</v>
      </c>
      <c r="AR24" t="str" cm="1">
        <f t="array" ref="AR24">_xlfn.XLOOKUP(TRUE, EXACT(AP24, Table1[orig]), Table1[(Y)])</f>
        <v>b</v>
      </c>
      <c r="AS24" s="6" t="str" cm="1">
        <f t="array" ref="AS24">_xlfn.XLOOKUP(TRUE, EXACT(Table2[[#This Row],[Y2]], Table9[orig]), Table9[char])</f>
        <v>b</v>
      </c>
      <c r="AT24" t="str" cm="1">
        <f t="array" ref="AT24">_xlfn.XLOOKUP(TRUE, EXACT(AR24, Table1[orig]), Table1[(Y)])</f>
        <v>r</v>
      </c>
      <c r="AU24" s="6" t="str" cm="1">
        <f t="array" ref="AU24">_xlfn.XLOOKUP(TRUE, EXACT(Table2[[#This Row],[Y'']], Table9[orig]), Table9[char])</f>
        <v>r</v>
      </c>
      <c r="AV24" t="str" cm="1">
        <f t="array" ref="AV24">_xlfn.XLOOKUP(TRUE, EXACT(Table2[[#This Row],[orig]], Table3[orig]), Table3[(Z)])</f>
        <v>f</v>
      </c>
      <c r="AW24" s="6" t="str" cm="1">
        <f t="array" ref="AW24">_xlfn.XLOOKUP(TRUE, EXACT(Table2[[#This Row],[Z]], Table9[orig]), Table9[char])</f>
        <v>f</v>
      </c>
      <c r="AX24" t="str" cm="1">
        <f t="array" ref="AX24">_xlfn.XLOOKUP(TRUE, EXACT(AV24, Table3[orig]), Table3[(Z)])</f>
        <v>f</v>
      </c>
      <c r="AY24" s="6" t="str" cm="1">
        <f t="array" ref="AY24">_xlfn.XLOOKUP(TRUE, EXACT(Table2[[#This Row],[Z2]], Table9[orig]), Table9[char])</f>
        <v>f</v>
      </c>
      <c r="AZ24" t="str" cm="1">
        <f t="array" ref="AZ24">_xlfn.XLOOKUP(TRUE, EXACT(AX24, Table3[orig]), Table3[(Z)])</f>
        <v>f</v>
      </c>
      <c r="BA24" s="6" t="str" cm="1">
        <f t="array" ref="BA24">_xlfn.XLOOKUP(TRUE, EXACT(Table2[[#This Row],[Z'']], Table9[orig]), Table9[char])</f>
        <v>f</v>
      </c>
      <c r="BB24" t="str" cm="1">
        <f t="array" ref="BB24">_xlfn.XLOOKUP(TRUE, EXACT(Table2[[#This Row],[orig]], Table5[orig]), Table5[(T-reflection)])</f>
        <v>f'</v>
      </c>
      <c r="BC24" s="6" t="str" cm="1">
        <f t="array" ref="BC24">_xlfn.XLOOKUP(TRUE, EXACT(Table2[[#This Row],[T-reflection]], Table9[orig]), Table9[char])</f>
        <v>q</v>
      </c>
      <c r="BD24" t="str" cm="1">
        <f t="array" ref="BD24">_xlfn.XLOOKUP(TRUE, EXACT(Table2[[#This Row],[orig]], Table6[orig]), Table6[(H-reflection)])</f>
        <v>f'</v>
      </c>
      <c r="BE24" s="6" t="str" cm="1">
        <f t="array" ref="BE24">_xlfn.XLOOKUP(TRUE, EXACT(Table2[[#This Row],[H-reflection]], Table9[orig]), Table9[char])</f>
        <v>q</v>
      </c>
      <c r="BF24" t="str" cm="1">
        <f t="array" ref="BF24">_xlfn.XLOOKUP(TRUE, EXACT(Table2[[#This Row],[orig]], Table7[orig]), Table7[(S-reflection)])</f>
        <v>b'</v>
      </c>
      <c r="BG24" s="6" t="str" cm="1">
        <f t="array" ref="BG24">_xlfn.XLOOKUP(TRUE, EXACT(Table2[[#This Row],[S-reflection]], Table9[orig]), Table9[char])</f>
        <v>&amp;</v>
      </c>
    </row>
    <row r="25" spans="1:118" x14ac:dyDescent="0.2">
      <c r="B25" s="7" t="s">
        <v>74</v>
      </c>
      <c r="C25" s="7" t="s">
        <v>74</v>
      </c>
      <c r="D25" s="1">
        <f>CODE(Table9[[#This Row],[char]])</f>
        <v>83</v>
      </c>
      <c r="E25" t="s">
        <v>83</v>
      </c>
      <c r="F25" t="str" cm="1">
        <f t="array" ref="F25">_xlfn.XLOOKUP(TRUE, EXACT(Table9[[#This Row],[inverse]], Table9[orig]), Table9[char])</f>
        <v>V</v>
      </c>
      <c r="G25">
        <f>CODE(Table9[[#This Row],[inv char]])</f>
        <v>86</v>
      </c>
      <c r="H25" t="s">
        <v>112</v>
      </c>
      <c r="I25" t="str" cm="1">
        <f t="array" ref="I25">_xlfn.CONCAT(_xlfn.XLOOKUP(TRUE, EXACT(B29, Table9[orig]), Table9[char]), _xlfn.XLOOKUP(TRUE, EXACT(B27, Table9[orig]), Table9[char]))</f>
        <v>QB</v>
      </c>
      <c r="J25" t="s">
        <v>8</v>
      </c>
      <c r="K25" t="str">
        <f>Table9[[#This Row],[orig]] &amp; " "</f>
        <v xml:space="preserve">S </v>
      </c>
      <c r="N25" t="s">
        <v>74</v>
      </c>
      <c r="O25" t="s">
        <v>84</v>
      </c>
      <c r="Q25" t="s">
        <v>74</v>
      </c>
      <c r="R25" t="s">
        <v>72</v>
      </c>
      <c r="T25" t="s">
        <v>74</v>
      </c>
      <c r="U25" t="s">
        <v>74</v>
      </c>
      <c r="W25" t="s">
        <v>74</v>
      </c>
      <c r="X25" t="s">
        <v>83</v>
      </c>
      <c r="Z25" t="s">
        <v>74</v>
      </c>
      <c r="AA25" t="s">
        <v>83</v>
      </c>
      <c r="AC25" t="s">
        <v>74</v>
      </c>
      <c r="AD25" t="s">
        <v>74</v>
      </c>
      <c r="AH25" t="str">
        <f t="shared" si="0"/>
        <v>S</v>
      </c>
      <c r="AI25" s="6" t="str" cm="1">
        <f t="array" ref="AI25">_xlfn.XLOOKUP(TRUE, EXACT(Table2[[#This Row],[orig]], Table9[orig]), Table9[char])</f>
        <v>S</v>
      </c>
      <c r="AJ25" t="str" cm="1">
        <f t="array" ref="AJ25">_xlfn.XLOOKUP(TRUE, EXACT(Table2[[#This Row],[orig]], Table4[orig]), Table4[(X)])</f>
        <v>H</v>
      </c>
      <c r="AK25" s="6" t="str" cm="1">
        <f t="array" ref="AK25">_xlfn.XLOOKUP(TRUE, EXACT(Table2[[#This Row],[X]], Table9[orig]), Table9[char])</f>
        <v>H</v>
      </c>
      <c r="AL25" t="str" cm="1">
        <f t="array" ref="AL25">_xlfn.XLOOKUP(TRUE, EXACT(AJ25, Table4[orig]), Table4[(X)])</f>
        <v>S'</v>
      </c>
      <c r="AM25" s="6" t="str" cm="1">
        <f t="array" ref="AM25">_xlfn.XLOOKUP(TRUE, EXACT(Table2[[#This Row],[X2]], Table9[orig]), Table9[char])</f>
        <v>V</v>
      </c>
      <c r="AN25" t="str" cm="1">
        <f t="array" ref="AN25">_xlfn.XLOOKUP(TRUE, EXACT(AL25, Table4[orig]), Table4[(X)])</f>
        <v>H'</v>
      </c>
      <c r="AO25" s="6" t="str" cm="1">
        <f t="array" ref="AO25">_xlfn.XLOOKUP(TRUE, EXACT(Table2[[#This Row],[X'']], Table9[orig]), Table9[char])</f>
        <v>+</v>
      </c>
      <c r="AP25" t="str" cm="1">
        <f t="array" ref="AP25">_xlfn.XLOOKUP(TRUE, EXACT(AH25, Table1[orig]), Table1[(Y)])</f>
        <v>T'</v>
      </c>
      <c r="AQ25" s="6" t="str" cm="1">
        <f t="array" ref="AQ25">_xlfn.XLOOKUP(TRUE, EXACT(Table2[[#This Row],[Y]], Table9[orig]), Table9[char])</f>
        <v>C</v>
      </c>
      <c r="AR25" t="str" cm="1">
        <f t="array" ref="AR25">_xlfn.XLOOKUP(TRUE, EXACT(AP25, Table1[orig]), Table1[(Y)])</f>
        <v>S'</v>
      </c>
      <c r="AS25" s="6" t="str" cm="1">
        <f t="array" ref="AS25">_xlfn.XLOOKUP(TRUE, EXACT(Table2[[#This Row],[Y2]], Table9[orig]), Table9[char])</f>
        <v>V</v>
      </c>
      <c r="AT25" t="str" cm="1">
        <f t="array" ref="AT25">_xlfn.XLOOKUP(TRUE, EXACT(AR25, Table1[orig]), Table1[(Y)])</f>
        <v>T</v>
      </c>
      <c r="AU25" s="6" t="str" cm="1">
        <f t="array" ref="AU25">_xlfn.XLOOKUP(TRUE, EXACT(Table2[[#This Row],[Y'']], Table9[orig]), Table9[char])</f>
        <v>T</v>
      </c>
      <c r="AV25" t="str" cm="1">
        <f t="array" ref="AV25">_xlfn.XLOOKUP(TRUE, EXACT(Table2[[#This Row],[orig]], Table3[orig]), Table3[(Z)])</f>
        <v>S</v>
      </c>
      <c r="AW25" s="6" t="str" cm="1">
        <f t="array" ref="AW25">_xlfn.XLOOKUP(TRUE, EXACT(Table2[[#This Row],[Z]], Table9[orig]), Table9[char])</f>
        <v>S</v>
      </c>
      <c r="AX25" t="str" cm="1">
        <f t="array" ref="AX25">_xlfn.XLOOKUP(TRUE, EXACT(AV25, Table3[orig]), Table3[(Z)])</f>
        <v>S</v>
      </c>
      <c r="AY25" s="6" t="str" cm="1">
        <f t="array" ref="AY25">_xlfn.XLOOKUP(TRUE, EXACT(Table2[[#This Row],[Z2]], Table9[orig]), Table9[char])</f>
        <v>S</v>
      </c>
      <c r="AZ25" t="str" cm="1">
        <f t="array" ref="AZ25">_xlfn.XLOOKUP(TRUE, EXACT(AX25, Table3[orig]), Table3[(Z)])</f>
        <v>S</v>
      </c>
      <c r="BA25" s="6" t="str" cm="1">
        <f t="array" ref="BA25">_xlfn.XLOOKUP(TRUE, EXACT(Table2[[#This Row],[Z'']], Table9[orig]), Table9[char])</f>
        <v>S</v>
      </c>
      <c r="BB25" t="str" cm="1">
        <f t="array" ref="BB25">_xlfn.XLOOKUP(TRUE, EXACT(Table2[[#This Row],[orig]], Table5[orig]), Table5[(T-reflection)])</f>
        <v>S'</v>
      </c>
      <c r="BC25" s="6" t="str" cm="1">
        <f t="array" ref="BC25">_xlfn.XLOOKUP(TRUE, EXACT(Table2[[#This Row],[T-reflection]], Table9[orig]), Table9[char])</f>
        <v>V</v>
      </c>
      <c r="BD25" t="str" cm="1">
        <f t="array" ref="BD25">_xlfn.XLOOKUP(TRUE, EXACT(Table2[[#This Row],[orig]], Table6[orig]), Table6[(H-reflection)])</f>
        <v>S'</v>
      </c>
      <c r="BE25" s="6" t="str" cm="1">
        <f t="array" ref="BE25">_xlfn.XLOOKUP(TRUE, EXACT(Table2[[#This Row],[H-reflection]], Table9[orig]), Table9[char])</f>
        <v>V</v>
      </c>
      <c r="BF25" t="str" cm="1">
        <f t="array" ref="BF25">_xlfn.XLOOKUP(TRUE, EXACT(Table2[[#This Row],[orig]], Table7[orig]), Table7[(S-reflection)])</f>
        <v>S</v>
      </c>
      <c r="BG25" s="6" t="str" cm="1">
        <f t="array" ref="BG25">_xlfn.XLOOKUP(TRUE, EXACT(Table2[[#This Row],[S-reflection]], Table9[orig]), Table9[char])</f>
        <v>S</v>
      </c>
    </row>
    <row r="26" spans="1:118" x14ac:dyDescent="0.2">
      <c r="B26" t="s">
        <v>25</v>
      </c>
      <c r="C26" t="s">
        <v>25</v>
      </c>
      <c r="D26" s="1">
        <f>CODE(Table9[[#This Row],[char]])</f>
        <v>98</v>
      </c>
      <c r="E26" t="s">
        <v>86</v>
      </c>
      <c r="F26" t="str" cm="1">
        <f t="array" ref="F26">_xlfn.XLOOKUP(TRUE, EXACT(Table9[[#This Row],[inverse]], Table9[orig]), Table9[char])</f>
        <v>&amp;</v>
      </c>
      <c r="G26">
        <f>CODE(Table9[[#This Row],[inv char]])</f>
        <v>38</v>
      </c>
      <c r="H26" t="s">
        <v>66</v>
      </c>
      <c r="I26" t="str" cm="1">
        <f t="array" ref="I26">_xlfn.XLOOKUP(TRUE, EXACT(Table9[[#This Row],[Complement]], Table9[orig]), Table9[char])</f>
        <v>F</v>
      </c>
      <c r="J26" t="s">
        <v>9</v>
      </c>
      <c r="K26" t="str">
        <f>Table9[[#This Row],[orig]] &amp; " "</f>
        <v xml:space="preserve">b </v>
      </c>
      <c r="N26" t="s">
        <v>25</v>
      </c>
      <c r="O26" s="1" t="s">
        <v>27</v>
      </c>
      <c r="Q26" t="s">
        <v>25</v>
      </c>
      <c r="R26" t="s">
        <v>67</v>
      </c>
      <c r="T26" t="s">
        <v>25</v>
      </c>
      <c r="U26" t="s">
        <v>25</v>
      </c>
      <c r="W26" t="s">
        <v>25</v>
      </c>
      <c r="X26" t="s">
        <v>86</v>
      </c>
      <c r="Z26" t="s">
        <v>25</v>
      </c>
      <c r="AA26" t="s">
        <v>86</v>
      </c>
      <c r="AC26" t="s">
        <v>25</v>
      </c>
      <c r="AD26" t="s">
        <v>80</v>
      </c>
      <c r="AH26" t="str">
        <f t="shared" si="0"/>
        <v>b</v>
      </c>
      <c r="AI26" s="6" t="str" cm="1">
        <f t="array" ref="AI26">_xlfn.XLOOKUP(TRUE, EXACT(Table2[[#This Row],[orig]], Table9[orig]), Table9[char])</f>
        <v>b</v>
      </c>
      <c r="AJ26" t="str" cm="1">
        <f t="array" ref="AJ26">_xlfn.XLOOKUP(TRUE, EXACT(Table2[[#This Row],[orig]], Table4[orig]), Table4[(X)])</f>
        <v>d</v>
      </c>
      <c r="AK26" s="6" t="str" cm="1">
        <f t="array" ref="AK26">_xlfn.XLOOKUP(TRUE, EXACT(Table2[[#This Row],[X]], Table9[orig]), Table9[char])</f>
        <v>d</v>
      </c>
      <c r="AL26" t="str" cm="1">
        <f t="array" ref="AL26">_xlfn.XLOOKUP(TRUE, EXACT(AJ26, Table4[orig]), Table4[(X)])</f>
        <v>f</v>
      </c>
      <c r="AM26" s="6" t="str" cm="1">
        <f t="array" ref="AM26">_xlfn.XLOOKUP(TRUE, EXACT(Table2[[#This Row],[X2]], Table9[orig]), Table9[char])</f>
        <v>f</v>
      </c>
      <c r="AN26" t="str" cm="1">
        <f t="array" ref="AN26">_xlfn.XLOOKUP(TRUE, EXACT(AL26, Table4[orig]), Table4[(X)])</f>
        <v>u</v>
      </c>
      <c r="AO26" s="6" t="str" cm="1">
        <f t="array" ref="AO26">_xlfn.XLOOKUP(TRUE, EXACT(Table2[[#This Row],[X'']], Table9[orig]), Table9[char])</f>
        <v>u</v>
      </c>
      <c r="AP26" t="str" cm="1">
        <f t="array" ref="AP26">_xlfn.XLOOKUP(TRUE, EXACT(AH26, Table1[orig]), Table1[(Y)])</f>
        <v>r</v>
      </c>
      <c r="AQ26" s="6" t="str" cm="1">
        <f t="array" ref="AQ26">_xlfn.XLOOKUP(TRUE, EXACT(Table2[[#This Row],[Y]], Table9[orig]), Table9[char])</f>
        <v>r</v>
      </c>
      <c r="AR26" t="str" cm="1">
        <f t="array" ref="AR26">_xlfn.XLOOKUP(TRUE, EXACT(AP26, Table1[orig]), Table1[(Y)])</f>
        <v>f</v>
      </c>
      <c r="AS26" s="6" t="str" cm="1">
        <f t="array" ref="AS26">_xlfn.XLOOKUP(TRUE, EXACT(Table2[[#This Row],[Y2]], Table9[orig]), Table9[char])</f>
        <v>f</v>
      </c>
      <c r="AT26" t="str" cm="1">
        <f t="array" ref="AT26">_xlfn.XLOOKUP(TRUE, EXACT(AR26, Table1[orig]), Table1[(Y)])</f>
        <v>l</v>
      </c>
      <c r="AU26" s="6" t="str" cm="1">
        <f t="array" ref="AU26">_xlfn.XLOOKUP(TRUE, EXACT(Table2[[#This Row],[Y'']], Table9[orig]), Table9[char])</f>
        <v>l</v>
      </c>
      <c r="AV26" t="str" cm="1">
        <f t="array" ref="AV26">_xlfn.XLOOKUP(TRUE, EXACT(Table2[[#This Row],[orig]], Table3[orig]), Table3[(Z)])</f>
        <v>b</v>
      </c>
      <c r="AW26" s="6" t="str" cm="1">
        <f t="array" ref="AW26">_xlfn.XLOOKUP(TRUE, EXACT(Table2[[#This Row],[Z]], Table9[orig]), Table9[char])</f>
        <v>b</v>
      </c>
      <c r="AX26" t="str" cm="1">
        <f t="array" ref="AX26">_xlfn.XLOOKUP(TRUE, EXACT(AV26, Table3[orig]), Table3[(Z)])</f>
        <v>b</v>
      </c>
      <c r="AY26" s="6" t="str" cm="1">
        <f t="array" ref="AY26">_xlfn.XLOOKUP(TRUE, EXACT(Table2[[#This Row],[Z2]], Table9[orig]), Table9[char])</f>
        <v>b</v>
      </c>
      <c r="AZ26" t="str" cm="1">
        <f t="array" ref="AZ26">_xlfn.XLOOKUP(TRUE, EXACT(AX26, Table3[orig]), Table3[(Z)])</f>
        <v>b</v>
      </c>
      <c r="BA26" s="6" t="str" cm="1">
        <f t="array" ref="BA26">_xlfn.XLOOKUP(TRUE, EXACT(Table2[[#This Row],[Z'']], Table9[orig]), Table9[char])</f>
        <v>b</v>
      </c>
      <c r="BB26" t="str" cm="1">
        <f t="array" ref="BB26">_xlfn.XLOOKUP(TRUE, EXACT(Table2[[#This Row],[orig]], Table5[orig]), Table5[(T-reflection)])</f>
        <v>b'</v>
      </c>
      <c r="BC26" s="6" t="str" cm="1">
        <f t="array" ref="BC26">_xlfn.XLOOKUP(TRUE, EXACT(Table2[[#This Row],[T-reflection]], Table9[orig]), Table9[char])</f>
        <v>&amp;</v>
      </c>
      <c r="BD26" t="str" cm="1">
        <f t="array" ref="BD26">_xlfn.XLOOKUP(TRUE, EXACT(Table2[[#This Row],[orig]], Table6[orig]), Table6[(H-reflection)])</f>
        <v>b'</v>
      </c>
      <c r="BE26" s="6" t="str" cm="1">
        <f t="array" ref="BE26">_xlfn.XLOOKUP(TRUE, EXACT(Table2[[#This Row],[H-reflection]], Table9[orig]), Table9[char])</f>
        <v>&amp;</v>
      </c>
      <c r="BF26" t="str" cm="1">
        <f t="array" ref="BF26">_xlfn.XLOOKUP(TRUE, EXACT(Table2[[#This Row],[orig]], Table7[orig]), Table7[(S-reflection)])</f>
        <v>f'</v>
      </c>
      <c r="BG26" s="6" t="str" cm="1">
        <f t="array" ref="BG26">_xlfn.XLOOKUP(TRUE, EXACT(Table2[[#This Row],[S-reflection]], Table9[orig]), Table9[char])</f>
        <v>q</v>
      </c>
    </row>
    <row r="27" spans="1:118" x14ac:dyDescent="0.2">
      <c r="B27" s="7" t="s">
        <v>30</v>
      </c>
      <c r="C27" s="7" t="s">
        <v>30</v>
      </c>
      <c r="D27" s="1">
        <f>CODE(Table9[[#This Row],[char]])</f>
        <v>66</v>
      </c>
      <c r="E27" t="s">
        <v>89</v>
      </c>
      <c r="F27" t="str" cm="1">
        <f t="array" ref="F27">_xlfn.XLOOKUP(TRUE, EXACT(Table9[[#This Row],[inverse]], Table9[orig]), Table9[char])</f>
        <v>@</v>
      </c>
      <c r="G27">
        <f>CODE(Table9[[#This Row],[inv char]])</f>
        <v>64</v>
      </c>
      <c r="H27" t="s">
        <v>69</v>
      </c>
      <c r="I27" t="str" cm="1">
        <f t="array" ref="I27">_xlfn.XLOOKUP(TRUE, EXACT(Table9[[#This Row],[Complement]], Table9[orig]), Table9[char])</f>
        <v>f</v>
      </c>
      <c r="J27" t="s">
        <v>9</v>
      </c>
      <c r="K27" t="str">
        <f>Table9[[#This Row],[orig]] &amp; " "</f>
        <v xml:space="preserve">B </v>
      </c>
      <c r="N27" t="s">
        <v>30</v>
      </c>
      <c r="O27" t="s">
        <v>32</v>
      </c>
      <c r="Q27" t="s">
        <v>30</v>
      </c>
      <c r="R27" t="s">
        <v>18</v>
      </c>
      <c r="T27" t="s">
        <v>30</v>
      </c>
      <c r="U27" t="s">
        <v>30</v>
      </c>
      <c r="W27" t="s">
        <v>30</v>
      </c>
      <c r="X27" t="s">
        <v>89</v>
      </c>
      <c r="Z27" t="s">
        <v>30</v>
      </c>
      <c r="AA27" t="s">
        <v>89</v>
      </c>
      <c r="AC27" t="s">
        <v>30</v>
      </c>
      <c r="AD27" t="s">
        <v>78</v>
      </c>
      <c r="AH27" t="str">
        <f t="shared" si="0"/>
        <v>B</v>
      </c>
      <c r="AI27" s="6" t="str" cm="1">
        <f t="array" ref="AI27">_xlfn.XLOOKUP(TRUE, EXACT(Table2[[#This Row],[orig]], Table9[orig]), Table9[char])</f>
        <v>B</v>
      </c>
      <c r="AJ27" t="str" cm="1">
        <f t="array" ref="AJ27">_xlfn.XLOOKUP(TRUE, EXACT(Table2[[#This Row],[orig]], Table4[orig]), Table4[(X)])</f>
        <v>D</v>
      </c>
      <c r="AK27" s="6" t="str" cm="1">
        <f t="array" ref="AK27">_xlfn.XLOOKUP(TRUE, EXACT(Table2[[#This Row],[X]], Table9[orig]), Table9[char])</f>
        <v>D</v>
      </c>
      <c r="AL27" t="str" cm="1">
        <f t="array" ref="AL27">_xlfn.XLOOKUP(TRUE, EXACT(AJ27, Table4[orig]), Table4[(X)])</f>
        <v>F</v>
      </c>
      <c r="AM27" s="6" t="str" cm="1">
        <f t="array" ref="AM27">_xlfn.XLOOKUP(TRUE, EXACT(Table2[[#This Row],[X2]], Table9[orig]), Table9[char])</f>
        <v>F</v>
      </c>
      <c r="AN27" t="str" cm="1">
        <f t="array" ref="AN27">_xlfn.XLOOKUP(TRUE, EXACT(AL27, Table4[orig]), Table4[(X)])</f>
        <v>U</v>
      </c>
      <c r="AO27" s="6" t="str" cm="1">
        <f t="array" ref="AO27">_xlfn.XLOOKUP(TRUE, EXACT(Table2[[#This Row],[X'']], Table9[orig]), Table9[char])</f>
        <v>U</v>
      </c>
      <c r="AP27" t="str" cm="1">
        <f t="array" ref="AP27">_xlfn.XLOOKUP(TRUE, EXACT(AH27, Table1[orig]), Table1[(Y)])</f>
        <v>R</v>
      </c>
      <c r="AQ27" s="6" t="str" cm="1">
        <f t="array" ref="AQ27">_xlfn.XLOOKUP(TRUE, EXACT(Table2[[#This Row],[Y]], Table9[orig]), Table9[char])</f>
        <v>R</v>
      </c>
      <c r="AR27" t="str" cm="1">
        <f t="array" ref="AR27">_xlfn.XLOOKUP(TRUE, EXACT(AP27, Table1[orig]), Table1[(Y)])</f>
        <v>F</v>
      </c>
      <c r="AS27" s="6" t="str" cm="1">
        <f t="array" ref="AS27">_xlfn.XLOOKUP(TRUE, EXACT(Table2[[#This Row],[Y2]], Table9[orig]), Table9[char])</f>
        <v>F</v>
      </c>
      <c r="AT27" t="str" cm="1">
        <f t="array" ref="AT27">_xlfn.XLOOKUP(TRUE, EXACT(AR27, Table1[orig]), Table1[(Y)])</f>
        <v>L</v>
      </c>
      <c r="AU27" s="6" t="str" cm="1">
        <f t="array" ref="AU27">_xlfn.XLOOKUP(TRUE, EXACT(Table2[[#This Row],[Y'']], Table9[orig]), Table9[char])</f>
        <v>L</v>
      </c>
      <c r="AV27" t="str" cm="1">
        <f t="array" ref="AV27">_xlfn.XLOOKUP(TRUE, EXACT(Table2[[#This Row],[orig]], Table3[orig]), Table3[(Z)])</f>
        <v>B</v>
      </c>
      <c r="AW27" s="6" t="str" cm="1">
        <f t="array" ref="AW27">_xlfn.XLOOKUP(TRUE, EXACT(Table2[[#This Row],[Z]], Table9[orig]), Table9[char])</f>
        <v>B</v>
      </c>
      <c r="AX27" t="str" cm="1">
        <f t="array" ref="AX27">_xlfn.XLOOKUP(TRUE, EXACT(AV27, Table3[orig]), Table3[(Z)])</f>
        <v>B</v>
      </c>
      <c r="AY27" s="6" t="str" cm="1">
        <f t="array" ref="AY27">_xlfn.XLOOKUP(TRUE, EXACT(Table2[[#This Row],[Z2]], Table9[orig]), Table9[char])</f>
        <v>B</v>
      </c>
      <c r="AZ27" t="str" cm="1">
        <f t="array" ref="AZ27">_xlfn.XLOOKUP(TRUE, EXACT(AX27, Table3[orig]), Table3[(Z)])</f>
        <v>B</v>
      </c>
      <c r="BA27" s="6" t="str" cm="1">
        <f t="array" ref="BA27">_xlfn.XLOOKUP(TRUE, EXACT(Table2[[#This Row],[Z'']], Table9[orig]), Table9[char])</f>
        <v>B</v>
      </c>
      <c r="BB27" t="str" cm="1">
        <f t="array" ref="BB27">_xlfn.XLOOKUP(TRUE, EXACT(Table2[[#This Row],[orig]], Table5[orig]), Table5[(T-reflection)])</f>
        <v>B'</v>
      </c>
      <c r="BC27" s="6" t="str" cm="1">
        <f t="array" ref="BC27">_xlfn.XLOOKUP(TRUE, EXACT(Table2[[#This Row],[T-reflection]], Table9[orig]), Table9[char])</f>
        <v>@</v>
      </c>
      <c r="BD27" t="str" cm="1">
        <f t="array" ref="BD27">_xlfn.XLOOKUP(TRUE, EXACT(Table2[[#This Row],[orig]], Table6[orig]), Table6[(H-reflection)])</f>
        <v>B'</v>
      </c>
      <c r="BE27" s="6" t="str" cm="1">
        <f t="array" ref="BE27">_xlfn.XLOOKUP(TRUE, EXACT(Table2[[#This Row],[H-reflection]], Table9[orig]), Table9[char])</f>
        <v>@</v>
      </c>
      <c r="BF27" t="str" cm="1">
        <f t="array" ref="BF27">_xlfn.XLOOKUP(TRUE, EXACT(Table2[[#This Row],[orig]], Table7[orig]), Table7[(S-reflection)])</f>
        <v>F'</v>
      </c>
      <c r="BG27" s="6" t="str" cm="1">
        <f t="array" ref="BG27">_xlfn.XLOOKUP(TRUE, EXACT(Table2[[#This Row],[S-reflection]], Table9[orig]), Table9[char])</f>
        <v>Q</v>
      </c>
    </row>
    <row r="28" spans="1:118" s="3" customFormat="1" x14ac:dyDescent="0.2">
      <c r="A28"/>
      <c r="B28" s="3" t="s">
        <v>8</v>
      </c>
      <c r="C28" s="3" t="s">
        <v>8</v>
      </c>
      <c r="D28" s="11">
        <f>CODE(Table9[[#This Row],[char]])</f>
        <v>90</v>
      </c>
      <c r="E28" s="3" t="s">
        <v>9</v>
      </c>
      <c r="F28" s="3" t="str" cm="1">
        <f t="array" ref="F28">_xlfn.XLOOKUP(TRUE, EXACT(Table9[[#This Row],[inverse]], Table9[orig]), Table9[char])</f>
        <v>#</v>
      </c>
      <c r="G28" s="3">
        <f>CODE(Table9[[#This Row],[inv char]])</f>
        <v>35</v>
      </c>
      <c r="H28" s="3">
        <v>0</v>
      </c>
      <c r="I28" s="3">
        <v>0</v>
      </c>
      <c r="J28" s="3" t="s">
        <v>8</v>
      </c>
      <c r="K28" t="str">
        <f>Table9[[#This Row],[orig]] &amp; " "</f>
        <v xml:space="preserve">Z </v>
      </c>
      <c r="L28"/>
      <c r="N28" s="3" t="s">
        <v>8</v>
      </c>
      <c r="O28" s="3" t="s">
        <v>5</v>
      </c>
      <c r="P28"/>
      <c r="Q28" s="3" t="s">
        <v>8</v>
      </c>
      <c r="R28" s="3" t="s">
        <v>3</v>
      </c>
      <c r="S28"/>
      <c r="T28" s="3" t="s">
        <v>8</v>
      </c>
      <c r="U28" s="3" t="s">
        <v>8</v>
      </c>
      <c r="V28"/>
      <c r="W28" s="3" t="s">
        <v>8</v>
      </c>
      <c r="X28" s="3" t="s">
        <v>9</v>
      </c>
      <c r="Y28"/>
      <c r="Z28" s="3" t="s">
        <v>8</v>
      </c>
      <c r="AA28" s="3" t="s">
        <v>9</v>
      </c>
      <c r="AB28"/>
      <c r="AC28" s="3" t="s">
        <v>8</v>
      </c>
      <c r="AD28" s="3" t="s">
        <v>8</v>
      </c>
      <c r="AE28"/>
      <c r="AF28"/>
      <c r="AG28"/>
      <c r="AH28" s="3" t="str">
        <f t="shared" si="0"/>
        <v>Z</v>
      </c>
      <c r="AI28" s="9" t="str" cm="1">
        <f t="array" ref="AI28">_xlfn.XLOOKUP(TRUE, EXACT(Table2[[#This Row],[orig]], Table9[orig]), Table9[char])</f>
        <v>Z</v>
      </c>
      <c r="AJ28" s="3" t="str" cm="1">
        <f t="array" ref="AJ28">_xlfn.XLOOKUP(TRUE, EXACT(Table2[[#This Row],[orig]], Table4[orig]), Table4[(X)])</f>
        <v>Y</v>
      </c>
      <c r="AK28" s="9" t="str" cm="1">
        <f t="array" ref="AK28">_xlfn.XLOOKUP(TRUE, EXACT(Table2[[#This Row],[X]], Table9[orig]), Table9[char])</f>
        <v>Y</v>
      </c>
      <c r="AL28" s="3" t="str" cm="1">
        <f t="array" ref="AL28">_xlfn.XLOOKUP(TRUE, EXACT(AJ28, Table4[orig]), Table4[(X)])</f>
        <v>Z'</v>
      </c>
      <c r="AM28" s="9" t="str" cm="1">
        <f t="array" ref="AM28">_xlfn.XLOOKUP(TRUE, EXACT(Table2[[#This Row],[X2]], Table9[orig]), Table9[char])</f>
        <v>#</v>
      </c>
      <c r="AN28" s="3" t="str" cm="1">
        <f t="array" ref="AN28">_xlfn.XLOOKUP(TRUE, EXACT(AL28, Table4[orig]), Table4[(X)])</f>
        <v>Y'</v>
      </c>
      <c r="AO28" s="9" t="str" cm="1">
        <f t="array" ref="AO28">_xlfn.XLOOKUP(TRUE, EXACT(Table2[[#This Row],[X'']], Table9[orig]), Table9[char])</f>
        <v>p</v>
      </c>
      <c r="AP28" s="3" t="str" cm="1">
        <f t="array" ref="AP28">_xlfn.XLOOKUP(TRUE, EXACT(AH28, Table1[orig]), Table1[(Y)])</f>
        <v>X'</v>
      </c>
      <c r="AQ28" s="9" t="str" cm="1">
        <f t="array" ref="AQ28">_xlfn.XLOOKUP(TRUE, EXACT(Table2[[#This Row],[Y]], Table9[orig]), Table9[char])</f>
        <v>!</v>
      </c>
      <c r="AR28" s="3" t="str" cm="1">
        <f t="array" ref="AR28">_xlfn.XLOOKUP(TRUE, EXACT(AP28, Table1[orig]), Table1[(Y)])</f>
        <v>Z'</v>
      </c>
      <c r="AS28" s="9" t="str" cm="1">
        <f t="array" ref="AS28">_xlfn.XLOOKUP(TRUE, EXACT(Table2[[#This Row],[Y2]], Table9[orig]), Table9[char])</f>
        <v>#</v>
      </c>
      <c r="AT28" s="3" t="str" cm="1">
        <f t="array" ref="AT28">_xlfn.XLOOKUP(TRUE, EXACT(AR28, Table1[orig]), Table1[(Y)])</f>
        <v>X</v>
      </c>
      <c r="AU28" s="9" t="str" cm="1">
        <f t="array" ref="AU28">_xlfn.XLOOKUP(TRUE, EXACT(Table2[[#This Row],[Y'']], Table9[orig]), Table9[char])</f>
        <v>X</v>
      </c>
      <c r="AV28" s="3" t="str" cm="1">
        <f t="array" ref="AV28">_xlfn.XLOOKUP(TRUE, EXACT(Table2[[#This Row],[orig]], Table3[orig]), Table3[(Z)])</f>
        <v>Z</v>
      </c>
      <c r="AW28" s="9" t="str" cm="1">
        <f t="array" ref="AW28">_xlfn.XLOOKUP(TRUE, EXACT(Table2[[#This Row],[Z]], Table9[orig]), Table9[char])</f>
        <v>Z</v>
      </c>
      <c r="AX28" s="3" t="str" cm="1">
        <f t="array" ref="AX28">_xlfn.XLOOKUP(TRUE, EXACT(AV28, Table3[orig]), Table3[(Z)])</f>
        <v>Z</v>
      </c>
      <c r="AY28" s="9" t="str" cm="1">
        <f t="array" ref="AY28">_xlfn.XLOOKUP(TRUE, EXACT(Table2[[#This Row],[Z2]], Table9[orig]), Table9[char])</f>
        <v>Z</v>
      </c>
      <c r="AZ28" s="3" t="str" cm="1">
        <f t="array" ref="AZ28">_xlfn.XLOOKUP(TRUE, EXACT(AX28, Table3[orig]), Table3[(Z)])</f>
        <v>Z</v>
      </c>
      <c r="BA28" s="9" t="str" cm="1">
        <f t="array" ref="BA28">_xlfn.XLOOKUP(TRUE, EXACT(Table2[[#This Row],[Z'']], Table9[orig]), Table9[char])</f>
        <v>Z</v>
      </c>
      <c r="BB28" s="3" t="str" cm="1">
        <f t="array" ref="BB28">_xlfn.XLOOKUP(TRUE, EXACT(Table2[[#This Row],[orig]], Table5[orig]), Table5[(T-reflection)])</f>
        <v>Z'</v>
      </c>
      <c r="BC28" s="9" t="str" cm="1">
        <f t="array" ref="BC28">_xlfn.XLOOKUP(TRUE, EXACT(Table2[[#This Row],[T-reflection]], Table9[orig]), Table9[char])</f>
        <v>#</v>
      </c>
      <c r="BD28" s="3" t="str" cm="1">
        <f t="array" ref="BD28">_xlfn.XLOOKUP(TRUE, EXACT(Table2[[#This Row],[orig]], Table6[orig]), Table6[(H-reflection)])</f>
        <v>Z'</v>
      </c>
      <c r="BE28" s="9" t="str" cm="1">
        <f t="array" ref="BE28">_xlfn.XLOOKUP(TRUE, EXACT(Table2[[#This Row],[H-reflection]], Table9[orig]), Table9[char])</f>
        <v>#</v>
      </c>
      <c r="BF28" s="3" t="str" cm="1">
        <f t="array" ref="BF28">_xlfn.XLOOKUP(TRUE, EXACT(Table2[[#This Row],[orig]], Table7[orig]), Table7[(S-reflection)])</f>
        <v>Z</v>
      </c>
      <c r="BG28" s="6" t="str" cm="1">
        <f t="array" ref="BG28">_xlfn.XLOOKUP(TRUE, EXACT(Table2[[#This Row],[S-reflection]], Table9[orig]), Table9[char])</f>
        <v>Z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</row>
    <row r="29" spans="1:118" x14ac:dyDescent="0.2">
      <c r="B29" s="7" t="s">
        <v>78</v>
      </c>
      <c r="C29" s="7" t="s">
        <v>113</v>
      </c>
      <c r="D29" s="1">
        <f>CODE(Table9[[#This Row],[char]])</f>
        <v>81</v>
      </c>
      <c r="E29" t="s">
        <v>66</v>
      </c>
      <c r="F29" t="str" cm="1">
        <f t="array" ref="F29">_xlfn.XLOOKUP(TRUE, EXACT(Table9[[#This Row],[inverse]], Table9[orig]), Table9[char])</f>
        <v>F</v>
      </c>
      <c r="G29">
        <f>CODE(Table9[[#This Row],[inv char]])</f>
        <v>70</v>
      </c>
      <c r="H29" t="s">
        <v>86</v>
      </c>
      <c r="I29" t="str" cm="1">
        <f t="array" ref="I29">_xlfn.XLOOKUP(TRUE, EXACT(Table9[[#This Row],[Complement]], Table9[orig]), Table9[char])</f>
        <v>&amp;</v>
      </c>
      <c r="J29" t="s">
        <v>9</v>
      </c>
      <c r="K29" t="str">
        <f>Table9[[#This Row],[orig]] &amp; " "</f>
        <v xml:space="preserve">F' </v>
      </c>
      <c r="N29" t="s">
        <v>78</v>
      </c>
      <c r="O29" t="s">
        <v>90</v>
      </c>
      <c r="Q29" t="s">
        <v>78</v>
      </c>
      <c r="R29" t="s">
        <v>19</v>
      </c>
      <c r="T29" t="s">
        <v>78</v>
      </c>
      <c r="U29" t="s">
        <v>78</v>
      </c>
      <c r="W29" t="s">
        <v>78</v>
      </c>
      <c r="X29" t="s">
        <v>66</v>
      </c>
      <c r="Z29" t="s">
        <v>78</v>
      </c>
      <c r="AA29" t="s">
        <v>66</v>
      </c>
      <c r="AC29" t="s">
        <v>78</v>
      </c>
      <c r="AD29" t="s">
        <v>30</v>
      </c>
      <c r="AH29" t="str">
        <f t="shared" si="0"/>
        <v>F'</v>
      </c>
      <c r="AI29" s="6" t="str" cm="1">
        <f t="array" ref="AI29">_xlfn.XLOOKUP(TRUE, EXACT(Table2[[#This Row],[orig]], Table9[orig]), Table9[char])</f>
        <v>Q</v>
      </c>
      <c r="AJ29" t="str" cm="1">
        <f t="array" ref="AJ29">_xlfn.XLOOKUP(TRUE, EXACT(Table2[[#This Row],[orig]], Table4[orig]), Table4[(X)])</f>
        <v>U'</v>
      </c>
      <c r="AK29" s="6" t="str" cm="1">
        <f t="array" ref="AK29">_xlfn.XLOOKUP(TRUE, EXACT(Table2[[#This Row],[X]], Table9[orig]), Table9[char])</f>
        <v>.</v>
      </c>
      <c r="AL29" t="str" cm="1">
        <f t="array" ref="AL29">_xlfn.XLOOKUP(TRUE, EXACT(AJ29, Table4[orig]), Table4[(X)])</f>
        <v>B'</v>
      </c>
      <c r="AM29" s="6" t="str" cm="1">
        <f t="array" ref="AM29">_xlfn.XLOOKUP(TRUE, EXACT(Table2[[#This Row],[X2]], Table9[orig]), Table9[char])</f>
        <v>@</v>
      </c>
      <c r="AN29" t="str" cm="1">
        <f t="array" ref="AN29">_xlfn.XLOOKUP(TRUE, EXACT(AL29, Table4[orig]), Table4[(X)])</f>
        <v>D'</v>
      </c>
      <c r="AO29" s="6" t="str" cm="1">
        <f t="array" ref="AO29">_xlfn.XLOOKUP(TRUE, EXACT(Table2[[#This Row],[X'']], Table9[orig]), Table9[char])</f>
        <v>%</v>
      </c>
      <c r="AP29" t="str" cm="1">
        <f t="array" ref="AP29">_xlfn.XLOOKUP(TRUE, EXACT(AH29, Table1[orig]), Table1[(Y)])</f>
        <v>L'</v>
      </c>
      <c r="AQ29" s="6" t="str" cm="1">
        <f t="array" ref="AQ29">_xlfn.XLOOKUP(TRUE, EXACT(Table2[[#This Row],[Y]], Table9[orig]), Table9[char])</f>
        <v>G</v>
      </c>
      <c r="AR29" t="str" cm="1">
        <f t="array" ref="AR29">_xlfn.XLOOKUP(TRUE, EXACT(AP29, Table1[orig]), Table1[(Y)])</f>
        <v>B'</v>
      </c>
      <c r="AS29" s="6" t="str" cm="1">
        <f t="array" ref="AS29">_xlfn.XLOOKUP(TRUE, EXACT(Table2[[#This Row],[Y2]], Table9[orig]), Table9[char])</f>
        <v>@</v>
      </c>
      <c r="AT29" t="str" cm="1">
        <f t="array" ref="AT29">_xlfn.XLOOKUP(TRUE, EXACT(AR29, Table1[orig]), Table1[(Y)])</f>
        <v>R'</v>
      </c>
      <c r="AU29" s="6" t="str" cm="1">
        <f t="array" ref="AU29">_xlfn.XLOOKUP(TRUE, EXACT(Table2[[#This Row],[Y'']], Table9[orig]), Table9[char])</f>
        <v>A</v>
      </c>
      <c r="AV29" t="str" cm="1">
        <f t="array" ref="AV29">_xlfn.XLOOKUP(TRUE, EXACT(Table2[[#This Row],[orig]], Table3[orig]), Table3[(Z)])</f>
        <v>F'</v>
      </c>
      <c r="AW29" s="6" t="str" cm="1">
        <f t="array" ref="AW29">_xlfn.XLOOKUP(TRUE, EXACT(Table2[[#This Row],[Z]], Table9[orig]), Table9[char])</f>
        <v>Q</v>
      </c>
      <c r="AX29" t="str" cm="1">
        <f t="array" ref="AX29">_xlfn.XLOOKUP(TRUE, EXACT(AV29, Table3[orig]), Table3[(Z)])</f>
        <v>F'</v>
      </c>
      <c r="AY29" s="6" t="str" cm="1">
        <f t="array" ref="AY29">_xlfn.XLOOKUP(TRUE, EXACT(Table2[[#This Row],[Z2]], Table9[orig]), Table9[char])</f>
        <v>Q</v>
      </c>
      <c r="AZ29" t="str" cm="1">
        <f t="array" ref="AZ29">_xlfn.XLOOKUP(TRUE, EXACT(AX29, Table3[orig]), Table3[(Z)])</f>
        <v>F'</v>
      </c>
      <c r="BA29" s="6" t="str" cm="1">
        <f t="array" ref="BA29">_xlfn.XLOOKUP(TRUE, EXACT(Table2[[#This Row],[Z'']], Table9[orig]), Table9[char])</f>
        <v>Q</v>
      </c>
      <c r="BB29" t="str" cm="1">
        <f t="array" ref="BB29">_xlfn.XLOOKUP(TRUE, EXACT(Table2[[#This Row],[orig]], Table5[orig]), Table5[(T-reflection)])</f>
        <v>F</v>
      </c>
      <c r="BC29" s="6" t="str" cm="1">
        <f t="array" ref="BC29">_xlfn.XLOOKUP(TRUE, EXACT(Table2[[#This Row],[T-reflection]], Table9[orig]), Table9[char])</f>
        <v>F</v>
      </c>
      <c r="BD29" t="str" cm="1">
        <f t="array" ref="BD29">_xlfn.XLOOKUP(TRUE, EXACT(Table2[[#This Row],[orig]], Table6[orig]), Table6[(H-reflection)])</f>
        <v>F</v>
      </c>
      <c r="BE29" s="6" t="str" cm="1">
        <f t="array" ref="BE29">_xlfn.XLOOKUP(TRUE, EXACT(Table2[[#This Row],[H-reflection]], Table9[orig]), Table9[char])</f>
        <v>F</v>
      </c>
      <c r="BF29" t="str" cm="1">
        <f t="array" ref="BF29">_xlfn.XLOOKUP(TRUE, EXACT(Table2[[#This Row],[orig]], Table7[orig]), Table7[(S-reflection)])</f>
        <v>B</v>
      </c>
      <c r="BG29" s="6" t="str" cm="1">
        <f t="array" ref="BG29">_xlfn.XLOOKUP(TRUE, EXACT(Table2[[#This Row],[S-reflection]], Table9[orig]), Table9[char])</f>
        <v>B</v>
      </c>
    </row>
    <row r="30" spans="1:118" x14ac:dyDescent="0.2">
      <c r="B30" t="s">
        <v>80</v>
      </c>
      <c r="C30" t="s">
        <v>114</v>
      </c>
      <c r="D30" s="1">
        <f>CODE(Table9[[#This Row],[char]])</f>
        <v>113</v>
      </c>
      <c r="E30" t="s">
        <v>69</v>
      </c>
      <c r="F30" t="str" cm="1">
        <f t="array" ref="F30">_xlfn.XLOOKUP(TRUE, EXACT(Table9[[#This Row],[inverse]], Table9[orig]), Table9[char])</f>
        <v>f</v>
      </c>
      <c r="G30">
        <f>CODE(Table9[[#This Row],[inv char]])</f>
        <v>102</v>
      </c>
      <c r="H30" t="s">
        <v>89</v>
      </c>
      <c r="I30" t="str" cm="1">
        <f t="array" ref="I30">_xlfn.XLOOKUP(TRUE, EXACT(Table9[[#This Row],[Complement]], Table9[orig]), Table9[char])</f>
        <v>@</v>
      </c>
      <c r="J30" t="s">
        <v>9</v>
      </c>
      <c r="K30" t="str">
        <f>Table9[[#This Row],[orig]] &amp; " "</f>
        <v xml:space="preserve">f' </v>
      </c>
      <c r="N30" t="s">
        <v>80</v>
      </c>
      <c r="O30" t="s">
        <v>87</v>
      </c>
      <c r="Q30" t="s">
        <v>80</v>
      </c>
      <c r="R30" t="s">
        <v>70</v>
      </c>
      <c r="T30" t="s">
        <v>80</v>
      </c>
      <c r="U30" t="s">
        <v>80</v>
      </c>
      <c r="W30" t="s">
        <v>80</v>
      </c>
      <c r="X30" t="s">
        <v>69</v>
      </c>
      <c r="Z30" t="s">
        <v>80</v>
      </c>
      <c r="AA30" t="s">
        <v>69</v>
      </c>
      <c r="AC30" t="s">
        <v>80</v>
      </c>
      <c r="AD30" t="s">
        <v>25</v>
      </c>
      <c r="AH30" t="str">
        <f t="shared" si="0"/>
        <v>f'</v>
      </c>
      <c r="AI30" s="6" t="str" cm="1">
        <f t="array" ref="AI30">_xlfn.XLOOKUP(TRUE, EXACT(Table2[[#This Row],[orig]], Table9[orig]), Table9[char])</f>
        <v>q</v>
      </c>
      <c r="AJ30" t="str" cm="1">
        <f t="array" ref="AJ30">_xlfn.XLOOKUP(TRUE, EXACT(Table2[[#This Row],[orig]], Table4[orig]), Table4[(X)])</f>
        <v>u'</v>
      </c>
      <c r="AK30" s="6" t="str" cm="1">
        <f t="array" ref="AK30">_xlfn.XLOOKUP(TRUE, EXACT(Table2[[#This Row],[X]], Table9[orig]), Table9[char])</f>
        <v>-</v>
      </c>
      <c r="AL30" t="str" cm="1">
        <f t="array" ref="AL30">_xlfn.XLOOKUP(TRUE, EXACT(AJ30, Table4[orig]), Table4[(X)])</f>
        <v>b'</v>
      </c>
      <c r="AM30" s="6" t="str" cm="1">
        <f t="array" ref="AM30">_xlfn.XLOOKUP(TRUE, EXACT(Table2[[#This Row],[X2]], Table9[orig]), Table9[char])</f>
        <v>&amp;</v>
      </c>
      <c r="AN30" t="str" cm="1">
        <f t="array" ref="AN30">_xlfn.XLOOKUP(TRUE, EXACT(AL30, Table4[orig]), Table4[(X)])</f>
        <v>d'</v>
      </c>
      <c r="AO30" s="6" t="str" cm="1">
        <f t="array" ref="AO30">_xlfn.XLOOKUP(TRUE, EXACT(Table2[[#This Row],[X'']], Table9[orig]), Table9[char])</f>
        <v>k</v>
      </c>
      <c r="AP30" t="str" cm="1">
        <f t="array" ref="AP30">_xlfn.XLOOKUP(TRUE, EXACT(AH30, Table1[orig]), Table1[(Y)])</f>
        <v>l'</v>
      </c>
      <c r="AQ30" s="6" t="str" cm="1">
        <f t="array" ref="AQ30">_xlfn.XLOOKUP(TRUE, EXACT(Table2[[#This Row],[Y]], Table9[orig]), Table9[char])</f>
        <v>g</v>
      </c>
      <c r="AR30" t="str" cm="1">
        <f t="array" ref="AR30">_xlfn.XLOOKUP(TRUE, EXACT(AP30, Table1[orig]), Table1[(Y)])</f>
        <v>b'</v>
      </c>
      <c r="AS30" s="6" t="str" cm="1">
        <f t="array" ref="AS30">_xlfn.XLOOKUP(TRUE, EXACT(Table2[[#This Row],[Y2]], Table9[orig]), Table9[char])</f>
        <v>&amp;</v>
      </c>
      <c r="AT30" t="str" cm="1">
        <f t="array" ref="AT30">_xlfn.XLOOKUP(TRUE, EXACT(AR30, Table1[orig]), Table1[(Y)])</f>
        <v>r'</v>
      </c>
      <c r="AU30" s="6" t="str" cm="1">
        <f t="array" ref="AU30">_xlfn.XLOOKUP(TRUE, EXACT(Table2[[#This Row],[Y'']], Table9[orig]), Table9[char])</f>
        <v>a</v>
      </c>
      <c r="AV30" t="str" cm="1">
        <f t="array" ref="AV30">_xlfn.XLOOKUP(TRUE, EXACT(Table2[[#This Row],[orig]], Table3[orig]), Table3[(Z)])</f>
        <v>f'</v>
      </c>
      <c r="AW30" s="6" t="str" cm="1">
        <f t="array" ref="AW30">_xlfn.XLOOKUP(TRUE, EXACT(Table2[[#This Row],[Z]], Table9[orig]), Table9[char])</f>
        <v>q</v>
      </c>
      <c r="AX30" t="str" cm="1">
        <f t="array" ref="AX30">_xlfn.XLOOKUP(TRUE, EXACT(AV30, Table3[orig]), Table3[(Z)])</f>
        <v>f'</v>
      </c>
      <c r="AY30" s="6" t="str" cm="1">
        <f t="array" ref="AY30">_xlfn.XLOOKUP(TRUE, EXACT(Table2[[#This Row],[Z2]], Table9[orig]), Table9[char])</f>
        <v>q</v>
      </c>
      <c r="AZ30" t="str" cm="1">
        <f t="array" ref="AZ30">_xlfn.XLOOKUP(TRUE, EXACT(AX30, Table3[orig]), Table3[(Z)])</f>
        <v>f'</v>
      </c>
      <c r="BA30" s="6" t="str" cm="1">
        <f t="array" ref="BA30">_xlfn.XLOOKUP(TRUE, EXACT(Table2[[#This Row],[Z'']], Table9[orig]), Table9[char])</f>
        <v>q</v>
      </c>
      <c r="BB30" t="str" cm="1">
        <f t="array" ref="BB30">_xlfn.XLOOKUP(TRUE, EXACT(Table2[[#This Row],[orig]], Table5[orig]), Table5[(T-reflection)])</f>
        <v>f</v>
      </c>
      <c r="BC30" s="6" t="str" cm="1">
        <f t="array" ref="BC30">_xlfn.XLOOKUP(TRUE, EXACT(Table2[[#This Row],[T-reflection]], Table9[orig]), Table9[char])</f>
        <v>f</v>
      </c>
      <c r="BD30" t="str" cm="1">
        <f t="array" ref="BD30">_xlfn.XLOOKUP(TRUE, EXACT(Table2[[#This Row],[orig]], Table6[orig]), Table6[(H-reflection)])</f>
        <v>f</v>
      </c>
      <c r="BE30" s="6" t="str" cm="1">
        <f t="array" ref="BE30">_xlfn.XLOOKUP(TRUE, EXACT(Table2[[#This Row],[H-reflection]], Table9[orig]), Table9[char])</f>
        <v>f</v>
      </c>
      <c r="BF30" t="str" cm="1">
        <f t="array" ref="BF30">_xlfn.XLOOKUP(TRUE, EXACT(Table2[[#This Row],[orig]], Table7[orig]), Table7[(S-reflection)])</f>
        <v>b</v>
      </c>
      <c r="BG30" s="6" t="str" cm="1">
        <f t="array" ref="BG30">_xlfn.XLOOKUP(TRUE, EXACT(Table2[[#This Row],[S-reflection]], Table9[orig]), Table9[char])</f>
        <v>b</v>
      </c>
    </row>
    <row r="31" spans="1:118" x14ac:dyDescent="0.2">
      <c r="B31" s="7" t="s">
        <v>83</v>
      </c>
      <c r="C31" s="7" t="s">
        <v>115</v>
      </c>
      <c r="D31" s="1">
        <f>CODE(Table9[[#This Row],[char]])</f>
        <v>86</v>
      </c>
      <c r="E31" t="s">
        <v>74</v>
      </c>
      <c r="F31" t="str" cm="1">
        <f t="array" ref="F31">_xlfn.XLOOKUP(TRUE, EXACT(Table9[[#This Row],[inverse]], Table9[orig]), Table9[char])</f>
        <v>S</v>
      </c>
      <c r="G31">
        <f>CODE(Table9[[#This Row],[inv char]])</f>
        <v>83</v>
      </c>
      <c r="H31" t="s">
        <v>116</v>
      </c>
      <c r="I31" t="str" cm="1">
        <f t="array" ref="I31">_xlfn.CONCAT(_xlfn.XLOOKUP(TRUE, EXACT(B23, Table9[orig]), Table9[char]), _xlfn.XLOOKUP(TRUE, EXACT(B33, Table9[orig]), Table9[char]))</f>
        <v>F@</v>
      </c>
      <c r="J31" t="s">
        <v>9</v>
      </c>
      <c r="K31" t="str">
        <f>Table9[[#This Row],[orig]] &amp; " "</f>
        <v xml:space="preserve">S' </v>
      </c>
      <c r="N31" t="s">
        <v>83</v>
      </c>
      <c r="O31" t="s">
        <v>75</v>
      </c>
      <c r="Q31" t="s">
        <v>83</v>
      </c>
      <c r="R31" t="s">
        <v>71</v>
      </c>
      <c r="T31" t="s">
        <v>83</v>
      </c>
      <c r="U31" t="s">
        <v>83</v>
      </c>
      <c r="W31" t="s">
        <v>83</v>
      </c>
      <c r="X31" t="s">
        <v>74</v>
      </c>
      <c r="Z31" t="s">
        <v>83</v>
      </c>
      <c r="AA31" t="s">
        <v>74</v>
      </c>
      <c r="AC31" t="s">
        <v>83</v>
      </c>
      <c r="AD31" t="s">
        <v>83</v>
      </c>
      <c r="AH31" t="str">
        <f t="shared" si="0"/>
        <v>S'</v>
      </c>
      <c r="AI31" s="6" t="str" cm="1">
        <f t="array" ref="AI31">_xlfn.XLOOKUP(TRUE, EXACT(Table2[[#This Row],[orig]], Table9[orig]), Table9[char])</f>
        <v>V</v>
      </c>
      <c r="AJ31" t="str" cm="1">
        <f t="array" ref="AJ31">_xlfn.XLOOKUP(TRUE, EXACT(Table2[[#This Row],[orig]], Table4[orig]), Table4[(X)])</f>
        <v>H'</v>
      </c>
      <c r="AK31" s="6" t="str" cm="1">
        <f t="array" ref="AK31">_xlfn.XLOOKUP(TRUE, EXACT(Table2[[#This Row],[X]], Table9[orig]), Table9[char])</f>
        <v>+</v>
      </c>
      <c r="AL31" t="str" cm="1">
        <f t="array" ref="AL31">_xlfn.XLOOKUP(TRUE, EXACT(AJ31, Table4[orig]), Table4[(X)])</f>
        <v>S</v>
      </c>
      <c r="AM31" s="6" t="str" cm="1">
        <f t="array" ref="AM31">_xlfn.XLOOKUP(TRUE, EXACT(Table2[[#This Row],[X2]], Table9[orig]), Table9[char])</f>
        <v>S</v>
      </c>
      <c r="AN31" t="str" cm="1">
        <f t="array" ref="AN31">_xlfn.XLOOKUP(TRUE, EXACT(AL31, Table4[orig]), Table4[(X)])</f>
        <v>H</v>
      </c>
      <c r="AO31" s="6" t="str" cm="1">
        <f t="array" ref="AO31">_xlfn.XLOOKUP(TRUE, EXACT(Table2[[#This Row],[X'']], Table9[orig]), Table9[char])</f>
        <v>H</v>
      </c>
      <c r="AP31" t="str" cm="1">
        <f t="array" ref="AP31">_xlfn.XLOOKUP(TRUE, EXACT(AH31, Table1[orig]), Table1[(Y)])</f>
        <v>T</v>
      </c>
      <c r="AQ31" s="6" t="str" cm="1">
        <f t="array" ref="AQ31">_xlfn.XLOOKUP(TRUE, EXACT(Table2[[#This Row],[Y]], Table9[orig]), Table9[char])</f>
        <v>T</v>
      </c>
      <c r="AR31" t="str" cm="1">
        <f t="array" ref="AR31">_xlfn.XLOOKUP(TRUE, EXACT(AP31, Table1[orig]), Table1[(Y)])</f>
        <v>S</v>
      </c>
      <c r="AS31" s="6" t="str" cm="1">
        <f t="array" ref="AS31">_xlfn.XLOOKUP(TRUE, EXACT(Table2[[#This Row],[Y2]], Table9[orig]), Table9[char])</f>
        <v>S</v>
      </c>
      <c r="AT31" t="str" cm="1">
        <f t="array" ref="AT31">_xlfn.XLOOKUP(TRUE, EXACT(AR31, Table1[orig]), Table1[(Y)])</f>
        <v>T'</v>
      </c>
      <c r="AU31" s="6" t="str" cm="1">
        <f t="array" ref="AU31">_xlfn.XLOOKUP(TRUE, EXACT(Table2[[#This Row],[Y'']], Table9[orig]), Table9[char])</f>
        <v>C</v>
      </c>
      <c r="AV31" t="str" cm="1">
        <f t="array" ref="AV31">_xlfn.XLOOKUP(TRUE, EXACT(Table2[[#This Row],[orig]], Table3[orig]), Table3[(Z)])</f>
        <v>S'</v>
      </c>
      <c r="AW31" s="6" t="str" cm="1">
        <f t="array" ref="AW31">_xlfn.XLOOKUP(TRUE, EXACT(Table2[[#This Row],[Z]], Table9[orig]), Table9[char])</f>
        <v>V</v>
      </c>
      <c r="AX31" t="str" cm="1">
        <f t="array" ref="AX31">_xlfn.XLOOKUP(TRUE, EXACT(AV31, Table3[orig]), Table3[(Z)])</f>
        <v>S'</v>
      </c>
      <c r="AY31" s="6" t="str" cm="1">
        <f t="array" ref="AY31">_xlfn.XLOOKUP(TRUE, EXACT(Table2[[#This Row],[Z2]], Table9[orig]), Table9[char])</f>
        <v>V</v>
      </c>
      <c r="AZ31" t="str" cm="1">
        <f t="array" ref="AZ31">_xlfn.XLOOKUP(TRUE, EXACT(AX31, Table3[orig]), Table3[(Z)])</f>
        <v>S'</v>
      </c>
      <c r="BA31" s="6" t="str" cm="1">
        <f t="array" ref="BA31">_xlfn.XLOOKUP(TRUE, EXACT(Table2[[#This Row],[Z'']], Table9[orig]), Table9[char])</f>
        <v>V</v>
      </c>
      <c r="BB31" t="str" cm="1">
        <f t="array" ref="BB31">_xlfn.XLOOKUP(TRUE, EXACT(Table2[[#This Row],[orig]], Table5[orig]), Table5[(T-reflection)])</f>
        <v>S</v>
      </c>
      <c r="BC31" s="6" t="str" cm="1">
        <f t="array" ref="BC31">_xlfn.XLOOKUP(TRUE, EXACT(Table2[[#This Row],[T-reflection]], Table9[orig]), Table9[char])</f>
        <v>S</v>
      </c>
      <c r="BD31" t="str" cm="1">
        <f t="array" ref="BD31">_xlfn.XLOOKUP(TRUE, EXACT(Table2[[#This Row],[orig]], Table6[orig]), Table6[(H-reflection)])</f>
        <v>S</v>
      </c>
      <c r="BE31" s="6" t="str" cm="1">
        <f t="array" ref="BE31">_xlfn.XLOOKUP(TRUE, EXACT(Table2[[#This Row],[H-reflection]], Table9[orig]), Table9[char])</f>
        <v>S</v>
      </c>
      <c r="BF31" t="str" cm="1">
        <f t="array" ref="BF31">_xlfn.XLOOKUP(TRUE, EXACT(Table2[[#This Row],[orig]], Table7[orig]), Table7[(S-reflection)])</f>
        <v>S'</v>
      </c>
      <c r="BG31" s="6" t="str" cm="1">
        <f t="array" ref="BG31">_xlfn.XLOOKUP(TRUE, EXACT(Table2[[#This Row],[S-reflection]], Table9[orig]), Table9[char])</f>
        <v>V</v>
      </c>
    </row>
    <row r="32" spans="1:118" x14ac:dyDescent="0.2">
      <c r="A32" s="1"/>
      <c r="B32" t="s">
        <v>86</v>
      </c>
      <c r="C32" s="1" t="s">
        <v>117</v>
      </c>
      <c r="D32" s="1">
        <f>CODE(Table9[[#This Row],[char]])</f>
        <v>38</v>
      </c>
      <c r="E32" t="s">
        <v>25</v>
      </c>
      <c r="F32" t="str" cm="1">
        <f t="array" ref="F32">_xlfn.XLOOKUP(TRUE, EXACT(Table9[[#This Row],[inverse]], Table9[orig]), Table9[char])</f>
        <v>b</v>
      </c>
      <c r="G32">
        <f>CODE(Table9[[#This Row],[inv char]])</f>
        <v>98</v>
      </c>
      <c r="H32" t="s">
        <v>78</v>
      </c>
      <c r="I32" t="str" cm="1">
        <f t="array" ref="I32">_xlfn.XLOOKUP(TRUE, EXACT(Table9[[#This Row],[Complement]], Table9[orig]), Table9[char])</f>
        <v>Q</v>
      </c>
      <c r="J32" t="s">
        <v>8</v>
      </c>
      <c r="K32" t="str">
        <f>Table9[[#This Row],[orig]] &amp; " "</f>
        <v xml:space="preserve">b' </v>
      </c>
      <c r="N32" t="s">
        <v>86</v>
      </c>
      <c r="O32" s="1" t="s">
        <v>81</v>
      </c>
      <c r="Q32" t="s">
        <v>86</v>
      </c>
      <c r="R32" t="s">
        <v>68</v>
      </c>
      <c r="T32" t="s">
        <v>86</v>
      </c>
      <c r="U32" t="s">
        <v>86</v>
      </c>
      <c r="W32" t="s">
        <v>86</v>
      </c>
      <c r="X32" t="s">
        <v>25</v>
      </c>
      <c r="Z32" t="s">
        <v>86</v>
      </c>
      <c r="AA32" t="s">
        <v>25</v>
      </c>
      <c r="AC32" t="s">
        <v>86</v>
      </c>
      <c r="AD32" t="s">
        <v>69</v>
      </c>
      <c r="AH32" t="str">
        <f t="shared" si="0"/>
        <v>b'</v>
      </c>
      <c r="AI32" s="6" t="str" cm="1">
        <f t="array" ref="AI32">_xlfn.XLOOKUP(TRUE, EXACT(Table2[[#This Row],[orig]], Table9[orig]), Table9[char])</f>
        <v>&amp;</v>
      </c>
      <c r="AJ32" t="str" cm="1">
        <f t="array" ref="AJ32">_xlfn.XLOOKUP(TRUE, EXACT(Table2[[#This Row],[orig]], Table4[orig]), Table4[(X)])</f>
        <v>d'</v>
      </c>
      <c r="AK32" s="6" t="str" cm="1">
        <f t="array" ref="AK32">_xlfn.XLOOKUP(TRUE, EXACT(Table2[[#This Row],[X]], Table9[orig]), Table9[char])</f>
        <v>k</v>
      </c>
      <c r="AL32" t="str" cm="1">
        <f t="array" ref="AL32">_xlfn.XLOOKUP(TRUE, EXACT(AJ32, Table4[orig]), Table4[(X)])</f>
        <v>f'</v>
      </c>
      <c r="AM32" s="6" t="str" cm="1">
        <f t="array" ref="AM32">_xlfn.XLOOKUP(TRUE, EXACT(Table2[[#This Row],[X2]], Table9[orig]), Table9[char])</f>
        <v>q</v>
      </c>
      <c r="AN32" t="str" cm="1">
        <f t="array" ref="AN32">_xlfn.XLOOKUP(TRUE, EXACT(AL32, Table4[orig]), Table4[(X)])</f>
        <v>u'</v>
      </c>
      <c r="AO32" s="6" t="str" cm="1">
        <f t="array" ref="AO32">_xlfn.XLOOKUP(TRUE, EXACT(Table2[[#This Row],[X'']], Table9[orig]), Table9[char])</f>
        <v>-</v>
      </c>
      <c r="AP32" t="str" cm="1">
        <f t="array" ref="AP32">_xlfn.XLOOKUP(TRUE, EXACT(AH32, Table1[orig]), Table1[(Y)])</f>
        <v>r'</v>
      </c>
      <c r="AQ32" s="6" t="str" cm="1">
        <f t="array" ref="AQ32">_xlfn.XLOOKUP(TRUE, EXACT(Table2[[#This Row],[Y]], Table9[orig]), Table9[char])</f>
        <v>a</v>
      </c>
      <c r="AR32" t="str" cm="1">
        <f t="array" ref="AR32">_xlfn.XLOOKUP(TRUE, EXACT(AP32, Table1[orig]), Table1[(Y)])</f>
        <v>f'</v>
      </c>
      <c r="AS32" s="6" t="str" cm="1">
        <f t="array" ref="AS32">_xlfn.XLOOKUP(TRUE, EXACT(Table2[[#This Row],[Y2]], Table9[orig]), Table9[char])</f>
        <v>q</v>
      </c>
      <c r="AT32" t="str" cm="1">
        <f t="array" ref="AT32">_xlfn.XLOOKUP(TRUE, EXACT(AR32, Table1[orig]), Table1[(Y)])</f>
        <v>l'</v>
      </c>
      <c r="AU32" s="6" t="str" cm="1">
        <f t="array" ref="AU32">_xlfn.XLOOKUP(TRUE, EXACT(Table2[[#This Row],[Y'']], Table9[orig]), Table9[char])</f>
        <v>g</v>
      </c>
      <c r="AV32" t="str" cm="1">
        <f t="array" ref="AV32">_xlfn.XLOOKUP(TRUE, EXACT(Table2[[#This Row],[orig]], Table3[orig]), Table3[(Z)])</f>
        <v>b'</v>
      </c>
      <c r="AW32" s="6" t="str" cm="1">
        <f t="array" ref="AW32">_xlfn.XLOOKUP(TRUE, EXACT(Table2[[#This Row],[Z]], Table9[orig]), Table9[char])</f>
        <v>&amp;</v>
      </c>
      <c r="AX32" t="str" cm="1">
        <f t="array" ref="AX32">_xlfn.XLOOKUP(TRUE, EXACT(AV32, Table3[orig]), Table3[(Z)])</f>
        <v>b'</v>
      </c>
      <c r="AY32" s="6" t="str" cm="1">
        <f t="array" ref="AY32">_xlfn.XLOOKUP(TRUE, EXACT(Table2[[#This Row],[Z2]], Table9[orig]), Table9[char])</f>
        <v>&amp;</v>
      </c>
      <c r="AZ32" t="str" cm="1">
        <f t="array" ref="AZ32">_xlfn.XLOOKUP(TRUE, EXACT(AX32, Table3[orig]), Table3[(Z)])</f>
        <v>b'</v>
      </c>
      <c r="BA32" s="6" t="str" cm="1">
        <f t="array" ref="BA32">_xlfn.XLOOKUP(TRUE, EXACT(Table2[[#This Row],[Z'']], Table9[orig]), Table9[char])</f>
        <v>&amp;</v>
      </c>
      <c r="BB32" t="str" cm="1">
        <f t="array" ref="BB32">_xlfn.XLOOKUP(TRUE, EXACT(Table2[[#This Row],[orig]], Table5[orig]), Table5[(T-reflection)])</f>
        <v>b</v>
      </c>
      <c r="BC32" s="6" t="str" cm="1">
        <f t="array" ref="BC32">_xlfn.XLOOKUP(TRUE, EXACT(Table2[[#This Row],[T-reflection]], Table9[orig]), Table9[char])</f>
        <v>b</v>
      </c>
      <c r="BD32" t="str" cm="1">
        <f t="array" ref="BD32">_xlfn.XLOOKUP(TRUE, EXACT(Table2[[#This Row],[orig]], Table6[orig]), Table6[(H-reflection)])</f>
        <v>b</v>
      </c>
      <c r="BE32" s="6" t="str" cm="1">
        <f t="array" ref="BE32">_xlfn.XLOOKUP(TRUE, EXACT(Table2[[#This Row],[H-reflection]], Table9[orig]), Table9[char])</f>
        <v>b</v>
      </c>
      <c r="BF32" t="str" cm="1">
        <f t="array" ref="BF32">_xlfn.XLOOKUP(TRUE, EXACT(Table2[[#This Row],[orig]], Table7[orig]), Table7[(S-reflection)])</f>
        <v>f</v>
      </c>
      <c r="BG32" s="6" t="str" cm="1">
        <f t="array" ref="BG32">_xlfn.XLOOKUP(TRUE, EXACT(Table2[[#This Row],[S-reflection]], Table9[orig]), Table9[char])</f>
        <v>f</v>
      </c>
    </row>
    <row r="33" spans="1:118" x14ac:dyDescent="0.2">
      <c r="B33" s="7" t="s">
        <v>89</v>
      </c>
      <c r="C33" s="7" t="s">
        <v>118</v>
      </c>
      <c r="D33" s="1">
        <f>CODE(Table9[[#This Row],[char]])</f>
        <v>64</v>
      </c>
      <c r="E33" t="s">
        <v>30</v>
      </c>
      <c r="F33" t="str" cm="1">
        <f t="array" ref="F33">_xlfn.XLOOKUP(TRUE, EXACT(Table9[[#This Row],[inverse]], Table9[orig]), Table9[char])</f>
        <v>B</v>
      </c>
      <c r="G33">
        <f>CODE(Table9[[#This Row],[inv char]])</f>
        <v>66</v>
      </c>
      <c r="H33" t="s">
        <v>80</v>
      </c>
      <c r="I33" t="str" cm="1">
        <f t="array" ref="I33">_xlfn.XLOOKUP(TRUE, EXACT(Table9[[#This Row],[Complement]], Table9[orig]), Table9[char])</f>
        <v>q</v>
      </c>
      <c r="J33" t="s">
        <v>8</v>
      </c>
      <c r="K33" t="str">
        <f>Table9[[#This Row],[orig]] &amp; " "</f>
        <v xml:space="preserve">B' </v>
      </c>
      <c r="N33" t="s">
        <v>89</v>
      </c>
      <c r="O33" t="s">
        <v>79</v>
      </c>
      <c r="Q33" t="s">
        <v>89</v>
      </c>
      <c r="R33" t="s">
        <v>20</v>
      </c>
      <c r="T33" t="s">
        <v>89</v>
      </c>
      <c r="U33" t="s">
        <v>89</v>
      </c>
      <c r="W33" t="s">
        <v>89</v>
      </c>
      <c r="X33" t="s">
        <v>30</v>
      </c>
      <c r="Z33" t="s">
        <v>89</v>
      </c>
      <c r="AA33" t="s">
        <v>30</v>
      </c>
      <c r="AC33" t="s">
        <v>89</v>
      </c>
      <c r="AD33" t="s">
        <v>66</v>
      </c>
      <c r="AH33" t="str">
        <f t="shared" si="0"/>
        <v>B'</v>
      </c>
      <c r="AI33" s="6" t="str" cm="1">
        <f t="array" ref="AI33">_xlfn.XLOOKUP(TRUE, EXACT(Table2[[#This Row],[orig]], Table9[orig]), Table9[char])</f>
        <v>@</v>
      </c>
      <c r="AJ33" t="str" cm="1">
        <f t="array" ref="AJ33">_xlfn.XLOOKUP(TRUE, EXACT(Table2[[#This Row],[orig]], Table4[orig]), Table4[(X)])</f>
        <v>D'</v>
      </c>
      <c r="AK33" s="6" t="str" cm="1">
        <f t="array" ref="AK33">_xlfn.XLOOKUP(TRUE, EXACT(Table2[[#This Row],[X]], Table9[orig]), Table9[char])</f>
        <v>%</v>
      </c>
      <c r="AL33" t="str" cm="1">
        <f t="array" ref="AL33">_xlfn.XLOOKUP(TRUE, EXACT(AJ33, Table4[orig]), Table4[(X)])</f>
        <v>F'</v>
      </c>
      <c r="AM33" s="6" t="str" cm="1">
        <f t="array" ref="AM33">_xlfn.XLOOKUP(TRUE, EXACT(Table2[[#This Row],[X2]], Table9[orig]), Table9[char])</f>
        <v>Q</v>
      </c>
      <c r="AN33" t="str" cm="1">
        <f t="array" ref="AN33">_xlfn.XLOOKUP(TRUE, EXACT(AL33, Table4[orig]), Table4[(X)])</f>
        <v>U'</v>
      </c>
      <c r="AO33" s="6" t="str" cm="1">
        <f t="array" ref="AO33">_xlfn.XLOOKUP(TRUE, EXACT(Table2[[#This Row],[X'']], Table9[orig]), Table9[char])</f>
        <v>.</v>
      </c>
      <c r="AP33" t="str" cm="1">
        <f t="array" ref="AP33">_xlfn.XLOOKUP(TRUE, EXACT(AH33, Table1[orig]), Table1[(Y)])</f>
        <v>R'</v>
      </c>
      <c r="AQ33" s="6" t="str" cm="1">
        <f t="array" ref="AQ33">_xlfn.XLOOKUP(TRUE, EXACT(Table2[[#This Row],[Y]], Table9[orig]), Table9[char])</f>
        <v>A</v>
      </c>
      <c r="AR33" t="str" cm="1">
        <f t="array" ref="AR33">_xlfn.XLOOKUP(TRUE, EXACT(AP33, Table1[orig]), Table1[(Y)])</f>
        <v>F'</v>
      </c>
      <c r="AS33" s="6" t="str" cm="1">
        <f t="array" ref="AS33">_xlfn.XLOOKUP(TRUE, EXACT(Table2[[#This Row],[Y2]], Table9[orig]), Table9[char])</f>
        <v>Q</v>
      </c>
      <c r="AT33" t="str" cm="1">
        <f t="array" ref="AT33">_xlfn.XLOOKUP(TRUE, EXACT(AR33, Table1[orig]), Table1[(Y)])</f>
        <v>L'</v>
      </c>
      <c r="AU33" s="6" t="str" cm="1">
        <f t="array" ref="AU33">_xlfn.XLOOKUP(TRUE, EXACT(Table2[[#This Row],[Y'']], Table9[orig]), Table9[char])</f>
        <v>G</v>
      </c>
      <c r="AV33" t="str" cm="1">
        <f t="array" ref="AV33">_xlfn.XLOOKUP(TRUE, EXACT(Table2[[#This Row],[orig]], Table3[orig]), Table3[(Z)])</f>
        <v>B'</v>
      </c>
      <c r="AW33" s="6" t="str" cm="1">
        <f t="array" ref="AW33">_xlfn.XLOOKUP(TRUE, EXACT(Table2[[#This Row],[Z]], Table9[orig]), Table9[char])</f>
        <v>@</v>
      </c>
      <c r="AX33" t="str" cm="1">
        <f t="array" ref="AX33">_xlfn.XLOOKUP(TRUE, EXACT(AV33, Table3[orig]), Table3[(Z)])</f>
        <v>B'</v>
      </c>
      <c r="AY33" s="6" t="str" cm="1">
        <f t="array" ref="AY33">_xlfn.XLOOKUP(TRUE, EXACT(Table2[[#This Row],[Z2]], Table9[orig]), Table9[char])</f>
        <v>@</v>
      </c>
      <c r="AZ33" t="str" cm="1">
        <f t="array" ref="AZ33">_xlfn.XLOOKUP(TRUE, EXACT(AX33, Table3[orig]), Table3[(Z)])</f>
        <v>B'</v>
      </c>
      <c r="BA33" s="6" t="str" cm="1">
        <f t="array" ref="BA33">_xlfn.XLOOKUP(TRUE, EXACT(Table2[[#This Row],[Z'']], Table9[orig]), Table9[char])</f>
        <v>@</v>
      </c>
      <c r="BB33" t="str" cm="1">
        <f t="array" ref="BB33">_xlfn.XLOOKUP(TRUE, EXACT(Table2[[#This Row],[orig]], Table5[orig]), Table5[(T-reflection)])</f>
        <v>B</v>
      </c>
      <c r="BC33" s="6" t="str" cm="1">
        <f t="array" ref="BC33">_xlfn.XLOOKUP(TRUE, EXACT(Table2[[#This Row],[T-reflection]], Table9[orig]), Table9[char])</f>
        <v>B</v>
      </c>
      <c r="BD33" t="str" cm="1">
        <f t="array" ref="BD33">_xlfn.XLOOKUP(TRUE, EXACT(Table2[[#This Row],[orig]], Table6[orig]), Table6[(H-reflection)])</f>
        <v>B</v>
      </c>
      <c r="BE33" s="6" t="str" cm="1">
        <f t="array" ref="BE33">_xlfn.XLOOKUP(TRUE, EXACT(Table2[[#This Row],[H-reflection]], Table9[orig]), Table9[char])</f>
        <v>B</v>
      </c>
      <c r="BF33" t="str" cm="1">
        <f t="array" ref="BF33">_xlfn.XLOOKUP(TRUE, EXACT(Table2[[#This Row],[orig]], Table7[orig]), Table7[(S-reflection)])</f>
        <v>F</v>
      </c>
      <c r="BG33" s="6" t="str" cm="1">
        <f t="array" ref="BG33">_xlfn.XLOOKUP(TRUE, EXACT(Table2[[#This Row],[S-reflection]], Table9[orig]), Table9[char])</f>
        <v>F</v>
      </c>
    </row>
    <row r="34" spans="1:118" s="3" customFormat="1" x14ac:dyDescent="0.2">
      <c r="A34"/>
      <c r="B34" s="3" t="s">
        <v>9</v>
      </c>
      <c r="C34" s="3" t="s">
        <v>119</v>
      </c>
      <c r="D34" s="11">
        <f>CODE(Table9[[#This Row],[char]])</f>
        <v>35</v>
      </c>
      <c r="E34" s="3" t="s">
        <v>8</v>
      </c>
      <c r="F34" s="3" t="str" cm="1">
        <f t="array" ref="F34">_xlfn.XLOOKUP(TRUE, EXACT(Table9[[#This Row],[inverse]], Table9[orig]), Table9[char])</f>
        <v>Z</v>
      </c>
      <c r="G34" s="3">
        <f>CODE(Table9[[#This Row],[inv char]])</f>
        <v>90</v>
      </c>
      <c r="H34" s="3">
        <v>0</v>
      </c>
      <c r="I34" s="3">
        <v>0</v>
      </c>
      <c r="J34" s="3" t="s">
        <v>9</v>
      </c>
      <c r="K34" t="str">
        <f>Table9[[#This Row],[orig]] &amp; " "</f>
        <v xml:space="preserve">Z' </v>
      </c>
      <c r="L34"/>
      <c r="N34" s="3" t="s">
        <v>9</v>
      </c>
      <c r="O34" s="3" t="s">
        <v>6</v>
      </c>
      <c r="P34"/>
      <c r="Q34" s="3" t="s">
        <v>9</v>
      </c>
      <c r="R34" s="3" t="s">
        <v>2</v>
      </c>
      <c r="S34"/>
      <c r="T34" s="3" t="s">
        <v>9</v>
      </c>
      <c r="U34" s="3" t="s">
        <v>9</v>
      </c>
      <c r="V34"/>
      <c r="W34" s="3" t="s">
        <v>9</v>
      </c>
      <c r="X34" s="3" t="s">
        <v>8</v>
      </c>
      <c r="Y34"/>
      <c r="Z34" s="3" t="s">
        <v>9</v>
      </c>
      <c r="AA34" s="3" t="s">
        <v>8</v>
      </c>
      <c r="AB34"/>
      <c r="AC34" s="3" t="s">
        <v>9</v>
      </c>
      <c r="AD34" s="3" t="s">
        <v>9</v>
      </c>
      <c r="AE34"/>
      <c r="AF34"/>
      <c r="AG34"/>
      <c r="AH34" s="3" t="str">
        <f t="shared" si="0"/>
        <v>Z'</v>
      </c>
      <c r="AI34" s="9" t="str" cm="1">
        <f t="array" ref="AI34">_xlfn.XLOOKUP(TRUE, EXACT(Table2[[#This Row],[orig]], Table9[orig]), Table9[char])</f>
        <v>#</v>
      </c>
      <c r="AJ34" s="3" t="str" cm="1">
        <f t="array" ref="AJ34">_xlfn.XLOOKUP(TRUE, EXACT(Table2[[#This Row],[orig]], Table4[orig]), Table4[(X)])</f>
        <v>Y'</v>
      </c>
      <c r="AK34" s="9" t="str" cm="1">
        <f t="array" ref="AK34">_xlfn.XLOOKUP(TRUE, EXACT(Table2[[#This Row],[X]], Table9[orig]), Table9[char])</f>
        <v>p</v>
      </c>
      <c r="AL34" s="3" t="str" cm="1">
        <f t="array" ref="AL34">_xlfn.XLOOKUP(TRUE, EXACT(AJ34, Table4[orig]), Table4[(X)])</f>
        <v>Z</v>
      </c>
      <c r="AM34" s="9" t="str" cm="1">
        <f t="array" ref="AM34">_xlfn.XLOOKUP(TRUE, EXACT(Table2[[#This Row],[X2]], Table9[orig]), Table9[char])</f>
        <v>Z</v>
      </c>
      <c r="AN34" s="3" t="str" cm="1">
        <f t="array" ref="AN34">_xlfn.XLOOKUP(TRUE, EXACT(AL34, Table4[orig]), Table4[(X)])</f>
        <v>Y</v>
      </c>
      <c r="AO34" s="9" t="str" cm="1">
        <f t="array" ref="AO34">_xlfn.XLOOKUP(TRUE, EXACT(Table2[[#This Row],[X'']], Table9[orig]), Table9[char])</f>
        <v>Y</v>
      </c>
      <c r="AP34" s="3" t="str" cm="1">
        <f t="array" ref="AP34">_xlfn.XLOOKUP(TRUE, EXACT(AH34, Table1[orig]), Table1[(Y)])</f>
        <v>X</v>
      </c>
      <c r="AQ34" s="9" t="str" cm="1">
        <f t="array" ref="AQ34">_xlfn.XLOOKUP(TRUE, EXACT(Table2[[#This Row],[Y]], Table9[orig]), Table9[char])</f>
        <v>X</v>
      </c>
      <c r="AR34" s="3" t="str" cm="1">
        <f t="array" ref="AR34">_xlfn.XLOOKUP(TRUE, EXACT(AP34, Table1[orig]), Table1[(Y)])</f>
        <v>Z</v>
      </c>
      <c r="AS34" s="9" t="str" cm="1">
        <f t="array" ref="AS34">_xlfn.XLOOKUP(TRUE, EXACT(Table2[[#This Row],[Y2]], Table9[orig]), Table9[char])</f>
        <v>Z</v>
      </c>
      <c r="AT34" s="3" t="str" cm="1">
        <f t="array" ref="AT34">_xlfn.XLOOKUP(TRUE, EXACT(AR34, Table1[orig]), Table1[(Y)])</f>
        <v>X'</v>
      </c>
      <c r="AU34" s="9" t="str" cm="1">
        <f t="array" ref="AU34">_xlfn.XLOOKUP(TRUE, EXACT(Table2[[#This Row],[Y'']], Table9[orig]), Table9[char])</f>
        <v>!</v>
      </c>
      <c r="AV34" s="3" t="str" cm="1">
        <f t="array" ref="AV34">_xlfn.XLOOKUP(TRUE, EXACT(Table2[[#This Row],[orig]], Table3[orig]), Table3[(Z)])</f>
        <v>Z'</v>
      </c>
      <c r="AW34" s="9" t="str" cm="1">
        <f t="array" ref="AW34">_xlfn.XLOOKUP(TRUE, EXACT(Table2[[#This Row],[Z]], Table9[orig]), Table9[char])</f>
        <v>#</v>
      </c>
      <c r="AX34" s="3" t="str" cm="1">
        <f t="array" ref="AX34">_xlfn.XLOOKUP(TRUE, EXACT(AV34, Table3[orig]), Table3[(Z)])</f>
        <v>Z'</v>
      </c>
      <c r="AY34" s="9" t="str" cm="1">
        <f t="array" ref="AY34">_xlfn.XLOOKUP(TRUE, EXACT(Table2[[#This Row],[Z2]], Table9[orig]), Table9[char])</f>
        <v>#</v>
      </c>
      <c r="AZ34" s="3" t="str" cm="1">
        <f t="array" ref="AZ34">_xlfn.XLOOKUP(TRUE, EXACT(AX34, Table3[orig]), Table3[(Z)])</f>
        <v>Z'</v>
      </c>
      <c r="BA34" s="9" t="str" cm="1">
        <f t="array" ref="BA34">_xlfn.XLOOKUP(TRUE, EXACT(Table2[[#This Row],[Z'']], Table9[orig]), Table9[char])</f>
        <v>#</v>
      </c>
      <c r="BB34" s="3" t="str" cm="1">
        <f t="array" ref="BB34">_xlfn.XLOOKUP(TRUE, EXACT(Table2[[#This Row],[orig]], Table5[orig]), Table5[(T-reflection)])</f>
        <v>Z</v>
      </c>
      <c r="BC34" s="9" t="str" cm="1">
        <f t="array" ref="BC34">_xlfn.XLOOKUP(TRUE, EXACT(Table2[[#This Row],[T-reflection]], Table9[orig]), Table9[char])</f>
        <v>Z</v>
      </c>
      <c r="BD34" s="3" t="str" cm="1">
        <f t="array" ref="BD34">_xlfn.XLOOKUP(TRUE, EXACT(Table2[[#This Row],[orig]], Table6[orig]), Table6[(H-reflection)])</f>
        <v>Z</v>
      </c>
      <c r="BE34" s="9" t="str" cm="1">
        <f t="array" ref="BE34">_xlfn.XLOOKUP(TRUE, EXACT(Table2[[#This Row],[H-reflection]], Table9[orig]), Table9[char])</f>
        <v>Z</v>
      </c>
      <c r="BF34" s="3" t="str" cm="1">
        <f t="array" ref="BF34">_xlfn.XLOOKUP(TRUE, EXACT(Table2[[#This Row],[orig]], Table7[orig]), Table7[(S-reflection)])</f>
        <v>Z'</v>
      </c>
      <c r="BG34" s="6" t="str" cm="1">
        <f t="array" ref="BG34">_xlfn.XLOOKUP(TRUE, EXACT(Table2[[#This Row],[S-reflection]], Table9[orig]), Table9[char])</f>
        <v>#</v>
      </c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</row>
    <row r="35" spans="1:118" x14ac:dyDescent="0.2">
      <c r="B35" s="7" t="s">
        <v>94</v>
      </c>
      <c r="C35" s="7" t="s">
        <v>120</v>
      </c>
      <c r="D35" s="1">
        <f>CODE(Table9[[#This Row],[char]])</f>
        <v>36</v>
      </c>
      <c r="E35" t="s">
        <v>94</v>
      </c>
      <c r="F35" t="str" cm="1">
        <f t="array" ref="F35">_xlfn.XLOOKUP(TRUE, EXACT(Table9[[#This Row],[inverse]], Table9[orig]), Table9[char])</f>
        <v>$</v>
      </c>
      <c r="G35">
        <f>CODE(Table9[[#This Row],[inv char]])</f>
        <v>36</v>
      </c>
      <c r="H35" t="s">
        <v>106</v>
      </c>
      <c r="I35" t="str" cm="1">
        <f t="array" ref="I35">_xlfn.XLOOKUP(TRUE, EXACT(Table9[[#This Row],[Complement]], Table9[orig]), Table9[char])</f>
        <v>~</v>
      </c>
      <c r="J35" t="s">
        <v>10</v>
      </c>
      <c r="K35" t="str">
        <f>Table9[[#This Row],[orig]] &amp; " "</f>
        <v xml:space="preserve">F2 </v>
      </c>
      <c r="N35" t="s">
        <v>94</v>
      </c>
      <c r="O35" t="s">
        <v>110</v>
      </c>
      <c r="Q35" t="s">
        <v>94</v>
      </c>
      <c r="R35" t="s">
        <v>23</v>
      </c>
      <c r="T35" t="s">
        <v>94</v>
      </c>
      <c r="U35" t="s">
        <v>94</v>
      </c>
      <c r="W35" t="s">
        <v>94</v>
      </c>
      <c r="X35" t="s">
        <v>94</v>
      </c>
      <c r="Z35" t="s">
        <v>94</v>
      </c>
      <c r="AA35" t="s">
        <v>94</v>
      </c>
      <c r="AC35" t="s">
        <v>94</v>
      </c>
      <c r="AD35" t="s">
        <v>109</v>
      </c>
      <c r="AH35" t="str">
        <f t="shared" si="0"/>
        <v>F2</v>
      </c>
      <c r="AI35" s="6" t="str" cm="1">
        <f t="array" ref="AI35">_xlfn.XLOOKUP(TRUE, EXACT(Table2[[#This Row],[orig]], Table9[orig]), Table9[char])</f>
        <v>$</v>
      </c>
      <c r="AJ35" t="str" cm="1">
        <f t="array" ref="AJ35">_xlfn.XLOOKUP(TRUE, EXACT(Table2[[#This Row],[orig]], Table4[orig]), Table4[(X)])</f>
        <v>U2</v>
      </c>
      <c r="AK35" s="6" t="str" cm="1">
        <f t="array" ref="AK35">_xlfn.XLOOKUP(TRUE, EXACT(Table2[[#This Row],[X]], Table9[orig]), Table9[char])</f>
        <v>\</v>
      </c>
      <c r="AL35" t="str" cm="1">
        <f t="array" ref="AL35">_xlfn.XLOOKUP(TRUE, EXACT(AJ35, Table4[orig]), Table4[(X)])</f>
        <v>B2</v>
      </c>
      <c r="AM35" s="6" t="str" cm="1">
        <f t="array" ref="AM35">_xlfn.XLOOKUP(TRUE, EXACT(Table2[[#This Row],[X2]], Table9[orig]), Table9[char])</f>
        <v>`</v>
      </c>
      <c r="AN35" t="str" cm="1">
        <f t="array" ref="AN35">_xlfn.XLOOKUP(TRUE, EXACT(AL35, Table4[orig]), Table4[(X)])</f>
        <v>D2</v>
      </c>
      <c r="AO35" s="6" t="str" cm="1">
        <f t="array" ref="AO35">_xlfn.XLOOKUP(TRUE, EXACT(Table2[[#This Row],[X'']], Table9[orig]), Table9[char])</f>
        <v>c</v>
      </c>
      <c r="AP35" t="str" cm="1">
        <f t="array" ref="AP35">_xlfn.XLOOKUP(TRUE, EXACT(AH35, Table1[orig]), Table1[(Y)])</f>
        <v>L2</v>
      </c>
      <c r="AQ35" s="6" t="str" cm="1">
        <f t="array" ref="AQ35">_xlfn.XLOOKUP(TRUE, EXACT(Table2[[#This Row],[Y]], Table9[orig]), Table9[char])</f>
        <v>N</v>
      </c>
      <c r="AR35" t="str" cm="1">
        <f t="array" ref="AR35">_xlfn.XLOOKUP(TRUE, EXACT(AP35, Table1[orig]), Table1[(Y)])</f>
        <v>B2</v>
      </c>
      <c r="AS35" s="6" t="str" cm="1">
        <f t="array" ref="AS35">_xlfn.XLOOKUP(TRUE, EXACT(Table2[[#This Row],[Y2]], Table9[orig]), Table9[char])</f>
        <v>`</v>
      </c>
      <c r="AT35" t="str" cm="1">
        <f t="array" ref="AT35">_xlfn.XLOOKUP(TRUE, EXACT(AR35, Table1[orig]), Table1[(Y)])</f>
        <v>R2</v>
      </c>
      <c r="AU35" s="6" t="str" cm="1">
        <f t="array" ref="AU35">_xlfn.XLOOKUP(TRUE, EXACT(Table2[[#This Row],[Y'']], Table9[orig]), Table9[char])</f>
        <v>J</v>
      </c>
      <c r="AV35" t="str" cm="1">
        <f t="array" ref="AV35">_xlfn.XLOOKUP(TRUE, EXACT(Table2[[#This Row],[orig]], Table3[orig]), Table3[(Z)])</f>
        <v>F2</v>
      </c>
      <c r="AW35" s="6" t="str" cm="1">
        <f t="array" ref="AW35">_xlfn.XLOOKUP(TRUE, EXACT(Table2[[#This Row],[Z]], Table9[orig]), Table9[char])</f>
        <v>$</v>
      </c>
      <c r="AX35" t="str" cm="1">
        <f t="array" ref="AX35">_xlfn.XLOOKUP(TRUE, EXACT(AV35, Table3[orig]), Table3[(Z)])</f>
        <v>F2</v>
      </c>
      <c r="AY35" s="6" t="str" cm="1">
        <f t="array" ref="AY35">_xlfn.XLOOKUP(TRUE, EXACT(Table2[[#This Row],[Z2]], Table9[orig]), Table9[char])</f>
        <v>$</v>
      </c>
      <c r="AZ35" t="str" cm="1">
        <f t="array" ref="AZ35">_xlfn.XLOOKUP(TRUE, EXACT(AX35, Table3[orig]), Table3[(Z)])</f>
        <v>F2</v>
      </c>
      <c r="BA35" s="6" t="str" cm="1">
        <f t="array" ref="BA35">_xlfn.XLOOKUP(TRUE, EXACT(Table2[[#This Row],[Z'']], Table9[orig]), Table9[char])</f>
        <v>$</v>
      </c>
      <c r="BB35" t="str" cm="1">
        <f t="array" ref="BB35">_xlfn.XLOOKUP(TRUE, EXACT(Table2[[#This Row],[orig]], Table5[orig]), Table5[(T-reflection)])</f>
        <v>F2</v>
      </c>
      <c r="BC35" s="6" t="str" cm="1">
        <f t="array" ref="BC35">_xlfn.XLOOKUP(TRUE, EXACT(Table2[[#This Row],[T-reflection]], Table9[orig]), Table9[char])</f>
        <v>$</v>
      </c>
      <c r="BD35" t="str" cm="1">
        <f t="array" ref="BD35">_xlfn.XLOOKUP(TRUE, EXACT(Table2[[#This Row],[orig]], Table6[orig]), Table6[(H-reflection)])</f>
        <v>F2</v>
      </c>
      <c r="BE35" s="6" t="str" cm="1">
        <f t="array" ref="BE35">_xlfn.XLOOKUP(TRUE, EXACT(Table2[[#This Row],[H-reflection]], Table9[orig]), Table9[char])</f>
        <v>$</v>
      </c>
      <c r="BF35" t="str" cm="1">
        <f t="array" ref="BF35">_xlfn.XLOOKUP(TRUE, EXACT(Table2[[#This Row],[orig]], Table7[orig]), Table7[(S-reflection)])</f>
        <v>B2</v>
      </c>
      <c r="BG35" s="6" t="str" cm="1">
        <f t="array" ref="BG35">_xlfn.XLOOKUP(TRUE, EXACT(Table2[[#This Row],[S-reflection]], Table9[orig]), Table9[char])</f>
        <v>`</v>
      </c>
    </row>
    <row r="36" spans="1:118" x14ac:dyDescent="0.2">
      <c r="B36" t="s">
        <v>98</v>
      </c>
      <c r="C36" t="s">
        <v>121</v>
      </c>
      <c r="D36" s="1">
        <f>CODE(Table9[[#This Row],[char]])</f>
        <v>63</v>
      </c>
      <c r="E36" t="s">
        <v>98</v>
      </c>
      <c r="F36" t="str" cm="1">
        <f t="array" ref="F36">_xlfn.XLOOKUP(TRUE, EXACT(Table9[[#This Row],[inverse]], Table9[orig]), Table9[char])</f>
        <v>?</v>
      </c>
      <c r="G36">
        <f>CODE(Table9[[#This Row],[inv char]])</f>
        <v>63</v>
      </c>
      <c r="H36" t="s">
        <v>109</v>
      </c>
      <c r="I36" t="str" cm="1">
        <f t="array" ref="I36">_xlfn.XLOOKUP(TRUE, EXACT(Table9[[#This Row],[Complement]], Table9[orig]), Table9[char])</f>
        <v>`</v>
      </c>
      <c r="J36" t="s">
        <v>10</v>
      </c>
      <c r="K36" t="str">
        <f>Table9[[#This Row],[orig]] &amp; " "</f>
        <v xml:space="preserve">f2 </v>
      </c>
      <c r="N36" t="s">
        <v>98</v>
      </c>
      <c r="O36" t="s">
        <v>107</v>
      </c>
      <c r="Q36" t="s">
        <v>98</v>
      </c>
      <c r="R36" t="s">
        <v>93</v>
      </c>
      <c r="T36" t="s">
        <v>98</v>
      </c>
      <c r="U36" t="s">
        <v>98</v>
      </c>
      <c r="W36" t="s">
        <v>98</v>
      </c>
      <c r="X36" t="s">
        <v>98</v>
      </c>
      <c r="Z36" t="s">
        <v>98</v>
      </c>
      <c r="AA36" t="s">
        <v>98</v>
      </c>
      <c r="AC36" t="s">
        <v>98</v>
      </c>
      <c r="AD36" t="s">
        <v>106</v>
      </c>
      <c r="AH36" t="str">
        <f t="shared" si="0"/>
        <v>f2</v>
      </c>
      <c r="AI36" s="6" t="str" cm="1">
        <f t="array" ref="AI36">_xlfn.XLOOKUP(TRUE, EXACT(Table2[[#This Row],[orig]], Table9[orig]), Table9[char])</f>
        <v>?</v>
      </c>
      <c r="AJ36" t="str" cm="1">
        <f t="array" ref="AJ36">_xlfn.XLOOKUP(TRUE, EXACT(Table2[[#This Row],[orig]], Table4[orig]), Table4[(X)])</f>
        <v>u2</v>
      </c>
      <c r="AK36" s="6" t="str" cm="1">
        <f t="array" ref="AK36">_xlfn.XLOOKUP(TRUE, EXACT(Table2[[#This Row],[X]], Table9[orig]), Table9[char])</f>
        <v>v</v>
      </c>
      <c r="AL36" t="str" cm="1">
        <f t="array" ref="AL36">_xlfn.XLOOKUP(TRUE, EXACT(AJ36, Table4[orig]), Table4[(X)])</f>
        <v>b2</v>
      </c>
      <c r="AM36" s="6" t="str" cm="1">
        <f t="array" ref="AM36">_xlfn.XLOOKUP(TRUE, EXACT(Table2[[#This Row],[X2]], Table9[orig]), Table9[char])</f>
        <v>~</v>
      </c>
      <c r="AN36" t="str" cm="1">
        <f t="array" ref="AN36">_xlfn.XLOOKUP(TRUE, EXACT(AL36, Table4[orig]), Table4[(X)])</f>
        <v>d2</v>
      </c>
      <c r="AO36" s="6" t="str" cm="1">
        <f t="array" ref="AO36">_xlfn.XLOOKUP(TRUE, EXACT(Table2[[#This Row],[X'']], Table9[orig]), Table9[char])</f>
        <v>_</v>
      </c>
      <c r="AP36" t="str" cm="1">
        <f t="array" ref="AP36">_xlfn.XLOOKUP(TRUE, EXACT(AH36, Table1[orig]), Table1[(Y)])</f>
        <v>l2</v>
      </c>
      <c r="AQ36" s="6" t="str" cm="1">
        <f t="array" ref="AQ36">_xlfn.XLOOKUP(TRUE, EXACT(Table2[[#This Row],[Y]], Table9[orig]), Table9[char])</f>
        <v>n</v>
      </c>
      <c r="AR36" t="str" cm="1">
        <f t="array" ref="AR36">_xlfn.XLOOKUP(TRUE, EXACT(AP36, Table1[orig]), Table1[(Y)])</f>
        <v>b2</v>
      </c>
      <c r="AS36" s="6" t="str" cm="1">
        <f t="array" ref="AS36">_xlfn.XLOOKUP(TRUE, EXACT(Table2[[#This Row],[Y2]], Table9[orig]), Table9[char])</f>
        <v>~</v>
      </c>
      <c r="AT36" t="str" cm="1">
        <f t="array" ref="AT36">_xlfn.XLOOKUP(TRUE, EXACT(AR36, Table1[orig]), Table1[(Y)])</f>
        <v>r2</v>
      </c>
      <c r="AU36" s="6" t="str" cm="1">
        <f t="array" ref="AU36">_xlfn.XLOOKUP(TRUE, EXACT(Table2[[#This Row],[Y'']], Table9[orig]), Table9[char])</f>
        <v>j</v>
      </c>
      <c r="AV36" t="str" cm="1">
        <f t="array" ref="AV36">_xlfn.XLOOKUP(TRUE, EXACT(Table2[[#This Row],[orig]], Table3[orig]), Table3[(Z)])</f>
        <v>f2</v>
      </c>
      <c r="AW36" s="6" t="str" cm="1">
        <f t="array" ref="AW36">_xlfn.XLOOKUP(TRUE, EXACT(Table2[[#This Row],[Z]], Table9[orig]), Table9[char])</f>
        <v>?</v>
      </c>
      <c r="AX36" t="str" cm="1">
        <f t="array" ref="AX36">_xlfn.XLOOKUP(TRUE, EXACT(AV36, Table3[orig]), Table3[(Z)])</f>
        <v>f2</v>
      </c>
      <c r="AY36" s="6" t="str" cm="1">
        <f t="array" ref="AY36">_xlfn.XLOOKUP(TRUE, EXACT(Table2[[#This Row],[Z2]], Table9[orig]), Table9[char])</f>
        <v>?</v>
      </c>
      <c r="AZ36" t="str" cm="1">
        <f t="array" ref="AZ36">_xlfn.XLOOKUP(TRUE, EXACT(AX36, Table3[orig]), Table3[(Z)])</f>
        <v>f2</v>
      </c>
      <c r="BA36" s="6" t="str" cm="1">
        <f t="array" ref="BA36">_xlfn.XLOOKUP(TRUE, EXACT(Table2[[#This Row],[Z'']], Table9[orig]), Table9[char])</f>
        <v>?</v>
      </c>
      <c r="BB36" t="str" cm="1">
        <f t="array" ref="BB36">_xlfn.XLOOKUP(TRUE, EXACT(Table2[[#This Row],[orig]], Table5[orig]), Table5[(T-reflection)])</f>
        <v>f2</v>
      </c>
      <c r="BC36" s="6" t="str" cm="1">
        <f t="array" ref="BC36">_xlfn.XLOOKUP(TRUE, EXACT(Table2[[#This Row],[T-reflection]], Table9[orig]), Table9[char])</f>
        <v>?</v>
      </c>
      <c r="BD36" t="str" cm="1">
        <f t="array" ref="BD36">_xlfn.XLOOKUP(TRUE, EXACT(Table2[[#This Row],[orig]], Table6[orig]), Table6[(H-reflection)])</f>
        <v>f2</v>
      </c>
      <c r="BE36" s="6" t="str" cm="1">
        <f t="array" ref="BE36">_xlfn.XLOOKUP(TRUE, EXACT(Table2[[#This Row],[H-reflection]], Table9[orig]), Table9[char])</f>
        <v>?</v>
      </c>
      <c r="BF36" t="str" cm="1">
        <f t="array" ref="BF36">_xlfn.XLOOKUP(TRUE, EXACT(Table2[[#This Row],[orig]], Table7[orig]), Table7[(S-reflection)])</f>
        <v>b2</v>
      </c>
      <c r="BG36" s="6" t="str" cm="1">
        <f t="array" ref="BG36">_xlfn.XLOOKUP(TRUE, EXACT(Table2[[#This Row],[S-reflection]], Table9[orig]), Table9[char])</f>
        <v>~</v>
      </c>
    </row>
    <row r="37" spans="1:118" x14ac:dyDescent="0.2">
      <c r="B37" s="7" t="s">
        <v>103</v>
      </c>
      <c r="C37" s="7" t="s">
        <v>122</v>
      </c>
      <c r="D37" s="1">
        <f>CODE(Table9[[#This Row],[char]])</f>
        <v>94</v>
      </c>
      <c r="E37" t="s">
        <v>103</v>
      </c>
      <c r="F37" t="str" cm="1">
        <f t="array" ref="F37">_xlfn.XLOOKUP(TRUE, EXACT(Table9[[#This Row],[inverse]], Table9[orig]), Table9[char])</f>
        <v>^</v>
      </c>
      <c r="G37">
        <f>CODE(Table9[[#This Row],[inv char]])</f>
        <v>94</v>
      </c>
      <c r="H37" t="s">
        <v>123</v>
      </c>
      <c r="I37" t="str" cm="1">
        <f t="array" ref="I37">_xlfn.CONCAT(_xlfn.XLOOKUP(TRUE, EXACT(B35, Table9[orig]), Table9[char]), _xlfn.XLOOKUP(TRUE, EXACT(B39, Table9[orig]), Table9[char]))</f>
        <v>$`</v>
      </c>
      <c r="J37" t="s">
        <v>10</v>
      </c>
      <c r="K37" t="str">
        <f>Table9[[#This Row],[orig]] &amp; " "</f>
        <v xml:space="preserve">S2 </v>
      </c>
      <c r="N37" t="s">
        <v>103</v>
      </c>
      <c r="O37" t="s">
        <v>104</v>
      </c>
      <c r="Q37" t="s">
        <v>103</v>
      </c>
      <c r="R37" t="s">
        <v>100</v>
      </c>
      <c r="T37" t="s">
        <v>103</v>
      </c>
      <c r="U37" t="s">
        <v>103</v>
      </c>
      <c r="W37" t="s">
        <v>103</v>
      </c>
      <c r="X37" t="s">
        <v>103</v>
      </c>
      <c r="Z37" t="s">
        <v>103</v>
      </c>
      <c r="AA37" t="s">
        <v>103</v>
      </c>
      <c r="AC37" t="s">
        <v>103</v>
      </c>
      <c r="AD37" t="s">
        <v>103</v>
      </c>
      <c r="AH37" t="str">
        <f t="shared" ref="AH37:AH58" si="1">Q37</f>
        <v>S2</v>
      </c>
      <c r="AI37" s="6" t="str" cm="1">
        <f t="array" ref="AI37">_xlfn.XLOOKUP(TRUE, EXACT(Table2[[#This Row],[orig]], Table9[orig]), Table9[char])</f>
        <v>^</v>
      </c>
      <c r="AJ37" t="str" cm="1">
        <f t="array" ref="AJ37">_xlfn.XLOOKUP(TRUE, EXACT(Table2[[#This Row],[orig]], Table4[orig]), Table4[(X)])</f>
        <v>H2</v>
      </c>
      <c r="AK37" s="6" t="str" cm="1">
        <f t="array" ref="AK37">_xlfn.XLOOKUP(TRUE, EXACT(Table2[[#This Row],[X]], Table9[orig]), Table9[char])</f>
        <v>/</v>
      </c>
      <c r="AL37" t="str" cm="1">
        <f t="array" ref="AL37">_xlfn.XLOOKUP(TRUE, EXACT(AJ37, Table4[orig]), Table4[(X)])</f>
        <v>S2</v>
      </c>
      <c r="AM37" s="6" t="str" cm="1">
        <f t="array" ref="AM37">_xlfn.XLOOKUP(TRUE, EXACT(Table2[[#This Row],[X2]], Table9[orig]), Table9[char])</f>
        <v>^</v>
      </c>
      <c r="AN37" t="str" cm="1">
        <f t="array" ref="AN37">_xlfn.XLOOKUP(TRUE, EXACT(AL37, Table4[orig]), Table4[(X)])</f>
        <v>H2</v>
      </c>
      <c r="AO37" s="6" t="str" cm="1">
        <f t="array" ref="AO37">_xlfn.XLOOKUP(TRUE, EXACT(Table2[[#This Row],[X'']], Table9[orig]), Table9[char])</f>
        <v>/</v>
      </c>
      <c r="AP37" t="str" cm="1">
        <f t="array" ref="AP37">_xlfn.XLOOKUP(TRUE, EXACT(AH37, Table1[orig]), Table1[(Y)])</f>
        <v>T2</v>
      </c>
      <c r="AQ37" s="6" t="str" cm="1">
        <f t="array" ref="AQ37">_xlfn.XLOOKUP(TRUE, EXACT(Table2[[#This Row],[Y]], Table9[orig]), Table9[char])</f>
        <v>K</v>
      </c>
      <c r="AR37" t="str" cm="1">
        <f t="array" ref="AR37">_xlfn.XLOOKUP(TRUE, EXACT(AP37, Table1[orig]), Table1[(Y)])</f>
        <v>S2</v>
      </c>
      <c r="AS37" s="6" t="str" cm="1">
        <f t="array" ref="AS37">_xlfn.XLOOKUP(TRUE, EXACT(Table2[[#This Row],[Y2]], Table9[orig]), Table9[char])</f>
        <v>^</v>
      </c>
      <c r="AT37" t="str" cm="1">
        <f t="array" ref="AT37">_xlfn.XLOOKUP(TRUE, EXACT(AR37, Table1[orig]), Table1[(Y)])</f>
        <v>T2</v>
      </c>
      <c r="AU37" s="6" t="str" cm="1">
        <f t="array" ref="AU37">_xlfn.XLOOKUP(TRUE, EXACT(Table2[[#This Row],[Y'']], Table9[orig]), Table9[char])</f>
        <v>K</v>
      </c>
      <c r="AV37" t="str" cm="1">
        <f t="array" ref="AV37">_xlfn.XLOOKUP(TRUE, EXACT(Table2[[#This Row],[orig]], Table3[orig]), Table3[(Z)])</f>
        <v>S2</v>
      </c>
      <c r="AW37" s="6" t="str" cm="1">
        <f t="array" ref="AW37">_xlfn.XLOOKUP(TRUE, EXACT(Table2[[#This Row],[Z]], Table9[orig]), Table9[char])</f>
        <v>^</v>
      </c>
      <c r="AX37" t="str" cm="1">
        <f t="array" ref="AX37">_xlfn.XLOOKUP(TRUE, EXACT(AV37, Table3[orig]), Table3[(Z)])</f>
        <v>S2</v>
      </c>
      <c r="AY37" s="6" t="str" cm="1">
        <f t="array" ref="AY37">_xlfn.XLOOKUP(TRUE, EXACT(Table2[[#This Row],[Z2]], Table9[orig]), Table9[char])</f>
        <v>^</v>
      </c>
      <c r="AZ37" t="str" cm="1">
        <f t="array" ref="AZ37">_xlfn.XLOOKUP(TRUE, EXACT(AX37, Table3[orig]), Table3[(Z)])</f>
        <v>S2</v>
      </c>
      <c r="BA37" s="6" t="str" cm="1">
        <f t="array" ref="BA37">_xlfn.XLOOKUP(TRUE, EXACT(Table2[[#This Row],[Z'']], Table9[orig]), Table9[char])</f>
        <v>^</v>
      </c>
      <c r="BB37" t="str" cm="1">
        <f t="array" ref="BB37">_xlfn.XLOOKUP(TRUE, EXACT(Table2[[#This Row],[orig]], Table5[orig]), Table5[(T-reflection)])</f>
        <v>S2</v>
      </c>
      <c r="BC37" s="6" t="str" cm="1">
        <f t="array" ref="BC37">_xlfn.XLOOKUP(TRUE, EXACT(Table2[[#This Row],[T-reflection]], Table9[orig]), Table9[char])</f>
        <v>^</v>
      </c>
      <c r="BD37" t="str" cm="1">
        <f t="array" ref="BD37">_xlfn.XLOOKUP(TRUE, EXACT(Table2[[#This Row],[orig]], Table6[orig]), Table6[(H-reflection)])</f>
        <v>S2</v>
      </c>
      <c r="BE37" s="6" t="str" cm="1">
        <f t="array" ref="BE37">_xlfn.XLOOKUP(TRUE, EXACT(Table2[[#This Row],[H-reflection]], Table9[orig]), Table9[char])</f>
        <v>^</v>
      </c>
      <c r="BF37" t="str" cm="1">
        <f t="array" ref="BF37">_xlfn.XLOOKUP(TRUE, EXACT(Table2[[#This Row],[orig]], Table7[orig]), Table7[(S-reflection)])</f>
        <v>S2</v>
      </c>
      <c r="BG37" s="6" t="str" cm="1">
        <f t="array" ref="BG37">_xlfn.XLOOKUP(TRUE, EXACT(Table2[[#This Row],[S-reflection]], Table9[orig]), Table9[char])</f>
        <v>^</v>
      </c>
    </row>
    <row r="38" spans="1:118" x14ac:dyDescent="0.2">
      <c r="A38" s="1"/>
      <c r="B38" t="s">
        <v>106</v>
      </c>
      <c r="C38" s="1" t="s">
        <v>124</v>
      </c>
      <c r="D38" s="1">
        <f>CODE(Table9[[#This Row],[char]])</f>
        <v>126</v>
      </c>
      <c r="E38" t="s">
        <v>106</v>
      </c>
      <c r="F38" t="str" cm="1">
        <f t="array" ref="F38">_xlfn.XLOOKUP(TRUE, EXACT(Table9[[#This Row],[inverse]], Table9[orig]), Table9[char])</f>
        <v>~</v>
      </c>
      <c r="G38">
        <f>CODE(Table9[[#This Row],[inv char]])</f>
        <v>126</v>
      </c>
      <c r="H38" t="s">
        <v>94</v>
      </c>
      <c r="I38" t="str" cm="1">
        <f t="array" ref="I38">_xlfn.XLOOKUP(TRUE, EXACT(Table9[[#This Row],[Complement]], Table9[orig]), Table9[char])</f>
        <v>$</v>
      </c>
      <c r="J38" t="s">
        <v>10</v>
      </c>
      <c r="K38" t="str">
        <f>Table9[[#This Row],[orig]] &amp; " "</f>
        <v xml:space="preserve">b2 </v>
      </c>
      <c r="N38" t="s">
        <v>106</v>
      </c>
      <c r="O38" s="1" t="s">
        <v>99</v>
      </c>
      <c r="Q38" t="s">
        <v>106</v>
      </c>
      <c r="R38" t="s">
        <v>96</v>
      </c>
      <c r="T38" t="s">
        <v>106</v>
      </c>
      <c r="U38" t="s">
        <v>106</v>
      </c>
      <c r="W38" t="s">
        <v>106</v>
      </c>
      <c r="X38" t="s">
        <v>106</v>
      </c>
      <c r="Z38" t="s">
        <v>106</v>
      </c>
      <c r="AA38" t="s">
        <v>106</v>
      </c>
      <c r="AC38" t="s">
        <v>106</v>
      </c>
      <c r="AD38" t="s">
        <v>98</v>
      </c>
      <c r="AH38" t="str">
        <f t="shared" si="1"/>
        <v>b2</v>
      </c>
      <c r="AI38" s="6" t="str" cm="1">
        <f t="array" ref="AI38">_xlfn.XLOOKUP(TRUE, EXACT(Table2[[#This Row],[orig]], Table9[orig]), Table9[char])</f>
        <v>~</v>
      </c>
      <c r="AJ38" t="str" cm="1">
        <f t="array" ref="AJ38">_xlfn.XLOOKUP(TRUE, EXACT(Table2[[#This Row],[orig]], Table4[orig]), Table4[(X)])</f>
        <v>d2</v>
      </c>
      <c r="AK38" s="6" t="str" cm="1">
        <f t="array" ref="AK38">_xlfn.XLOOKUP(TRUE, EXACT(Table2[[#This Row],[X]], Table9[orig]), Table9[char])</f>
        <v>_</v>
      </c>
      <c r="AL38" t="str" cm="1">
        <f t="array" ref="AL38">_xlfn.XLOOKUP(TRUE, EXACT(AJ38, Table4[orig]), Table4[(X)])</f>
        <v>f2</v>
      </c>
      <c r="AM38" s="6" t="str" cm="1">
        <f t="array" ref="AM38">_xlfn.XLOOKUP(TRUE, EXACT(Table2[[#This Row],[X2]], Table9[orig]), Table9[char])</f>
        <v>?</v>
      </c>
      <c r="AN38" t="str" cm="1">
        <f t="array" ref="AN38">_xlfn.XLOOKUP(TRUE, EXACT(AL38, Table4[orig]), Table4[(X)])</f>
        <v>u2</v>
      </c>
      <c r="AO38" s="6" t="str" cm="1">
        <f t="array" ref="AO38">_xlfn.XLOOKUP(TRUE, EXACT(Table2[[#This Row],[X'']], Table9[orig]), Table9[char])</f>
        <v>v</v>
      </c>
      <c r="AP38" t="str" cm="1">
        <f t="array" ref="AP38">_xlfn.XLOOKUP(TRUE, EXACT(AH38, Table1[orig]), Table1[(Y)])</f>
        <v>r2</v>
      </c>
      <c r="AQ38" s="6" t="str" cm="1">
        <f t="array" ref="AQ38">_xlfn.XLOOKUP(TRUE, EXACT(Table2[[#This Row],[Y]], Table9[orig]), Table9[char])</f>
        <v>j</v>
      </c>
      <c r="AR38" t="str" cm="1">
        <f t="array" ref="AR38">_xlfn.XLOOKUP(TRUE, EXACT(AP38, Table1[orig]), Table1[(Y)])</f>
        <v>f2</v>
      </c>
      <c r="AS38" s="6" t="str" cm="1">
        <f t="array" ref="AS38">_xlfn.XLOOKUP(TRUE, EXACT(Table2[[#This Row],[Y2]], Table9[orig]), Table9[char])</f>
        <v>?</v>
      </c>
      <c r="AT38" t="str" cm="1">
        <f t="array" ref="AT38">_xlfn.XLOOKUP(TRUE, EXACT(AR38, Table1[orig]), Table1[(Y)])</f>
        <v>l2</v>
      </c>
      <c r="AU38" s="6" t="str" cm="1">
        <f t="array" ref="AU38">_xlfn.XLOOKUP(TRUE, EXACT(Table2[[#This Row],[Y'']], Table9[orig]), Table9[char])</f>
        <v>n</v>
      </c>
      <c r="AV38" t="str" cm="1">
        <f t="array" ref="AV38">_xlfn.XLOOKUP(TRUE, EXACT(Table2[[#This Row],[orig]], Table3[orig]), Table3[(Z)])</f>
        <v>b2</v>
      </c>
      <c r="AW38" s="6" t="str" cm="1">
        <f t="array" ref="AW38">_xlfn.XLOOKUP(TRUE, EXACT(Table2[[#This Row],[Z]], Table9[orig]), Table9[char])</f>
        <v>~</v>
      </c>
      <c r="AX38" t="str" cm="1">
        <f t="array" ref="AX38">_xlfn.XLOOKUP(TRUE, EXACT(AV38, Table3[orig]), Table3[(Z)])</f>
        <v>b2</v>
      </c>
      <c r="AY38" s="6" t="str" cm="1">
        <f t="array" ref="AY38">_xlfn.XLOOKUP(TRUE, EXACT(Table2[[#This Row],[Z2]], Table9[orig]), Table9[char])</f>
        <v>~</v>
      </c>
      <c r="AZ38" t="str" cm="1">
        <f t="array" ref="AZ38">_xlfn.XLOOKUP(TRUE, EXACT(AX38, Table3[orig]), Table3[(Z)])</f>
        <v>b2</v>
      </c>
      <c r="BA38" s="6" t="str" cm="1">
        <f t="array" ref="BA38">_xlfn.XLOOKUP(TRUE, EXACT(Table2[[#This Row],[Z'']], Table9[orig]), Table9[char])</f>
        <v>~</v>
      </c>
      <c r="BB38" t="str" cm="1">
        <f t="array" ref="BB38">_xlfn.XLOOKUP(TRUE, EXACT(Table2[[#This Row],[orig]], Table5[orig]), Table5[(T-reflection)])</f>
        <v>b2</v>
      </c>
      <c r="BC38" s="6" t="str" cm="1">
        <f t="array" ref="BC38">_xlfn.XLOOKUP(TRUE, EXACT(Table2[[#This Row],[T-reflection]], Table9[orig]), Table9[char])</f>
        <v>~</v>
      </c>
      <c r="BD38" t="str" cm="1">
        <f t="array" ref="BD38">_xlfn.XLOOKUP(TRUE, EXACT(Table2[[#This Row],[orig]], Table6[orig]), Table6[(H-reflection)])</f>
        <v>b2</v>
      </c>
      <c r="BE38" s="6" t="str" cm="1">
        <f t="array" ref="BE38">_xlfn.XLOOKUP(TRUE, EXACT(Table2[[#This Row],[H-reflection]], Table9[orig]), Table9[char])</f>
        <v>~</v>
      </c>
      <c r="BF38" t="str" cm="1">
        <f t="array" ref="BF38">_xlfn.XLOOKUP(TRUE, EXACT(Table2[[#This Row],[orig]], Table7[orig]), Table7[(S-reflection)])</f>
        <v>f2</v>
      </c>
      <c r="BG38" s="6" t="str" cm="1">
        <f t="array" ref="BG38">_xlfn.XLOOKUP(TRUE, EXACT(Table2[[#This Row],[S-reflection]], Table9[orig]), Table9[char])</f>
        <v>?</v>
      </c>
    </row>
    <row r="39" spans="1:118" x14ac:dyDescent="0.2">
      <c r="B39" s="7" t="s">
        <v>109</v>
      </c>
      <c r="C39" s="7" t="s">
        <v>125</v>
      </c>
      <c r="D39" s="1">
        <f>CODE(Table9[[#This Row],[char]])</f>
        <v>96</v>
      </c>
      <c r="E39" t="s">
        <v>109</v>
      </c>
      <c r="F39" t="str" cm="1">
        <f t="array" ref="F39">_xlfn.XLOOKUP(TRUE, EXACT(Table9[[#This Row],[inverse]], Table9[orig]), Table9[char])</f>
        <v>`</v>
      </c>
      <c r="G39">
        <f>CODE(Table9[[#This Row],[inv char]])</f>
        <v>96</v>
      </c>
      <c r="H39" t="s">
        <v>98</v>
      </c>
      <c r="I39" t="str" cm="1">
        <f t="array" ref="I39">_xlfn.XLOOKUP(TRUE, EXACT(Table9[[#This Row],[Complement]], Table9[orig]), Table9[char])</f>
        <v>?</v>
      </c>
      <c r="J39" t="s">
        <v>10</v>
      </c>
      <c r="K39" t="str">
        <f>Table9[[#This Row],[orig]] &amp; " "</f>
        <v xml:space="preserve">B2 </v>
      </c>
      <c r="N39" t="s">
        <v>109</v>
      </c>
      <c r="O39" t="s">
        <v>95</v>
      </c>
      <c r="Q39" t="s">
        <v>109</v>
      </c>
      <c r="R39" t="s">
        <v>22</v>
      </c>
      <c r="T39" t="s">
        <v>109</v>
      </c>
      <c r="U39" t="s">
        <v>109</v>
      </c>
      <c r="W39" t="s">
        <v>109</v>
      </c>
      <c r="X39" t="s">
        <v>109</v>
      </c>
      <c r="Z39" t="s">
        <v>109</v>
      </c>
      <c r="AA39" t="s">
        <v>109</v>
      </c>
      <c r="AC39" t="s">
        <v>109</v>
      </c>
      <c r="AD39" t="s">
        <v>94</v>
      </c>
      <c r="AH39" t="str">
        <f t="shared" si="1"/>
        <v>B2</v>
      </c>
      <c r="AI39" s="6" t="str" cm="1">
        <f t="array" ref="AI39">_xlfn.XLOOKUP(TRUE, EXACT(Table2[[#This Row],[orig]], Table9[orig]), Table9[char])</f>
        <v>`</v>
      </c>
      <c r="AJ39" t="str" cm="1">
        <f t="array" ref="AJ39">_xlfn.XLOOKUP(TRUE, EXACT(Table2[[#This Row],[orig]], Table4[orig]), Table4[(X)])</f>
        <v>D2</v>
      </c>
      <c r="AK39" s="6" t="str" cm="1">
        <f t="array" ref="AK39">_xlfn.XLOOKUP(TRUE, EXACT(Table2[[#This Row],[X]], Table9[orig]), Table9[char])</f>
        <v>c</v>
      </c>
      <c r="AL39" t="str" cm="1">
        <f t="array" ref="AL39">_xlfn.XLOOKUP(TRUE, EXACT(AJ39, Table4[orig]), Table4[(X)])</f>
        <v>F2</v>
      </c>
      <c r="AM39" s="6" t="str" cm="1">
        <f t="array" ref="AM39">_xlfn.XLOOKUP(TRUE, EXACT(Table2[[#This Row],[X2]], Table9[orig]), Table9[char])</f>
        <v>$</v>
      </c>
      <c r="AN39" t="str" cm="1">
        <f t="array" ref="AN39">_xlfn.XLOOKUP(TRUE, EXACT(AL39, Table4[orig]), Table4[(X)])</f>
        <v>U2</v>
      </c>
      <c r="AO39" s="6" t="str" cm="1">
        <f t="array" ref="AO39">_xlfn.XLOOKUP(TRUE, EXACT(Table2[[#This Row],[X'']], Table9[orig]), Table9[char])</f>
        <v>\</v>
      </c>
      <c r="AP39" t="str" cm="1">
        <f t="array" ref="AP39">_xlfn.XLOOKUP(TRUE, EXACT(AH39, Table1[orig]), Table1[(Y)])</f>
        <v>R2</v>
      </c>
      <c r="AQ39" s="6" t="str" cm="1">
        <f t="array" ref="AQ39">_xlfn.XLOOKUP(TRUE, EXACT(Table2[[#This Row],[Y]], Table9[orig]), Table9[char])</f>
        <v>J</v>
      </c>
      <c r="AR39" t="str" cm="1">
        <f t="array" ref="AR39">_xlfn.XLOOKUP(TRUE, EXACT(AP39, Table1[orig]), Table1[(Y)])</f>
        <v>F2</v>
      </c>
      <c r="AS39" s="6" t="str" cm="1">
        <f t="array" ref="AS39">_xlfn.XLOOKUP(TRUE, EXACT(Table2[[#This Row],[Y2]], Table9[orig]), Table9[char])</f>
        <v>$</v>
      </c>
      <c r="AT39" t="str" cm="1">
        <f t="array" ref="AT39">_xlfn.XLOOKUP(TRUE, EXACT(AR39, Table1[orig]), Table1[(Y)])</f>
        <v>L2</v>
      </c>
      <c r="AU39" s="6" t="str" cm="1">
        <f t="array" ref="AU39">_xlfn.XLOOKUP(TRUE, EXACT(Table2[[#This Row],[Y'']], Table9[orig]), Table9[char])</f>
        <v>N</v>
      </c>
      <c r="AV39" t="str" cm="1">
        <f t="array" ref="AV39">_xlfn.XLOOKUP(TRUE, EXACT(Table2[[#This Row],[orig]], Table3[orig]), Table3[(Z)])</f>
        <v>B2</v>
      </c>
      <c r="AW39" s="6" t="str" cm="1">
        <f t="array" ref="AW39">_xlfn.XLOOKUP(TRUE, EXACT(Table2[[#This Row],[Z]], Table9[orig]), Table9[char])</f>
        <v>`</v>
      </c>
      <c r="AX39" t="str" cm="1">
        <f t="array" ref="AX39">_xlfn.XLOOKUP(TRUE, EXACT(AV39, Table3[orig]), Table3[(Z)])</f>
        <v>B2</v>
      </c>
      <c r="AY39" s="6" t="str" cm="1">
        <f t="array" ref="AY39">_xlfn.XLOOKUP(TRUE, EXACT(Table2[[#This Row],[Z2]], Table9[orig]), Table9[char])</f>
        <v>`</v>
      </c>
      <c r="AZ39" t="str" cm="1">
        <f t="array" ref="AZ39">_xlfn.XLOOKUP(TRUE, EXACT(AX39, Table3[orig]), Table3[(Z)])</f>
        <v>B2</v>
      </c>
      <c r="BA39" s="6" t="str" cm="1">
        <f t="array" ref="BA39">_xlfn.XLOOKUP(TRUE, EXACT(Table2[[#This Row],[Z'']], Table9[orig]), Table9[char])</f>
        <v>`</v>
      </c>
      <c r="BB39" t="str" cm="1">
        <f t="array" ref="BB39">_xlfn.XLOOKUP(TRUE, EXACT(Table2[[#This Row],[orig]], Table5[orig]), Table5[(T-reflection)])</f>
        <v>B2</v>
      </c>
      <c r="BC39" s="6" t="str" cm="1">
        <f t="array" ref="BC39">_xlfn.XLOOKUP(TRUE, EXACT(Table2[[#This Row],[T-reflection]], Table9[orig]), Table9[char])</f>
        <v>`</v>
      </c>
      <c r="BD39" t="str" cm="1">
        <f t="array" ref="BD39">_xlfn.XLOOKUP(TRUE, EXACT(Table2[[#This Row],[orig]], Table6[orig]), Table6[(H-reflection)])</f>
        <v>B2</v>
      </c>
      <c r="BE39" s="6" t="str" cm="1">
        <f t="array" ref="BE39">_xlfn.XLOOKUP(TRUE, EXACT(Table2[[#This Row],[H-reflection]], Table9[orig]), Table9[char])</f>
        <v>`</v>
      </c>
      <c r="BF39" t="str" cm="1">
        <f t="array" ref="BF39">_xlfn.XLOOKUP(TRUE, EXACT(Table2[[#This Row],[orig]], Table7[orig]), Table7[(S-reflection)])</f>
        <v>F2</v>
      </c>
      <c r="BG39" s="6" t="str" cm="1">
        <f t="array" ref="BG39">_xlfn.XLOOKUP(TRUE, EXACT(Table2[[#This Row],[S-reflection]], Table9[orig]), Table9[char])</f>
        <v>$</v>
      </c>
    </row>
    <row r="40" spans="1:118" s="3" customFormat="1" x14ac:dyDescent="0.2">
      <c r="A40"/>
      <c r="B40" s="3" t="s">
        <v>10</v>
      </c>
      <c r="C40" s="10" t="s">
        <v>126</v>
      </c>
      <c r="D40" s="11">
        <f>CODE(Table9[[#This Row],[char]])</f>
        <v>61</v>
      </c>
      <c r="E40" s="3" t="s">
        <v>10</v>
      </c>
      <c r="F40" s="3" t="str" cm="1">
        <f t="array" ref="F40">_xlfn.XLOOKUP(TRUE, EXACT(Table9[[#This Row],[inverse]], Table9[orig]), Table9[char])</f>
        <v>=</v>
      </c>
      <c r="G40" s="3">
        <f>CODE(Table9[[#This Row],[inv char]])</f>
        <v>61</v>
      </c>
      <c r="H40" s="3">
        <v>0</v>
      </c>
      <c r="I40" s="3">
        <v>0</v>
      </c>
      <c r="J40" s="3" t="s">
        <v>10</v>
      </c>
      <c r="K40" t="str">
        <f>Table9[[#This Row],[orig]] &amp; " "</f>
        <v xml:space="preserve">Z2 </v>
      </c>
      <c r="L40"/>
      <c r="N40" s="3" t="s">
        <v>10</v>
      </c>
      <c r="O40" s="3" t="s">
        <v>7</v>
      </c>
      <c r="P40"/>
      <c r="Q40" s="3" t="s">
        <v>10</v>
      </c>
      <c r="R40" s="3" t="s">
        <v>4</v>
      </c>
      <c r="S40"/>
      <c r="T40" s="3" t="s">
        <v>10</v>
      </c>
      <c r="U40" s="3" t="s">
        <v>10</v>
      </c>
      <c r="V40"/>
      <c r="W40" s="3" t="s">
        <v>10</v>
      </c>
      <c r="X40" s="3" t="s">
        <v>10</v>
      </c>
      <c r="Y40"/>
      <c r="Z40" s="3" t="s">
        <v>10</v>
      </c>
      <c r="AA40" s="3" t="s">
        <v>10</v>
      </c>
      <c r="AB40"/>
      <c r="AC40" s="3" t="s">
        <v>10</v>
      </c>
      <c r="AD40" s="3" t="s">
        <v>10</v>
      </c>
      <c r="AE40"/>
      <c r="AF40"/>
      <c r="AG40"/>
      <c r="AH40" s="3" t="str">
        <f t="shared" si="1"/>
        <v>Z2</v>
      </c>
      <c r="AI40" s="9" t="str" cm="1">
        <f t="array" ref="AI40">_xlfn.XLOOKUP(TRUE, EXACT(Table2[[#This Row],[orig]], Table9[orig]), Table9[char])</f>
        <v>=</v>
      </c>
      <c r="AJ40" s="3" t="str" cm="1">
        <f t="array" ref="AJ40">_xlfn.XLOOKUP(TRUE, EXACT(Table2[[#This Row],[orig]], Table4[orig]), Table4[(X)])</f>
        <v>Y2</v>
      </c>
      <c r="AK40" s="9" t="str" cm="1">
        <f t="array" ref="AK40">_xlfn.XLOOKUP(TRUE, EXACT(Table2[[#This Row],[X]], Table9[orig]), Table9[char])</f>
        <v>I</v>
      </c>
      <c r="AL40" s="3" t="str" cm="1">
        <f t="array" ref="AL40">_xlfn.XLOOKUP(TRUE, EXACT(AJ40, Table4[orig]), Table4[(X)])</f>
        <v>Z2</v>
      </c>
      <c r="AM40" s="9" t="str" cm="1">
        <f t="array" ref="AM40">_xlfn.XLOOKUP(TRUE, EXACT(Table2[[#This Row],[X2]], Table9[orig]), Table9[char])</f>
        <v>=</v>
      </c>
      <c r="AN40" s="3" t="str" cm="1">
        <f t="array" ref="AN40">_xlfn.XLOOKUP(TRUE, EXACT(AL40, Table4[orig]), Table4[(X)])</f>
        <v>Y2</v>
      </c>
      <c r="AO40" s="9" t="str" cm="1">
        <f t="array" ref="AO40">_xlfn.XLOOKUP(TRUE, EXACT(Table2[[#This Row],[X'']], Table9[orig]), Table9[char])</f>
        <v>I</v>
      </c>
      <c r="AP40" s="3" t="str" cm="1">
        <f t="array" ref="AP40">_xlfn.XLOOKUP(TRUE, EXACT(AH40, Table1[orig]), Table1[(Y)])</f>
        <v>X2</v>
      </c>
      <c r="AQ40" s="9" t="str" cm="1">
        <f t="array" ref="AQ40">_xlfn.XLOOKUP(TRUE, EXACT(Table2[[#This Row],[Y]], Table9[orig]), Table9[char])</f>
        <v>P</v>
      </c>
      <c r="AR40" s="3" t="str" cm="1">
        <f t="array" ref="AR40">_xlfn.XLOOKUP(TRUE, EXACT(AP40, Table1[orig]), Table1[(Y)])</f>
        <v>Z2</v>
      </c>
      <c r="AS40" s="9" t="str" cm="1">
        <f t="array" ref="AS40">_xlfn.XLOOKUP(TRUE, EXACT(Table2[[#This Row],[Y2]], Table9[orig]), Table9[char])</f>
        <v>=</v>
      </c>
      <c r="AT40" s="3" t="str" cm="1">
        <f t="array" ref="AT40">_xlfn.XLOOKUP(TRUE, EXACT(AR40, Table1[orig]), Table1[(Y)])</f>
        <v>X2</v>
      </c>
      <c r="AU40" s="9" t="str" cm="1">
        <f t="array" ref="AU40">_xlfn.XLOOKUP(TRUE, EXACT(Table2[[#This Row],[Y'']], Table9[orig]), Table9[char])</f>
        <v>P</v>
      </c>
      <c r="AV40" s="3" t="str" cm="1">
        <f t="array" ref="AV40">_xlfn.XLOOKUP(TRUE, EXACT(Table2[[#This Row],[orig]], Table3[orig]), Table3[(Z)])</f>
        <v>Z2</v>
      </c>
      <c r="AW40" s="9" t="str" cm="1">
        <f t="array" ref="AW40">_xlfn.XLOOKUP(TRUE, EXACT(Table2[[#This Row],[Z]], Table9[orig]), Table9[char])</f>
        <v>=</v>
      </c>
      <c r="AX40" s="3" t="str" cm="1">
        <f t="array" ref="AX40">_xlfn.XLOOKUP(TRUE, EXACT(AV40, Table3[orig]), Table3[(Z)])</f>
        <v>Z2</v>
      </c>
      <c r="AY40" s="9" t="str" cm="1">
        <f t="array" ref="AY40">_xlfn.XLOOKUP(TRUE, EXACT(Table2[[#This Row],[Z2]], Table9[orig]), Table9[char])</f>
        <v>=</v>
      </c>
      <c r="AZ40" s="3" t="str" cm="1">
        <f t="array" ref="AZ40">_xlfn.XLOOKUP(TRUE, EXACT(AX40, Table3[orig]), Table3[(Z)])</f>
        <v>Z2</v>
      </c>
      <c r="BA40" s="9" t="str" cm="1">
        <f t="array" ref="BA40">_xlfn.XLOOKUP(TRUE, EXACT(Table2[[#This Row],[Z'']], Table9[orig]), Table9[char])</f>
        <v>=</v>
      </c>
      <c r="BB40" s="3" t="str" cm="1">
        <f t="array" ref="BB40">_xlfn.XLOOKUP(TRUE, EXACT(Table2[[#This Row],[orig]], Table5[orig]), Table5[(T-reflection)])</f>
        <v>Z2</v>
      </c>
      <c r="BC40" s="9" t="str" cm="1">
        <f t="array" ref="BC40">_xlfn.XLOOKUP(TRUE, EXACT(Table2[[#This Row],[T-reflection]], Table9[orig]), Table9[char])</f>
        <v>=</v>
      </c>
      <c r="BD40" s="3" t="str" cm="1">
        <f t="array" ref="BD40">_xlfn.XLOOKUP(TRUE, EXACT(Table2[[#This Row],[orig]], Table6[orig]), Table6[(H-reflection)])</f>
        <v>Z2</v>
      </c>
      <c r="BE40" s="9" t="str" cm="1">
        <f t="array" ref="BE40">_xlfn.XLOOKUP(TRUE, EXACT(Table2[[#This Row],[H-reflection]], Table9[orig]), Table9[char])</f>
        <v>=</v>
      </c>
      <c r="BF40" s="3" t="str" cm="1">
        <f t="array" ref="BF40">_xlfn.XLOOKUP(TRUE, EXACT(Table2[[#This Row],[orig]], Table7[orig]), Table7[(S-reflection)])</f>
        <v>Z2</v>
      </c>
      <c r="BG40" s="6" t="str" cm="1">
        <f t="array" ref="BG40">_xlfn.XLOOKUP(TRUE, EXACT(Table2[[#This Row],[S-reflection]], Table9[orig]), Table9[char])</f>
        <v>=</v>
      </c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</row>
    <row r="41" spans="1:118" x14ac:dyDescent="0.2">
      <c r="B41" s="7" t="s">
        <v>77</v>
      </c>
      <c r="C41" s="7" t="s">
        <v>77</v>
      </c>
      <c r="D41" s="1">
        <f>CODE(Table9[[#This Row],[char]])</f>
        <v>85</v>
      </c>
      <c r="E41" t="s">
        <v>90</v>
      </c>
      <c r="F41" t="str" cm="1">
        <f t="array" ref="F41">_xlfn.XLOOKUP(TRUE, EXACT(Table9[[#This Row],[inverse]], Table9[orig]), Table9[char])</f>
        <v>.</v>
      </c>
      <c r="G41">
        <f>CODE(Table9[[#This Row],[inv char]])</f>
        <v>46</v>
      </c>
      <c r="H41" t="s">
        <v>27</v>
      </c>
      <c r="I41" t="str" cm="1">
        <f t="array" ref="I41">_xlfn.XLOOKUP(TRUE, EXACT(Table9[[#This Row],[Complement]], Table9[orig]), Table9[char])</f>
        <v>d</v>
      </c>
      <c r="J41" t="s">
        <v>5</v>
      </c>
      <c r="K41" t="str">
        <f>Table9[[#This Row],[orig]] &amp; " "</f>
        <v xml:space="preserve">U </v>
      </c>
      <c r="N41" t="s">
        <v>77</v>
      </c>
      <c r="O41" t="s">
        <v>30</v>
      </c>
      <c r="Q41" t="s">
        <v>77</v>
      </c>
      <c r="R41" t="s">
        <v>77</v>
      </c>
      <c r="T41" t="s">
        <v>77</v>
      </c>
      <c r="U41" t="s">
        <v>18</v>
      </c>
      <c r="W41" t="s">
        <v>77</v>
      </c>
      <c r="X41" t="s">
        <v>90</v>
      </c>
      <c r="Z41" t="s">
        <v>77</v>
      </c>
      <c r="AA41" t="s">
        <v>79</v>
      </c>
      <c r="AC41" t="s">
        <v>77</v>
      </c>
      <c r="AD41" t="s">
        <v>90</v>
      </c>
      <c r="AH41" t="str">
        <f t="shared" si="1"/>
        <v>U</v>
      </c>
      <c r="AI41" s="6" t="str" cm="1">
        <f t="array" ref="AI41">_xlfn.XLOOKUP(TRUE, EXACT(Table2[[#This Row],[orig]], Table9[orig]), Table9[char])</f>
        <v>U</v>
      </c>
      <c r="AJ41" t="str" cm="1">
        <f t="array" ref="AJ41">_xlfn.XLOOKUP(TRUE, EXACT(Table2[[#This Row],[orig]], Table4[orig]), Table4[(X)])</f>
        <v>B</v>
      </c>
      <c r="AK41" s="6" t="str" cm="1">
        <f t="array" ref="AK41">_xlfn.XLOOKUP(TRUE, EXACT(Table2[[#This Row],[X]], Table9[orig]), Table9[char])</f>
        <v>B</v>
      </c>
      <c r="AL41" t="str" cm="1">
        <f t="array" ref="AL41">_xlfn.XLOOKUP(TRUE, EXACT(AJ41, Table4[orig]), Table4[(X)])</f>
        <v>D</v>
      </c>
      <c r="AM41" s="6" t="str" cm="1">
        <f t="array" ref="AM41">_xlfn.XLOOKUP(TRUE, EXACT(Table2[[#This Row],[X2]], Table9[orig]), Table9[char])</f>
        <v>D</v>
      </c>
      <c r="AN41" t="str" cm="1">
        <f t="array" ref="AN41">_xlfn.XLOOKUP(TRUE, EXACT(AL41, Table4[orig]), Table4[(X)])</f>
        <v>F</v>
      </c>
      <c r="AO41" s="6" t="str" cm="1">
        <f t="array" ref="AO41">_xlfn.XLOOKUP(TRUE, EXACT(Table2[[#This Row],[X'']], Table9[orig]), Table9[char])</f>
        <v>F</v>
      </c>
      <c r="AP41" t="str" cm="1">
        <f t="array" ref="AP41">_xlfn.XLOOKUP(TRUE, EXACT(AH41, Table1[orig]), Table1[(Y)])</f>
        <v>U</v>
      </c>
      <c r="AQ41" s="6" t="str" cm="1">
        <f t="array" ref="AQ41">_xlfn.XLOOKUP(TRUE, EXACT(Table2[[#This Row],[Y]], Table9[orig]), Table9[char])</f>
        <v>U</v>
      </c>
      <c r="AR41" t="str" cm="1">
        <f t="array" ref="AR41">_xlfn.XLOOKUP(TRUE, EXACT(AP41, Table1[orig]), Table1[(Y)])</f>
        <v>U</v>
      </c>
      <c r="AS41" s="6" t="str" cm="1">
        <f t="array" ref="AS41">_xlfn.XLOOKUP(TRUE, EXACT(Table2[[#This Row],[Y2]], Table9[orig]), Table9[char])</f>
        <v>U</v>
      </c>
      <c r="AT41" t="str" cm="1">
        <f t="array" ref="AT41">_xlfn.XLOOKUP(TRUE, EXACT(AR41, Table1[orig]), Table1[(Y)])</f>
        <v>U</v>
      </c>
      <c r="AU41" s="6" t="str" cm="1">
        <f t="array" ref="AU41">_xlfn.XLOOKUP(TRUE, EXACT(Table2[[#This Row],[Y'']], Table9[orig]), Table9[char])</f>
        <v>U</v>
      </c>
      <c r="AV41" t="str" cm="1">
        <f t="array" ref="AV41">_xlfn.XLOOKUP(TRUE, EXACT(Table2[[#This Row],[orig]], Table3[orig]), Table3[(Z)])</f>
        <v>R</v>
      </c>
      <c r="AW41" s="6" t="str" cm="1">
        <f t="array" ref="AW41">_xlfn.XLOOKUP(TRUE, EXACT(Table2[[#This Row],[Z]], Table9[orig]), Table9[char])</f>
        <v>R</v>
      </c>
      <c r="AX41" t="str" cm="1">
        <f t="array" ref="AX41">_xlfn.XLOOKUP(TRUE, EXACT(AV41, Table3[orig]), Table3[(Z)])</f>
        <v>D</v>
      </c>
      <c r="AY41" s="6" t="str" cm="1">
        <f t="array" ref="AY41">_xlfn.XLOOKUP(TRUE, EXACT(Table2[[#This Row],[Z2]], Table9[orig]), Table9[char])</f>
        <v>D</v>
      </c>
      <c r="AZ41" t="str" cm="1">
        <f t="array" ref="AZ41">_xlfn.XLOOKUP(TRUE, EXACT(AX41, Table3[orig]), Table3[(Z)])</f>
        <v>L</v>
      </c>
      <c r="BA41" s="6" t="str" cm="1">
        <f t="array" ref="BA41">_xlfn.XLOOKUP(TRUE, EXACT(Table2[[#This Row],[Z'']], Table9[orig]), Table9[char])</f>
        <v>L</v>
      </c>
      <c r="BB41" t="str" cm="1">
        <f t="array" ref="BB41">_xlfn.XLOOKUP(TRUE, EXACT(Table2[[#This Row],[orig]], Table5[orig]), Table5[(T-reflection)])</f>
        <v>U'</v>
      </c>
      <c r="BC41" s="6" t="str" cm="1">
        <f t="array" ref="BC41">_xlfn.XLOOKUP(TRUE, EXACT(Table2[[#This Row],[T-reflection]], Table9[orig]), Table9[char])</f>
        <v>.</v>
      </c>
      <c r="BD41" t="str" cm="1">
        <f t="array" ref="BD41">_xlfn.XLOOKUP(TRUE, EXACT(Table2[[#This Row],[orig]], Table6[orig]), Table6[(H-reflection)])</f>
        <v>D'</v>
      </c>
      <c r="BE41" s="6" t="str" cm="1">
        <f t="array" ref="BE41">_xlfn.XLOOKUP(TRUE, EXACT(Table2[[#This Row],[H-reflection]], Table9[orig]), Table9[char])</f>
        <v>%</v>
      </c>
      <c r="BF41" t="str" cm="1">
        <f t="array" ref="BF41">_xlfn.XLOOKUP(TRUE, EXACT(Table2[[#This Row],[orig]], Table7[orig]), Table7[(S-reflection)])</f>
        <v>U'</v>
      </c>
      <c r="BG41" s="6" t="str" cm="1">
        <f t="array" ref="BG41">_xlfn.XLOOKUP(TRUE, EXACT(Table2[[#This Row],[S-reflection]], Table9[orig]), Table9[char])</f>
        <v>.</v>
      </c>
    </row>
    <row r="42" spans="1:118" x14ac:dyDescent="0.2">
      <c r="B42" t="s">
        <v>76</v>
      </c>
      <c r="C42" t="s">
        <v>76</v>
      </c>
      <c r="D42" s="1">
        <f>CODE(Table9[[#This Row],[char]])</f>
        <v>117</v>
      </c>
      <c r="E42" t="s">
        <v>87</v>
      </c>
      <c r="F42" t="str" cm="1">
        <f t="array" ref="F42">_xlfn.XLOOKUP(TRUE, EXACT(Table9[[#This Row],[inverse]], Table9[orig]), Table9[char])</f>
        <v>-</v>
      </c>
      <c r="G42">
        <f>CODE(Table9[[#This Row],[inv char]])</f>
        <v>45</v>
      </c>
      <c r="H42" t="s">
        <v>32</v>
      </c>
      <c r="I42" t="str" cm="1">
        <f t="array" ref="I42">_xlfn.XLOOKUP(TRUE, EXACT(Table9[[#This Row],[Complement]], Table9[orig]), Table9[char])</f>
        <v>D</v>
      </c>
      <c r="J42" t="s">
        <v>5</v>
      </c>
      <c r="K42" t="str">
        <f>Table9[[#This Row],[orig]] &amp; " "</f>
        <v xml:space="preserve">u </v>
      </c>
      <c r="N42" t="s">
        <v>76</v>
      </c>
      <c r="O42" t="s">
        <v>25</v>
      </c>
      <c r="Q42" t="s">
        <v>76</v>
      </c>
      <c r="R42" t="s">
        <v>76</v>
      </c>
      <c r="T42" t="s">
        <v>76</v>
      </c>
      <c r="U42" t="s">
        <v>67</v>
      </c>
      <c r="W42" t="s">
        <v>76</v>
      </c>
      <c r="X42" t="s">
        <v>87</v>
      </c>
      <c r="Z42" t="s">
        <v>76</v>
      </c>
      <c r="AA42" t="s">
        <v>81</v>
      </c>
      <c r="AC42" t="s">
        <v>76</v>
      </c>
      <c r="AD42" t="s">
        <v>87</v>
      </c>
      <c r="AH42" t="str">
        <f t="shared" si="1"/>
        <v>u</v>
      </c>
      <c r="AI42" s="6" t="str" cm="1">
        <f t="array" ref="AI42">_xlfn.XLOOKUP(TRUE, EXACT(Table2[[#This Row],[orig]], Table9[orig]), Table9[char])</f>
        <v>u</v>
      </c>
      <c r="AJ42" t="str" cm="1">
        <f t="array" ref="AJ42">_xlfn.XLOOKUP(TRUE, EXACT(Table2[[#This Row],[orig]], Table4[orig]), Table4[(X)])</f>
        <v>b</v>
      </c>
      <c r="AK42" s="6" t="str" cm="1">
        <f t="array" ref="AK42">_xlfn.XLOOKUP(TRUE, EXACT(Table2[[#This Row],[X]], Table9[orig]), Table9[char])</f>
        <v>b</v>
      </c>
      <c r="AL42" t="str" cm="1">
        <f t="array" ref="AL42">_xlfn.XLOOKUP(TRUE, EXACT(AJ42, Table4[orig]), Table4[(X)])</f>
        <v>d</v>
      </c>
      <c r="AM42" s="6" t="str" cm="1">
        <f t="array" ref="AM42">_xlfn.XLOOKUP(TRUE, EXACT(Table2[[#This Row],[X2]], Table9[orig]), Table9[char])</f>
        <v>d</v>
      </c>
      <c r="AN42" t="str" cm="1">
        <f t="array" ref="AN42">_xlfn.XLOOKUP(TRUE, EXACT(AL42, Table4[orig]), Table4[(X)])</f>
        <v>f</v>
      </c>
      <c r="AO42" s="6" t="str" cm="1">
        <f t="array" ref="AO42">_xlfn.XLOOKUP(TRUE, EXACT(Table2[[#This Row],[X'']], Table9[orig]), Table9[char])</f>
        <v>f</v>
      </c>
      <c r="AP42" t="str" cm="1">
        <f t="array" ref="AP42">_xlfn.XLOOKUP(TRUE, EXACT(AH42, Table1[orig]), Table1[(Y)])</f>
        <v>u</v>
      </c>
      <c r="AQ42" s="6" t="str" cm="1">
        <f t="array" ref="AQ42">_xlfn.XLOOKUP(TRUE, EXACT(Table2[[#This Row],[Y]], Table9[orig]), Table9[char])</f>
        <v>u</v>
      </c>
      <c r="AR42" t="str" cm="1">
        <f t="array" ref="AR42">_xlfn.XLOOKUP(TRUE, EXACT(AP42, Table1[orig]), Table1[(Y)])</f>
        <v>u</v>
      </c>
      <c r="AS42" s="6" t="str" cm="1">
        <f t="array" ref="AS42">_xlfn.XLOOKUP(TRUE, EXACT(Table2[[#This Row],[Y2]], Table9[orig]), Table9[char])</f>
        <v>u</v>
      </c>
      <c r="AT42" t="str" cm="1">
        <f t="array" ref="AT42">_xlfn.XLOOKUP(TRUE, EXACT(AR42, Table1[orig]), Table1[(Y)])</f>
        <v>u</v>
      </c>
      <c r="AU42" s="6" t="str" cm="1">
        <f t="array" ref="AU42">_xlfn.XLOOKUP(TRUE, EXACT(Table2[[#This Row],[Y'']], Table9[orig]), Table9[char])</f>
        <v>u</v>
      </c>
      <c r="AV42" t="str" cm="1">
        <f t="array" ref="AV42">_xlfn.XLOOKUP(TRUE, EXACT(Table2[[#This Row],[orig]], Table3[orig]), Table3[(Z)])</f>
        <v>r</v>
      </c>
      <c r="AW42" s="6" t="str" cm="1">
        <f t="array" ref="AW42">_xlfn.XLOOKUP(TRUE, EXACT(Table2[[#This Row],[Z]], Table9[orig]), Table9[char])</f>
        <v>r</v>
      </c>
      <c r="AX42" t="str" cm="1">
        <f t="array" ref="AX42">_xlfn.XLOOKUP(TRUE, EXACT(AV42, Table3[orig]), Table3[(Z)])</f>
        <v>d</v>
      </c>
      <c r="AY42" s="6" t="str" cm="1">
        <f t="array" ref="AY42">_xlfn.XLOOKUP(TRUE, EXACT(Table2[[#This Row],[Z2]], Table9[orig]), Table9[char])</f>
        <v>d</v>
      </c>
      <c r="AZ42" t="str" cm="1">
        <f t="array" ref="AZ42">_xlfn.XLOOKUP(TRUE, EXACT(AX42, Table3[orig]), Table3[(Z)])</f>
        <v>l</v>
      </c>
      <c r="BA42" s="6" t="str" cm="1">
        <f t="array" ref="BA42">_xlfn.XLOOKUP(TRUE, EXACT(Table2[[#This Row],[Z'']], Table9[orig]), Table9[char])</f>
        <v>l</v>
      </c>
      <c r="BB42" t="str" cm="1">
        <f t="array" ref="BB42">_xlfn.XLOOKUP(TRUE, EXACT(Table2[[#This Row],[orig]], Table5[orig]), Table5[(T-reflection)])</f>
        <v>u'</v>
      </c>
      <c r="BC42" s="6" t="str" cm="1">
        <f t="array" ref="BC42">_xlfn.XLOOKUP(TRUE, EXACT(Table2[[#This Row],[T-reflection]], Table9[orig]), Table9[char])</f>
        <v>-</v>
      </c>
      <c r="BD42" t="str" cm="1">
        <f t="array" ref="BD42">_xlfn.XLOOKUP(TRUE, EXACT(Table2[[#This Row],[orig]], Table6[orig]), Table6[(H-reflection)])</f>
        <v>d'</v>
      </c>
      <c r="BE42" s="6" t="str" cm="1">
        <f t="array" ref="BE42">_xlfn.XLOOKUP(TRUE, EXACT(Table2[[#This Row],[H-reflection]], Table9[orig]), Table9[char])</f>
        <v>k</v>
      </c>
      <c r="BF42" t="str" cm="1">
        <f t="array" ref="BF42">_xlfn.XLOOKUP(TRUE, EXACT(Table2[[#This Row],[orig]], Table7[orig]), Table7[(S-reflection)])</f>
        <v>u'</v>
      </c>
      <c r="BG42" s="6" t="str" cm="1">
        <f t="array" ref="BG42">_xlfn.XLOOKUP(TRUE, EXACT(Table2[[#This Row],[S-reflection]], Table9[orig]), Table9[char])</f>
        <v>-</v>
      </c>
    </row>
    <row r="43" spans="1:118" x14ac:dyDescent="0.2">
      <c r="B43" s="7" t="s">
        <v>84</v>
      </c>
      <c r="C43" s="7" t="s">
        <v>84</v>
      </c>
      <c r="D43" s="1">
        <f>CODE(Table9[[#This Row],[char]])</f>
        <v>72</v>
      </c>
      <c r="E43" t="s">
        <v>75</v>
      </c>
      <c r="F43" t="str" cm="1">
        <f t="array" ref="F43">_xlfn.XLOOKUP(TRUE, EXACT(Table9[[#This Row],[inverse]], Table9[orig]), Table9[char])</f>
        <v>+</v>
      </c>
      <c r="G43">
        <f>CODE(Table9[[#This Row],[inv char]])</f>
        <v>43</v>
      </c>
      <c r="H43" t="s">
        <v>127</v>
      </c>
      <c r="I43" t="str" cm="1">
        <f t="array" ref="I43">_xlfn.CONCAT(_xlfn.XLOOKUP(TRUE, EXACT(B47, Table9[orig]), Table9[char]), _xlfn.XLOOKUP(TRUE, EXACT(B45, Table9[orig]), Table9[char]))</f>
        <v>.D</v>
      </c>
      <c r="J43" t="s">
        <v>5</v>
      </c>
      <c r="K43" t="str">
        <f>Table9[[#This Row],[orig]] &amp; " "</f>
        <v xml:space="preserve">H </v>
      </c>
      <c r="N43" t="s">
        <v>84</v>
      </c>
      <c r="O43" t="s">
        <v>83</v>
      </c>
      <c r="Q43" t="s">
        <v>84</v>
      </c>
      <c r="R43" t="s">
        <v>84</v>
      </c>
      <c r="T43" t="s">
        <v>84</v>
      </c>
      <c r="U43" t="s">
        <v>71</v>
      </c>
      <c r="W43" t="s">
        <v>84</v>
      </c>
      <c r="X43" t="s">
        <v>75</v>
      </c>
      <c r="Z43" t="s">
        <v>84</v>
      </c>
      <c r="AA43" t="s">
        <v>84</v>
      </c>
      <c r="AC43" t="s">
        <v>84</v>
      </c>
      <c r="AD43" t="s">
        <v>75</v>
      </c>
      <c r="AH43" t="str">
        <f t="shared" si="1"/>
        <v>H</v>
      </c>
      <c r="AI43" s="6" t="str" cm="1">
        <f t="array" ref="AI43">_xlfn.XLOOKUP(TRUE, EXACT(Table2[[#This Row],[orig]], Table9[orig]), Table9[char])</f>
        <v>H</v>
      </c>
      <c r="AJ43" t="str" cm="1">
        <f t="array" ref="AJ43">_xlfn.XLOOKUP(TRUE, EXACT(Table2[[#This Row],[orig]], Table4[orig]), Table4[(X)])</f>
        <v>S'</v>
      </c>
      <c r="AK43" s="6" t="str" cm="1">
        <f t="array" ref="AK43">_xlfn.XLOOKUP(TRUE, EXACT(Table2[[#This Row],[X]], Table9[orig]), Table9[char])</f>
        <v>V</v>
      </c>
      <c r="AL43" t="str" cm="1">
        <f t="array" ref="AL43">_xlfn.XLOOKUP(TRUE, EXACT(AJ43, Table4[orig]), Table4[(X)])</f>
        <v>H'</v>
      </c>
      <c r="AM43" s="6" t="str" cm="1">
        <f t="array" ref="AM43">_xlfn.XLOOKUP(TRUE, EXACT(Table2[[#This Row],[X2]], Table9[orig]), Table9[char])</f>
        <v>+</v>
      </c>
      <c r="AN43" t="str" cm="1">
        <f t="array" ref="AN43">_xlfn.XLOOKUP(TRUE, EXACT(AL43, Table4[orig]), Table4[(X)])</f>
        <v>S</v>
      </c>
      <c r="AO43" s="6" t="str" cm="1">
        <f t="array" ref="AO43">_xlfn.XLOOKUP(TRUE, EXACT(Table2[[#This Row],[X'']], Table9[orig]), Table9[char])</f>
        <v>S</v>
      </c>
      <c r="AP43" t="str" cm="1">
        <f t="array" ref="AP43">_xlfn.XLOOKUP(TRUE, EXACT(AH43, Table1[orig]), Table1[(Y)])</f>
        <v>H</v>
      </c>
      <c r="AQ43" s="6" t="str" cm="1">
        <f t="array" ref="AQ43">_xlfn.XLOOKUP(TRUE, EXACT(Table2[[#This Row],[Y]], Table9[orig]), Table9[char])</f>
        <v>H</v>
      </c>
      <c r="AR43" t="str" cm="1">
        <f t="array" ref="AR43">_xlfn.XLOOKUP(TRUE, EXACT(AP43, Table1[orig]), Table1[(Y)])</f>
        <v>H</v>
      </c>
      <c r="AS43" s="6" t="str" cm="1">
        <f t="array" ref="AS43">_xlfn.XLOOKUP(TRUE, EXACT(Table2[[#This Row],[Y2]], Table9[orig]), Table9[char])</f>
        <v>H</v>
      </c>
      <c r="AT43" t="str" cm="1">
        <f t="array" ref="AT43">_xlfn.XLOOKUP(TRUE, EXACT(AR43, Table1[orig]), Table1[(Y)])</f>
        <v>H</v>
      </c>
      <c r="AU43" s="6" t="str" cm="1">
        <f t="array" ref="AU43">_xlfn.XLOOKUP(TRUE, EXACT(Table2[[#This Row],[Y'']], Table9[orig]), Table9[char])</f>
        <v>H</v>
      </c>
      <c r="AV43" t="str" cm="1">
        <f t="array" ref="AV43">_xlfn.XLOOKUP(TRUE, EXACT(Table2[[#This Row],[orig]], Table3[orig]), Table3[(Z)])</f>
        <v>T</v>
      </c>
      <c r="AW43" s="6" t="str" cm="1">
        <f t="array" ref="AW43">_xlfn.XLOOKUP(TRUE, EXACT(Table2[[#This Row],[Z]], Table9[orig]), Table9[char])</f>
        <v>T</v>
      </c>
      <c r="AX43" t="str" cm="1">
        <f t="array" ref="AX43">_xlfn.XLOOKUP(TRUE, EXACT(AV43, Table3[orig]), Table3[(Z)])</f>
        <v>H'</v>
      </c>
      <c r="AY43" s="6" t="str" cm="1">
        <f t="array" ref="AY43">_xlfn.XLOOKUP(TRUE, EXACT(Table2[[#This Row],[Z2]], Table9[orig]), Table9[char])</f>
        <v>+</v>
      </c>
      <c r="AZ43" t="str" cm="1">
        <f t="array" ref="AZ43">_xlfn.XLOOKUP(TRUE, EXACT(AX43, Table3[orig]), Table3[(Z)])</f>
        <v>T'</v>
      </c>
      <c r="BA43" s="6" t="str" cm="1">
        <f t="array" ref="BA43">_xlfn.XLOOKUP(TRUE, EXACT(Table2[[#This Row],[Z'']], Table9[orig]), Table9[char])</f>
        <v>C</v>
      </c>
      <c r="BB43" t="str" cm="1">
        <f t="array" ref="BB43">_xlfn.XLOOKUP(TRUE, EXACT(Table2[[#This Row],[orig]], Table5[orig]), Table5[(T-reflection)])</f>
        <v>H'</v>
      </c>
      <c r="BC43" s="6" t="str" cm="1">
        <f t="array" ref="BC43">_xlfn.XLOOKUP(TRUE, EXACT(Table2[[#This Row],[T-reflection]], Table9[orig]), Table9[char])</f>
        <v>+</v>
      </c>
      <c r="BD43" t="str" cm="1">
        <f t="array" ref="BD43">_xlfn.XLOOKUP(TRUE, EXACT(Table2[[#This Row],[orig]], Table6[orig]), Table6[(H-reflection)])</f>
        <v>H</v>
      </c>
      <c r="BE43" s="6" t="str" cm="1">
        <f t="array" ref="BE43">_xlfn.XLOOKUP(TRUE, EXACT(Table2[[#This Row],[H-reflection]], Table9[orig]), Table9[char])</f>
        <v>H</v>
      </c>
      <c r="BF43" t="str" cm="1">
        <f t="array" ref="BF43">_xlfn.XLOOKUP(TRUE, EXACT(Table2[[#This Row],[orig]], Table7[orig]), Table7[(S-reflection)])</f>
        <v>H'</v>
      </c>
      <c r="BG43" s="6" t="str" cm="1">
        <f t="array" ref="BG43">_xlfn.XLOOKUP(TRUE, EXACT(Table2[[#This Row],[S-reflection]], Table9[orig]), Table9[char])</f>
        <v>+</v>
      </c>
    </row>
    <row r="44" spans="1:118" x14ac:dyDescent="0.2">
      <c r="B44" t="s">
        <v>27</v>
      </c>
      <c r="C44" t="s">
        <v>27</v>
      </c>
      <c r="D44" s="1">
        <f>CODE(Table9[[#This Row],[char]])</f>
        <v>100</v>
      </c>
      <c r="E44" t="s">
        <v>81</v>
      </c>
      <c r="F44" t="str" cm="1">
        <f t="array" ref="F44">_xlfn.XLOOKUP(TRUE, EXACT(Table9[[#This Row],[inverse]], Table9[orig]), Table9[char])</f>
        <v>k</v>
      </c>
      <c r="G44">
        <f>CODE(Table9[[#This Row],[inv char]])</f>
        <v>107</v>
      </c>
      <c r="H44" t="s">
        <v>77</v>
      </c>
      <c r="I44" t="str" cm="1">
        <f t="array" ref="I44">_xlfn.XLOOKUP(TRUE, EXACT(Table9[[#This Row],[Complement]], Table9[orig]), Table9[char])</f>
        <v>U</v>
      </c>
      <c r="J44" t="s">
        <v>6</v>
      </c>
      <c r="K44" t="str">
        <f>Table9[[#This Row],[orig]] &amp; " "</f>
        <v xml:space="preserve">d </v>
      </c>
      <c r="N44" t="s">
        <v>27</v>
      </c>
      <c r="O44" t="s">
        <v>69</v>
      </c>
      <c r="Q44" t="s">
        <v>27</v>
      </c>
      <c r="R44" t="s">
        <v>27</v>
      </c>
      <c r="T44" t="s">
        <v>27</v>
      </c>
      <c r="U44" t="s">
        <v>65</v>
      </c>
      <c r="W44" t="s">
        <v>27</v>
      </c>
      <c r="X44" t="s">
        <v>81</v>
      </c>
      <c r="Z44" t="s">
        <v>27</v>
      </c>
      <c r="AA44" t="s">
        <v>87</v>
      </c>
      <c r="AC44" t="s">
        <v>27</v>
      </c>
      <c r="AD44" t="s">
        <v>81</v>
      </c>
      <c r="AH44" t="str">
        <f t="shared" si="1"/>
        <v>d</v>
      </c>
      <c r="AI44" s="6" t="str" cm="1">
        <f t="array" ref="AI44">_xlfn.XLOOKUP(TRUE, EXACT(Table2[[#This Row],[orig]], Table9[orig]), Table9[char])</f>
        <v>d</v>
      </c>
      <c r="AJ44" t="str" cm="1">
        <f t="array" ref="AJ44">_xlfn.XLOOKUP(TRUE, EXACT(Table2[[#This Row],[orig]], Table4[orig]), Table4[(X)])</f>
        <v>f</v>
      </c>
      <c r="AK44" s="6" t="str" cm="1">
        <f t="array" ref="AK44">_xlfn.XLOOKUP(TRUE, EXACT(Table2[[#This Row],[X]], Table9[orig]), Table9[char])</f>
        <v>f</v>
      </c>
      <c r="AL44" t="str" cm="1">
        <f t="array" ref="AL44">_xlfn.XLOOKUP(TRUE, EXACT(AJ44, Table4[orig]), Table4[(X)])</f>
        <v>u</v>
      </c>
      <c r="AM44" s="6" t="str" cm="1">
        <f t="array" ref="AM44">_xlfn.XLOOKUP(TRUE, EXACT(Table2[[#This Row],[X2]], Table9[orig]), Table9[char])</f>
        <v>u</v>
      </c>
      <c r="AN44" t="str" cm="1">
        <f t="array" ref="AN44">_xlfn.XLOOKUP(TRUE, EXACT(AL44, Table4[orig]), Table4[(X)])</f>
        <v>b</v>
      </c>
      <c r="AO44" s="6" t="str" cm="1">
        <f t="array" ref="AO44">_xlfn.XLOOKUP(TRUE, EXACT(Table2[[#This Row],[X'']], Table9[orig]), Table9[char])</f>
        <v>b</v>
      </c>
      <c r="AP44" t="str" cm="1">
        <f t="array" ref="AP44">_xlfn.XLOOKUP(TRUE, EXACT(AH44, Table1[orig]), Table1[(Y)])</f>
        <v>d</v>
      </c>
      <c r="AQ44" s="6" t="str" cm="1">
        <f t="array" ref="AQ44">_xlfn.XLOOKUP(TRUE, EXACT(Table2[[#This Row],[Y]], Table9[orig]), Table9[char])</f>
        <v>d</v>
      </c>
      <c r="AR44" t="str" cm="1">
        <f t="array" ref="AR44">_xlfn.XLOOKUP(TRUE, EXACT(AP44, Table1[orig]), Table1[(Y)])</f>
        <v>d</v>
      </c>
      <c r="AS44" s="6" t="str" cm="1">
        <f t="array" ref="AS44">_xlfn.XLOOKUP(TRUE, EXACT(Table2[[#This Row],[Y2]], Table9[orig]), Table9[char])</f>
        <v>d</v>
      </c>
      <c r="AT44" t="str" cm="1">
        <f t="array" ref="AT44">_xlfn.XLOOKUP(TRUE, EXACT(AR44, Table1[orig]), Table1[(Y)])</f>
        <v>d</v>
      </c>
      <c r="AU44" s="6" t="str" cm="1">
        <f t="array" ref="AU44">_xlfn.XLOOKUP(TRUE, EXACT(Table2[[#This Row],[Y'']], Table9[orig]), Table9[char])</f>
        <v>d</v>
      </c>
      <c r="AV44" t="str" cm="1">
        <f t="array" ref="AV44">_xlfn.XLOOKUP(TRUE, EXACT(Table2[[#This Row],[orig]], Table3[orig]), Table3[(Z)])</f>
        <v>l</v>
      </c>
      <c r="AW44" s="6" t="str" cm="1">
        <f t="array" ref="AW44">_xlfn.XLOOKUP(TRUE, EXACT(Table2[[#This Row],[Z]], Table9[orig]), Table9[char])</f>
        <v>l</v>
      </c>
      <c r="AX44" t="str" cm="1">
        <f t="array" ref="AX44">_xlfn.XLOOKUP(TRUE, EXACT(AV44, Table3[orig]), Table3[(Z)])</f>
        <v>u</v>
      </c>
      <c r="AY44" s="6" t="str" cm="1">
        <f t="array" ref="AY44">_xlfn.XLOOKUP(TRUE, EXACT(Table2[[#This Row],[Z2]], Table9[orig]), Table9[char])</f>
        <v>u</v>
      </c>
      <c r="AZ44" t="str" cm="1">
        <f t="array" ref="AZ44">_xlfn.XLOOKUP(TRUE, EXACT(AX44, Table3[orig]), Table3[(Z)])</f>
        <v>r</v>
      </c>
      <c r="BA44" s="6" t="str" cm="1">
        <f t="array" ref="BA44">_xlfn.XLOOKUP(TRUE, EXACT(Table2[[#This Row],[Z'']], Table9[orig]), Table9[char])</f>
        <v>r</v>
      </c>
      <c r="BB44" t="str" cm="1">
        <f t="array" ref="BB44">_xlfn.XLOOKUP(TRUE, EXACT(Table2[[#This Row],[orig]], Table5[orig]), Table5[(T-reflection)])</f>
        <v>d'</v>
      </c>
      <c r="BC44" s="6" t="str" cm="1">
        <f t="array" ref="BC44">_xlfn.XLOOKUP(TRUE, EXACT(Table2[[#This Row],[T-reflection]], Table9[orig]), Table9[char])</f>
        <v>k</v>
      </c>
      <c r="BD44" t="str" cm="1">
        <f t="array" ref="BD44">_xlfn.XLOOKUP(TRUE, EXACT(Table2[[#This Row],[orig]], Table6[orig]), Table6[(H-reflection)])</f>
        <v>u'</v>
      </c>
      <c r="BE44" s="6" t="str" cm="1">
        <f t="array" ref="BE44">_xlfn.XLOOKUP(TRUE, EXACT(Table2[[#This Row],[H-reflection]], Table9[orig]), Table9[char])</f>
        <v>-</v>
      </c>
      <c r="BF44" t="str" cm="1">
        <f t="array" ref="BF44">_xlfn.XLOOKUP(TRUE, EXACT(Table2[[#This Row],[orig]], Table7[orig]), Table7[(S-reflection)])</f>
        <v>d'</v>
      </c>
      <c r="BG44" s="6" t="str" cm="1">
        <f t="array" ref="BG44">_xlfn.XLOOKUP(TRUE, EXACT(Table2[[#This Row],[S-reflection]], Table9[orig]), Table9[char])</f>
        <v>k</v>
      </c>
    </row>
    <row r="45" spans="1:118" x14ac:dyDescent="0.2">
      <c r="B45" s="7" t="s">
        <v>32</v>
      </c>
      <c r="C45" s="7" t="s">
        <v>32</v>
      </c>
      <c r="D45" s="1">
        <f>CODE(Table9[[#This Row],[char]])</f>
        <v>68</v>
      </c>
      <c r="E45" t="s">
        <v>79</v>
      </c>
      <c r="F45" t="str" cm="1">
        <f t="array" ref="F45">_xlfn.XLOOKUP(TRUE, EXACT(Table9[[#This Row],[inverse]], Table9[orig]), Table9[char])</f>
        <v>%</v>
      </c>
      <c r="G45">
        <f>CODE(Table9[[#This Row],[inv char]])</f>
        <v>37</v>
      </c>
      <c r="H45" t="s">
        <v>76</v>
      </c>
      <c r="I45" t="str" cm="1">
        <f t="array" ref="I45">_xlfn.XLOOKUP(TRUE, EXACT(Table9[[#This Row],[Complement]], Table9[orig]), Table9[char])</f>
        <v>u</v>
      </c>
      <c r="J45" t="s">
        <v>6</v>
      </c>
      <c r="K45" t="str">
        <f>Table9[[#This Row],[orig]] &amp; " "</f>
        <v xml:space="preserve">D </v>
      </c>
      <c r="N45" t="s">
        <v>32</v>
      </c>
      <c r="O45" t="s">
        <v>66</v>
      </c>
      <c r="Q45" t="s">
        <v>32</v>
      </c>
      <c r="R45" t="s">
        <v>32</v>
      </c>
      <c r="T45" t="s">
        <v>32</v>
      </c>
      <c r="U45" t="s">
        <v>21</v>
      </c>
      <c r="W45" t="s">
        <v>32</v>
      </c>
      <c r="X45" t="s">
        <v>79</v>
      </c>
      <c r="Z45" t="s">
        <v>32</v>
      </c>
      <c r="AA45" t="s">
        <v>90</v>
      </c>
      <c r="AC45" t="s">
        <v>32</v>
      </c>
      <c r="AD45" t="s">
        <v>79</v>
      </c>
      <c r="AH45" t="str">
        <f t="shared" si="1"/>
        <v>D</v>
      </c>
      <c r="AI45" s="6" t="str" cm="1">
        <f t="array" ref="AI45">_xlfn.XLOOKUP(TRUE, EXACT(Table2[[#This Row],[orig]], Table9[orig]), Table9[char])</f>
        <v>D</v>
      </c>
      <c r="AJ45" t="str" cm="1">
        <f t="array" ref="AJ45">_xlfn.XLOOKUP(TRUE, EXACT(Table2[[#This Row],[orig]], Table4[orig]), Table4[(X)])</f>
        <v>F</v>
      </c>
      <c r="AK45" s="6" t="str" cm="1">
        <f t="array" ref="AK45">_xlfn.XLOOKUP(TRUE, EXACT(Table2[[#This Row],[X]], Table9[orig]), Table9[char])</f>
        <v>F</v>
      </c>
      <c r="AL45" t="str" cm="1">
        <f t="array" ref="AL45">_xlfn.XLOOKUP(TRUE, EXACT(AJ45, Table4[orig]), Table4[(X)])</f>
        <v>U</v>
      </c>
      <c r="AM45" s="6" t="str" cm="1">
        <f t="array" ref="AM45">_xlfn.XLOOKUP(TRUE, EXACT(Table2[[#This Row],[X2]], Table9[orig]), Table9[char])</f>
        <v>U</v>
      </c>
      <c r="AN45" t="str" cm="1">
        <f t="array" ref="AN45">_xlfn.XLOOKUP(TRUE, EXACT(AL45, Table4[orig]), Table4[(X)])</f>
        <v>B</v>
      </c>
      <c r="AO45" s="6" t="str" cm="1">
        <f t="array" ref="AO45">_xlfn.XLOOKUP(TRUE, EXACT(Table2[[#This Row],[X'']], Table9[orig]), Table9[char])</f>
        <v>B</v>
      </c>
      <c r="AP45" t="str" cm="1">
        <f t="array" ref="AP45">_xlfn.XLOOKUP(TRUE, EXACT(AH45, Table1[orig]), Table1[(Y)])</f>
        <v>D</v>
      </c>
      <c r="AQ45" s="6" t="str" cm="1">
        <f t="array" ref="AQ45">_xlfn.XLOOKUP(TRUE, EXACT(Table2[[#This Row],[Y]], Table9[orig]), Table9[char])</f>
        <v>D</v>
      </c>
      <c r="AR45" t="str" cm="1">
        <f t="array" ref="AR45">_xlfn.XLOOKUP(TRUE, EXACT(AP45, Table1[orig]), Table1[(Y)])</f>
        <v>D</v>
      </c>
      <c r="AS45" s="6" t="str" cm="1">
        <f t="array" ref="AS45">_xlfn.XLOOKUP(TRUE, EXACT(Table2[[#This Row],[Y2]], Table9[orig]), Table9[char])</f>
        <v>D</v>
      </c>
      <c r="AT45" t="str" cm="1">
        <f t="array" ref="AT45">_xlfn.XLOOKUP(TRUE, EXACT(AR45, Table1[orig]), Table1[(Y)])</f>
        <v>D</v>
      </c>
      <c r="AU45" s="6" t="str" cm="1">
        <f t="array" ref="AU45">_xlfn.XLOOKUP(TRUE, EXACT(Table2[[#This Row],[Y'']], Table9[orig]), Table9[char])</f>
        <v>D</v>
      </c>
      <c r="AV45" t="str" cm="1">
        <f t="array" ref="AV45">_xlfn.XLOOKUP(TRUE, EXACT(Table2[[#This Row],[orig]], Table3[orig]), Table3[(Z)])</f>
        <v>L</v>
      </c>
      <c r="AW45" s="6" t="str" cm="1">
        <f t="array" ref="AW45">_xlfn.XLOOKUP(TRUE, EXACT(Table2[[#This Row],[Z]], Table9[orig]), Table9[char])</f>
        <v>L</v>
      </c>
      <c r="AX45" t="str" cm="1">
        <f t="array" ref="AX45">_xlfn.XLOOKUP(TRUE, EXACT(AV45, Table3[orig]), Table3[(Z)])</f>
        <v>U</v>
      </c>
      <c r="AY45" s="6" t="str" cm="1">
        <f t="array" ref="AY45">_xlfn.XLOOKUP(TRUE, EXACT(Table2[[#This Row],[Z2]], Table9[orig]), Table9[char])</f>
        <v>U</v>
      </c>
      <c r="AZ45" t="str" cm="1">
        <f t="array" ref="AZ45">_xlfn.XLOOKUP(TRUE, EXACT(AX45, Table3[orig]), Table3[(Z)])</f>
        <v>R</v>
      </c>
      <c r="BA45" s="6" t="str" cm="1">
        <f t="array" ref="BA45">_xlfn.XLOOKUP(TRUE, EXACT(Table2[[#This Row],[Z'']], Table9[orig]), Table9[char])</f>
        <v>R</v>
      </c>
      <c r="BB45" t="str" cm="1">
        <f t="array" ref="BB45">_xlfn.XLOOKUP(TRUE, EXACT(Table2[[#This Row],[orig]], Table5[orig]), Table5[(T-reflection)])</f>
        <v>D'</v>
      </c>
      <c r="BC45" s="6" t="str" cm="1">
        <f t="array" ref="BC45">_xlfn.XLOOKUP(TRUE, EXACT(Table2[[#This Row],[T-reflection]], Table9[orig]), Table9[char])</f>
        <v>%</v>
      </c>
      <c r="BD45" t="str" cm="1">
        <f t="array" ref="BD45">_xlfn.XLOOKUP(TRUE, EXACT(Table2[[#This Row],[orig]], Table6[orig]), Table6[(H-reflection)])</f>
        <v>U'</v>
      </c>
      <c r="BE45" s="6" t="str" cm="1">
        <f t="array" ref="BE45">_xlfn.XLOOKUP(TRUE, EXACT(Table2[[#This Row],[H-reflection]], Table9[orig]), Table9[char])</f>
        <v>.</v>
      </c>
      <c r="BF45" t="str" cm="1">
        <f t="array" ref="BF45">_xlfn.XLOOKUP(TRUE, EXACT(Table2[[#This Row],[orig]], Table7[orig]), Table7[(S-reflection)])</f>
        <v>D'</v>
      </c>
      <c r="BG45" s="6" t="str" cm="1">
        <f t="array" ref="BG45">_xlfn.XLOOKUP(TRUE, EXACT(Table2[[#This Row],[S-reflection]], Table9[orig]), Table9[char])</f>
        <v>%</v>
      </c>
    </row>
    <row r="46" spans="1:118" s="3" customFormat="1" x14ac:dyDescent="0.2">
      <c r="A46"/>
      <c r="B46" s="3" t="s">
        <v>5</v>
      </c>
      <c r="C46" s="3" t="s">
        <v>5</v>
      </c>
      <c r="D46" s="11">
        <f>CODE(Table9[[#This Row],[char]])</f>
        <v>89</v>
      </c>
      <c r="E46" s="3" t="s">
        <v>6</v>
      </c>
      <c r="F46" s="3" t="str" cm="1">
        <f t="array" ref="F46">_xlfn.XLOOKUP(TRUE, EXACT(Table9[[#This Row],[inverse]], Table9[orig]), Table9[char])</f>
        <v>p</v>
      </c>
      <c r="G46" s="3">
        <f>CODE(Table9[[#This Row],[inv char]])</f>
        <v>112</v>
      </c>
      <c r="H46" s="3">
        <v>0</v>
      </c>
      <c r="I46" s="3">
        <v>0</v>
      </c>
      <c r="J46" s="3" t="s">
        <v>5</v>
      </c>
      <c r="K46" t="str">
        <f>Table9[[#This Row],[orig]] &amp; " "</f>
        <v xml:space="preserve">Y </v>
      </c>
      <c r="L46"/>
      <c r="N46" s="3" t="s">
        <v>5</v>
      </c>
      <c r="O46" s="3" t="s">
        <v>9</v>
      </c>
      <c r="P46"/>
      <c r="Q46" s="3" t="s">
        <v>5</v>
      </c>
      <c r="R46" s="3" t="s">
        <v>5</v>
      </c>
      <c r="S46"/>
      <c r="T46" s="3" t="s">
        <v>5</v>
      </c>
      <c r="U46" s="3" t="s">
        <v>2</v>
      </c>
      <c r="V46"/>
      <c r="W46" s="3" t="s">
        <v>5</v>
      </c>
      <c r="X46" s="3" t="s">
        <v>6</v>
      </c>
      <c r="Y46"/>
      <c r="Z46" s="3" t="s">
        <v>5</v>
      </c>
      <c r="AA46" s="3" t="s">
        <v>5</v>
      </c>
      <c r="AB46"/>
      <c r="AC46" s="3" t="s">
        <v>5</v>
      </c>
      <c r="AD46" s="3" t="s">
        <v>6</v>
      </c>
      <c r="AE46"/>
      <c r="AF46"/>
      <c r="AG46"/>
      <c r="AH46" s="3" t="str">
        <f t="shared" si="1"/>
        <v>Y</v>
      </c>
      <c r="AI46" s="9" t="str" cm="1">
        <f t="array" ref="AI46">_xlfn.XLOOKUP(TRUE, EXACT(Table2[[#This Row],[orig]], Table9[orig]), Table9[char])</f>
        <v>Y</v>
      </c>
      <c r="AJ46" s="3" t="str" cm="1">
        <f t="array" ref="AJ46">_xlfn.XLOOKUP(TRUE, EXACT(Table2[[#This Row],[orig]], Table4[orig]), Table4[(X)])</f>
        <v>Z'</v>
      </c>
      <c r="AK46" s="9" t="str" cm="1">
        <f t="array" ref="AK46">_xlfn.XLOOKUP(TRUE, EXACT(Table2[[#This Row],[X]], Table9[orig]), Table9[char])</f>
        <v>#</v>
      </c>
      <c r="AL46" s="3" t="str" cm="1">
        <f t="array" ref="AL46">_xlfn.XLOOKUP(TRUE, EXACT(AJ46, Table4[orig]), Table4[(X)])</f>
        <v>Y'</v>
      </c>
      <c r="AM46" s="9" t="str" cm="1">
        <f t="array" ref="AM46">_xlfn.XLOOKUP(TRUE, EXACT(Table2[[#This Row],[X2]], Table9[orig]), Table9[char])</f>
        <v>p</v>
      </c>
      <c r="AN46" s="3" t="str" cm="1">
        <f t="array" ref="AN46">_xlfn.XLOOKUP(TRUE, EXACT(AL46, Table4[orig]), Table4[(X)])</f>
        <v>Z</v>
      </c>
      <c r="AO46" s="9" t="str" cm="1">
        <f t="array" ref="AO46">_xlfn.XLOOKUP(TRUE, EXACT(Table2[[#This Row],[X'']], Table9[orig]), Table9[char])</f>
        <v>Z</v>
      </c>
      <c r="AP46" s="3" t="str" cm="1">
        <f t="array" ref="AP46">_xlfn.XLOOKUP(TRUE, EXACT(AH46, Table1[orig]), Table1[(Y)])</f>
        <v>Y</v>
      </c>
      <c r="AQ46" s="9" t="str" cm="1">
        <f t="array" ref="AQ46">_xlfn.XLOOKUP(TRUE, EXACT(Table2[[#This Row],[Y]], Table9[orig]), Table9[char])</f>
        <v>Y</v>
      </c>
      <c r="AR46" s="3" t="str" cm="1">
        <f t="array" ref="AR46">_xlfn.XLOOKUP(TRUE, EXACT(AP46, Table1[orig]), Table1[(Y)])</f>
        <v>Y</v>
      </c>
      <c r="AS46" s="9" t="str" cm="1">
        <f t="array" ref="AS46">_xlfn.XLOOKUP(TRUE, EXACT(Table2[[#This Row],[Y2]], Table9[orig]), Table9[char])</f>
        <v>Y</v>
      </c>
      <c r="AT46" s="3" t="str" cm="1">
        <f t="array" ref="AT46">_xlfn.XLOOKUP(TRUE, EXACT(AR46, Table1[orig]), Table1[(Y)])</f>
        <v>Y</v>
      </c>
      <c r="AU46" s="9" t="str" cm="1">
        <f t="array" ref="AU46">_xlfn.XLOOKUP(TRUE, EXACT(Table2[[#This Row],[Y'']], Table9[orig]), Table9[char])</f>
        <v>Y</v>
      </c>
      <c r="AV46" s="3" t="str" cm="1">
        <f t="array" ref="AV46">_xlfn.XLOOKUP(TRUE, EXACT(Table2[[#This Row],[orig]], Table3[orig]), Table3[(Z)])</f>
        <v>X</v>
      </c>
      <c r="AW46" s="9" t="str" cm="1">
        <f t="array" ref="AW46">_xlfn.XLOOKUP(TRUE, EXACT(Table2[[#This Row],[Z]], Table9[orig]), Table9[char])</f>
        <v>X</v>
      </c>
      <c r="AX46" s="3" t="str" cm="1">
        <f t="array" ref="AX46">_xlfn.XLOOKUP(TRUE, EXACT(AV46, Table3[orig]), Table3[(Z)])</f>
        <v>Y'</v>
      </c>
      <c r="AY46" s="9" t="str" cm="1">
        <f t="array" ref="AY46">_xlfn.XLOOKUP(TRUE, EXACT(Table2[[#This Row],[Z2]], Table9[orig]), Table9[char])</f>
        <v>p</v>
      </c>
      <c r="AZ46" s="3" t="str" cm="1">
        <f t="array" ref="AZ46">_xlfn.XLOOKUP(TRUE, EXACT(AX46, Table3[orig]), Table3[(Z)])</f>
        <v>X'</v>
      </c>
      <c r="BA46" s="9" t="str" cm="1">
        <f t="array" ref="BA46">_xlfn.XLOOKUP(TRUE, EXACT(Table2[[#This Row],[Z'']], Table9[orig]), Table9[char])</f>
        <v>!</v>
      </c>
      <c r="BB46" s="3" t="str" cm="1">
        <f t="array" ref="BB46">_xlfn.XLOOKUP(TRUE, EXACT(Table2[[#This Row],[orig]], Table5[orig]), Table5[(T-reflection)])</f>
        <v>Y'</v>
      </c>
      <c r="BC46" s="9" t="str" cm="1">
        <f t="array" ref="BC46">_xlfn.XLOOKUP(TRUE, EXACT(Table2[[#This Row],[T-reflection]], Table9[orig]), Table9[char])</f>
        <v>p</v>
      </c>
      <c r="BD46" s="3" t="str" cm="1">
        <f t="array" ref="BD46">_xlfn.XLOOKUP(TRUE, EXACT(Table2[[#This Row],[orig]], Table6[orig]), Table6[(H-reflection)])</f>
        <v>Y</v>
      </c>
      <c r="BE46" s="9" t="str" cm="1">
        <f t="array" ref="BE46">_xlfn.XLOOKUP(TRUE, EXACT(Table2[[#This Row],[H-reflection]], Table9[orig]), Table9[char])</f>
        <v>Y</v>
      </c>
      <c r="BF46" s="3" t="str" cm="1">
        <f t="array" ref="BF46">_xlfn.XLOOKUP(TRUE, EXACT(Table2[[#This Row],[orig]], Table7[orig]), Table7[(S-reflection)])</f>
        <v>Y'</v>
      </c>
      <c r="BG46" s="6" t="str" cm="1">
        <f t="array" ref="BG46">_xlfn.XLOOKUP(TRUE, EXACT(Table2[[#This Row],[S-reflection]], Table9[orig]), Table9[char])</f>
        <v>p</v>
      </c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</row>
    <row r="47" spans="1:118" x14ac:dyDescent="0.2">
      <c r="B47" s="7" t="s">
        <v>90</v>
      </c>
      <c r="C47" s="7" t="s">
        <v>128</v>
      </c>
      <c r="D47" s="1">
        <f>CODE(Table9[[#This Row],[char]])</f>
        <v>46</v>
      </c>
      <c r="E47" t="s">
        <v>77</v>
      </c>
      <c r="F47" t="str" cm="1">
        <f t="array" ref="F47">_xlfn.XLOOKUP(TRUE, EXACT(Table9[[#This Row],[inverse]], Table9[orig]), Table9[char])</f>
        <v>U</v>
      </c>
      <c r="G47">
        <f>CODE(Table9[[#This Row],[inv char]])</f>
        <v>85</v>
      </c>
      <c r="H47" t="s">
        <v>81</v>
      </c>
      <c r="I47" t="str" cm="1">
        <f t="array" ref="I47">_xlfn.XLOOKUP(TRUE, EXACT(Table9[[#This Row],[Complement]], Table9[orig]), Table9[char])</f>
        <v>k</v>
      </c>
      <c r="J47" t="s">
        <v>6</v>
      </c>
      <c r="K47" t="str">
        <f>Table9[[#This Row],[orig]] &amp; " "</f>
        <v xml:space="preserve">U' </v>
      </c>
      <c r="N47" t="s">
        <v>90</v>
      </c>
      <c r="O47" t="s">
        <v>89</v>
      </c>
      <c r="Q47" t="s">
        <v>90</v>
      </c>
      <c r="R47" t="s">
        <v>90</v>
      </c>
      <c r="T47" t="s">
        <v>90</v>
      </c>
      <c r="U47" t="s">
        <v>20</v>
      </c>
      <c r="W47" t="s">
        <v>90</v>
      </c>
      <c r="X47" t="s">
        <v>77</v>
      </c>
      <c r="Z47" t="s">
        <v>90</v>
      </c>
      <c r="AA47" t="s">
        <v>32</v>
      </c>
      <c r="AC47" t="s">
        <v>90</v>
      </c>
      <c r="AD47" t="s">
        <v>77</v>
      </c>
      <c r="AH47" t="str">
        <f t="shared" si="1"/>
        <v>U'</v>
      </c>
      <c r="AI47" s="6" t="str" cm="1">
        <f t="array" ref="AI47">_xlfn.XLOOKUP(TRUE, EXACT(Table2[[#This Row],[orig]], Table9[orig]), Table9[char])</f>
        <v>.</v>
      </c>
      <c r="AJ47" t="str" cm="1">
        <f t="array" ref="AJ47">_xlfn.XLOOKUP(TRUE, EXACT(Table2[[#This Row],[orig]], Table4[orig]), Table4[(X)])</f>
        <v>B'</v>
      </c>
      <c r="AK47" s="6" t="str" cm="1">
        <f t="array" ref="AK47">_xlfn.XLOOKUP(TRUE, EXACT(Table2[[#This Row],[X]], Table9[orig]), Table9[char])</f>
        <v>@</v>
      </c>
      <c r="AL47" t="str" cm="1">
        <f t="array" ref="AL47">_xlfn.XLOOKUP(TRUE, EXACT(AJ47, Table4[orig]), Table4[(X)])</f>
        <v>D'</v>
      </c>
      <c r="AM47" s="6" t="str" cm="1">
        <f t="array" ref="AM47">_xlfn.XLOOKUP(TRUE, EXACT(Table2[[#This Row],[X2]], Table9[orig]), Table9[char])</f>
        <v>%</v>
      </c>
      <c r="AN47" t="str" cm="1">
        <f t="array" ref="AN47">_xlfn.XLOOKUP(TRUE, EXACT(AL47, Table4[orig]), Table4[(X)])</f>
        <v>F'</v>
      </c>
      <c r="AO47" s="6" t="str" cm="1">
        <f t="array" ref="AO47">_xlfn.XLOOKUP(TRUE, EXACT(Table2[[#This Row],[X'']], Table9[orig]), Table9[char])</f>
        <v>Q</v>
      </c>
      <c r="AP47" t="str" cm="1">
        <f t="array" ref="AP47">_xlfn.XLOOKUP(TRUE, EXACT(AH47, Table1[orig]), Table1[(Y)])</f>
        <v>U'</v>
      </c>
      <c r="AQ47" s="6" t="str" cm="1">
        <f t="array" ref="AQ47">_xlfn.XLOOKUP(TRUE, EXACT(Table2[[#This Row],[Y]], Table9[orig]), Table9[char])</f>
        <v>.</v>
      </c>
      <c r="AR47" t="str" cm="1">
        <f t="array" ref="AR47">_xlfn.XLOOKUP(TRUE, EXACT(AP47, Table1[orig]), Table1[(Y)])</f>
        <v>U'</v>
      </c>
      <c r="AS47" s="6" t="str" cm="1">
        <f t="array" ref="AS47">_xlfn.XLOOKUP(TRUE, EXACT(Table2[[#This Row],[Y2]], Table9[orig]), Table9[char])</f>
        <v>.</v>
      </c>
      <c r="AT47" t="str" cm="1">
        <f t="array" ref="AT47">_xlfn.XLOOKUP(TRUE, EXACT(AR47, Table1[orig]), Table1[(Y)])</f>
        <v>U'</v>
      </c>
      <c r="AU47" s="6" t="str" cm="1">
        <f t="array" ref="AU47">_xlfn.XLOOKUP(TRUE, EXACT(Table2[[#This Row],[Y'']], Table9[orig]), Table9[char])</f>
        <v>.</v>
      </c>
      <c r="AV47" t="str" cm="1">
        <f t="array" ref="AV47">_xlfn.XLOOKUP(TRUE, EXACT(Table2[[#This Row],[orig]], Table3[orig]), Table3[(Z)])</f>
        <v>R'</v>
      </c>
      <c r="AW47" s="6" t="str" cm="1">
        <f t="array" ref="AW47">_xlfn.XLOOKUP(TRUE, EXACT(Table2[[#This Row],[Z]], Table9[orig]), Table9[char])</f>
        <v>A</v>
      </c>
      <c r="AX47" t="str" cm="1">
        <f t="array" ref="AX47">_xlfn.XLOOKUP(TRUE, EXACT(AV47, Table3[orig]), Table3[(Z)])</f>
        <v>D'</v>
      </c>
      <c r="AY47" s="6" t="str" cm="1">
        <f t="array" ref="AY47">_xlfn.XLOOKUP(TRUE, EXACT(Table2[[#This Row],[Z2]], Table9[orig]), Table9[char])</f>
        <v>%</v>
      </c>
      <c r="AZ47" t="str" cm="1">
        <f t="array" ref="AZ47">_xlfn.XLOOKUP(TRUE, EXACT(AX47, Table3[orig]), Table3[(Z)])</f>
        <v>L'</v>
      </c>
      <c r="BA47" s="6" t="str" cm="1">
        <f t="array" ref="BA47">_xlfn.XLOOKUP(TRUE, EXACT(Table2[[#This Row],[Z'']], Table9[orig]), Table9[char])</f>
        <v>G</v>
      </c>
      <c r="BB47" t="str" cm="1">
        <f t="array" ref="BB47">_xlfn.XLOOKUP(TRUE, EXACT(Table2[[#This Row],[orig]], Table5[orig]), Table5[(T-reflection)])</f>
        <v>U</v>
      </c>
      <c r="BC47" s="6" t="str" cm="1">
        <f t="array" ref="BC47">_xlfn.XLOOKUP(TRUE, EXACT(Table2[[#This Row],[T-reflection]], Table9[orig]), Table9[char])</f>
        <v>U</v>
      </c>
      <c r="BD47" t="str" cm="1">
        <f t="array" ref="BD47">_xlfn.XLOOKUP(TRUE, EXACT(Table2[[#This Row],[orig]], Table6[orig]), Table6[(H-reflection)])</f>
        <v>D</v>
      </c>
      <c r="BE47" s="6" t="str" cm="1">
        <f t="array" ref="BE47">_xlfn.XLOOKUP(TRUE, EXACT(Table2[[#This Row],[H-reflection]], Table9[orig]), Table9[char])</f>
        <v>D</v>
      </c>
      <c r="BF47" t="str" cm="1">
        <f t="array" ref="BF47">_xlfn.XLOOKUP(TRUE, EXACT(Table2[[#This Row],[orig]], Table7[orig]), Table7[(S-reflection)])</f>
        <v>U</v>
      </c>
      <c r="BG47" s="6" t="str" cm="1">
        <f t="array" ref="BG47">_xlfn.XLOOKUP(TRUE, EXACT(Table2[[#This Row],[S-reflection]], Table9[orig]), Table9[char])</f>
        <v>U</v>
      </c>
    </row>
    <row r="48" spans="1:118" x14ac:dyDescent="0.2">
      <c r="B48" t="s">
        <v>87</v>
      </c>
      <c r="C48" t="s">
        <v>129</v>
      </c>
      <c r="D48" s="1">
        <f>CODE(Table9[[#This Row],[char]])</f>
        <v>45</v>
      </c>
      <c r="E48" t="s">
        <v>76</v>
      </c>
      <c r="F48" t="str" cm="1">
        <f t="array" ref="F48">_xlfn.XLOOKUP(TRUE, EXACT(Table9[[#This Row],[inverse]], Table9[orig]), Table9[char])</f>
        <v>u</v>
      </c>
      <c r="G48">
        <f>CODE(Table9[[#This Row],[inv char]])</f>
        <v>117</v>
      </c>
      <c r="H48" t="s">
        <v>79</v>
      </c>
      <c r="I48" t="str" cm="1">
        <f t="array" ref="I48">_xlfn.XLOOKUP(TRUE, EXACT(Table9[[#This Row],[Complement]], Table9[orig]), Table9[char])</f>
        <v>%</v>
      </c>
      <c r="J48" t="s">
        <v>6</v>
      </c>
      <c r="K48" t="str">
        <f>Table9[[#This Row],[orig]] &amp; " "</f>
        <v xml:space="preserve">u' </v>
      </c>
      <c r="N48" t="s">
        <v>87</v>
      </c>
      <c r="O48" t="s">
        <v>86</v>
      </c>
      <c r="Q48" t="s">
        <v>87</v>
      </c>
      <c r="R48" t="s">
        <v>87</v>
      </c>
      <c r="T48" t="s">
        <v>87</v>
      </c>
      <c r="U48" t="s">
        <v>68</v>
      </c>
      <c r="W48" t="s">
        <v>87</v>
      </c>
      <c r="X48" t="s">
        <v>76</v>
      </c>
      <c r="Z48" t="s">
        <v>87</v>
      </c>
      <c r="AA48" t="s">
        <v>27</v>
      </c>
      <c r="AC48" t="s">
        <v>87</v>
      </c>
      <c r="AD48" t="s">
        <v>76</v>
      </c>
      <c r="AH48" t="str">
        <f t="shared" si="1"/>
        <v>u'</v>
      </c>
      <c r="AI48" s="6" t="str" cm="1">
        <f t="array" ref="AI48">_xlfn.XLOOKUP(TRUE, EXACT(Table2[[#This Row],[orig]], Table9[orig]), Table9[char])</f>
        <v>-</v>
      </c>
      <c r="AJ48" t="str" cm="1">
        <f t="array" ref="AJ48">_xlfn.XLOOKUP(TRUE, EXACT(Table2[[#This Row],[orig]], Table4[orig]), Table4[(X)])</f>
        <v>b'</v>
      </c>
      <c r="AK48" s="6" t="str" cm="1">
        <f t="array" ref="AK48">_xlfn.XLOOKUP(TRUE, EXACT(Table2[[#This Row],[X]], Table9[orig]), Table9[char])</f>
        <v>&amp;</v>
      </c>
      <c r="AL48" t="str" cm="1">
        <f t="array" ref="AL48">_xlfn.XLOOKUP(TRUE, EXACT(AJ48, Table4[orig]), Table4[(X)])</f>
        <v>d'</v>
      </c>
      <c r="AM48" s="6" t="str" cm="1">
        <f t="array" ref="AM48">_xlfn.XLOOKUP(TRUE, EXACT(Table2[[#This Row],[X2]], Table9[orig]), Table9[char])</f>
        <v>k</v>
      </c>
      <c r="AN48" t="str" cm="1">
        <f t="array" ref="AN48">_xlfn.XLOOKUP(TRUE, EXACT(AL48, Table4[orig]), Table4[(X)])</f>
        <v>f'</v>
      </c>
      <c r="AO48" s="6" t="str" cm="1">
        <f t="array" ref="AO48">_xlfn.XLOOKUP(TRUE, EXACT(Table2[[#This Row],[X'']], Table9[orig]), Table9[char])</f>
        <v>q</v>
      </c>
      <c r="AP48" t="str" cm="1">
        <f t="array" ref="AP48">_xlfn.XLOOKUP(TRUE, EXACT(AH48, Table1[orig]), Table1[(Y)])</f>
        <v>u'</v>
      </c>
      <c r="AQ48" s="6" t="str" cm="1">
        <f t="array" ref="AQ48">_xlfn.XLOOKUP(TRUE, EXACT(Table2[[#This Row],[Y]], Table9[orig]), Table9[char])</f>
        <v>-</v>
      </c>
      <c r="AR48" t="str" cm="1">
        <f t="array" ref="AR48">_xlfn.XLOOKUP(TRUE, EXACT(AP48, Table1[orig]), Table1[(Y)])</f>
        <v>u'</v>
      </c>
      <c r="AS48" s="6" t="str" cm="1">
        <f t="array" ref="AS48">_xlfn.XLOOKUP(TRUE, EXACT(Table2[[#This Row],[Y2]], Table9[orig]), Table9[char])</f>
        <v>-</v>
      </c>
      <c r="AT48" t="str" cm="1">
        <f t="array" ref="AT48">_xlfn.XLOOKUP(TRUE, EXACT(AR48, Table1[orig]), Table1[(Y)])</f>
        <v>u'</v>
      </c>
      <c r="AU48" s="6" t="str" cm="1">
        <f t="array" ref="AU48">_xlfn.XLOOKUP(TRUE, EXACT(Table2[[#This Row],[Y'']], Table9[orig]), Table9[char])</f>
        <v>-</v>
      </c>
      <c r="AV48" t="str" cm="1">
        <f t="array" ref="AV48">_xlfn.XLOOKUP(TRUE, EXACT(Table2[[#This Row],[orig]], Table3[orig]), Table3[(Z)])</f>
        <v>r'</v>
      </c>
      <c r="AW48" s="6" t="str" cm="1">
        <f t="array" ref="AW48">_xlfn.XLOOKUP(TRUE, EXACT(Table2[[#This Row],[Z]], Table9[orig]), Table9[char])</f>
        <v>a</v>
      </c>
      <c r="AX48" t="str" cm="1">
        <f t="array" ref="AX48">_xlfn.XLOOKUP(TRUE, EXACT(AV48, Table3[orig]), Table3[(Z)])</f>
        <v>d'</v>
      </c>
      <c r="AY48" s="6" t="str" cm="1">
        <f t="array" ref="AY48">_xlfn.XLOOKUP(TRUE, EXACT(Table2[[#This Row],[Z2]], Table9[orig]), Table9[char])</f>
        <v>k</v>
      </c>
      <c r="AZ48" t="str" cm="1">
        <f t="array" ref="AZ48">_xlfn.XLOOKUP(TRUE, EXACT(AX48, Table3[orig]), Table3[(Z)])</f>
        <v>l'</v>
      </c>
      <c r="BA48" s="6" t="str" cm="1">
        <f t="array" ref="BA48">_xlfn.XLOOKUP(TRUE, EXACT(Table2[[#This Row],[Z'']], Table9[orig]), Table9[char])</f>
        <v>g</v>
      </c>
      <c r="BB48" t="str" cm="1">
        <f t="array" ref="BB48">_xlfn.XLOOKUP(TRUE, EXACT(Table2[[#This Row],[orig]], Table5[orig]), Table5[(T-reflection)])</f>
        <v>u</v>
      </c>
      <c r="BC48" s="6" t="str" cm="1">
        <f t="array" ref="BC48">_xlfn.XLOOKUP(TRUE, EXACT(Table2[[#This Row],[T-reflection]], Table9[orig]), Table9[char])</f>
        <v>u</v>
      </c>
      <c r="BD48" t="str" cm="1">
        <f t="array" ref="BD48">_xlfn.XLOOKUP(TRUE, EXACT(Table2[[#This Row],[orig]], Table6[orig]), Table6[(H-reflection)])</f>
        <v>d</v>
      </c>
      <c r="BE48" s="6" t="str" cm="1">
        <f t="array" ref="BE48">_xlfn.XLOOKUP(TRUE, EXACT(Table2[[#This Row],[H-reflection]], Table9[orig]), Table9[char])</f>
        <v>d</v>
      </c>
      <c r="BF48" t="str" cm="1">
        <f t="array" ref="BF48">_xlfn.XLOOKUP(TRUE, EXACT(Table2[[#This Row],[orig]], Table7[orig]), Table7[(S-reflection)])</f>
        <v>u</v>
      </c>
      <c r="BG48" s="6" t="str" cm="1">
        <f t="array" ref="BG48">_xlfn.XLOOKUP(TRUE, EXACT(Table2[[#This Row],[S-reflection]], Table9[orig]), Table9[char])</f>
        <v>u</v>
      </c>
    </row>
    <row r="49" spans="1:118" x14ac:dyDescent="0.2">
      <c r="B49" s="7" t="s">
        <v>75</v>
      </c>
      <c r="C49" s="7" t="s">
        <v>130</v>
      </c>
      <c r="D49" s="1">
        <f>CODE(Table9[[#This Row],[char]])</f>
        <v>43</v>
      </c>
      <c r="E49" t="s">
        <v>84</v>
      </c>
      <c r="F49" t="str" cm="1">
        <f t="array" ref="F49">_xlfn.XLOOKUP(TRUE, EXACT(Table9[[#This Row],[inverse]], Table9[orig]), Table9[char])</f>
        <v>H</v>
      </c>
      <c r="G49">
        <f>CODE(Table9[[#This Row],[inv char]])</f>
        <v>72</v>
      </c>
      <c r="H49" t="s">
        <v>131</v>
      </c>
      <c r="I49" t="str" cm="1">
        <f t="array" ref="I49">_xlfn.CONCAT(_xlfn.XLOOKUP(TRUE, EXACT(B41, Table9[orig]), Table9[char]), _xlfn.XLOOKUP(TRUE, EXACT(B51, Table9[orig]), Table9[char]))</f>
        <v>U%</v>
      </c>
      <c r="J49" t="s">
        <v>6</v>
      </c>
      <c r="K49" t="str">
        <f>Table9[[#This Row],[orig]] &amp; " "</f>
        <v xml:space="preserve">H' </v>
      </c>
      <c r="N49" t="s">
        <v>75</v>
      </c>
      <c r="O49" t="s">
        <v>74</v>
      </c>
      <c r="Q49" t="s">
        <v>75</v>
      </c>
      <c r="R49" t="s">
        <v>75</v>
      </c>
      <c r="T49" t="s">
        <v>75</v>
      </c>
      <c r="U49" t="s">
        <v>72</v>
      </c>
      <c r="W49" t="s">
        <v>75</v>
      </c>
      <c r="X49" t="s">
        <v>84</v>
      </c>
      <c r="Z49" t="s">
        <v>75</v>
      </c>
      <c r="AA49" t="s">
        <v>75</v>
      </c>
      <c r="AC49" t="s">
        <v>75</v>
      </c>
      <c r="AD49" t="s">
        <v>84</v>
      </c>
      <c r="AH49" t="str">
        <f t="shared" si="1"/>
        <v>H'</v>
      </c>
      <c r="AI49" s="6" t="str" cm="1">
        <f t="array" ref="AI49">_xlfn.XLOOKUP(TRUE, EXACT(Table2[[#This Row],[orig]], Table9[orig]), Table9[char])</f>
        <v>+</v>
      </c>
      <c r="AJ49" t="str" cm="1">
        <f t="array" ref="AJ49">_xlfn.XLOOKUP(TRUE, EXACT(Table2[[#This Row],[orig]], Table4[orig]), Table4[(X)])</f>
        <v>S</v>
      </c>
      <c r="AK49" s="6" t="str" cm="1">
        <f t="array" ref="AK49">_xlfn.XLOOKUP(TRUE, EXACT(Table2[[#This Row],[X]], Table9[orig]), Table9[char])</f>
        <v>S</v>
      </c>
      <c r="AL49" t="str" cm="1">
        <f t="array" ref="AL49">_xlfn.XLOOKUP(TRUE, EXACT(AJ49, Table4[orig]), Table4[(X)])</f>
        <v>H</v>
      </c>
      <c r="AM49" s="6" t="str" cm="1">
        <f t="array" ref="AM49">_xlfn.XLOOKUP(TRUE, EXACT(Table2[[#This Row],[X2]], Table9[orig]), Table9[char])</f>
        <v>H</v>
      </c>
      <c r="AN49" t="str" cm="1">
        <f t="array" ref="AN49">_xlfn.XLOOKUP(TRUE, EXACT(AL49, Table4[orig]), Table4[(X)])</f>
        <v>S'</v>
      </c>
      <c r="AO49" s="6" t="str" cm="1">
        <f t="array" ref="AO49">_xlfn.XLOOKUP(TRUE, EXACT(Table2[[#This Row],[X'']], Table9[orig]), Table9[char])</f>
        <v>V</v>
      </c>
      <c r="AP49" t="str" cm="1">
        <f t="array" ref="AP49">_xlfn.XLOOKUP(TRUE, EXACT(AH49, Table1[orig]), Table1[(Y)])</f>
        <v>H'</v>
      </c>
      <c r="AQ49" s="6" t="str" cm="1">
        <f t="array" ref="AQ49">_xlfn.XLOOKUP(TRUE, EXACT(Table2[[#This Row],[Y]], Table9[orig]), Table9[char])</f>
        <v>+</v>
      </c>
      <c r="AR49" t="str" cm="1">
        <f t="array" ref="AR49">_xlfn.XLOOKUP(TRUE, EXACT(AP49, Table1[orig]), Table1[(Y)])</f>
        <v>H'</v>
      </c>
      <c r="AS49" s="6" t="str" cm="1">
        <f t="array" ref="AS49">_xlfn.XLOOKUP(TRUE, EXACT(Table2[[#This Row],[Y2]], Table9[orig]), Table9[char])</f>
        <v>+</v>
      </c>
      <c r="AT49" t="str" cm="1">
        <f t="array" ref="AT49">_xlfn.XLOOKUP(TRUE, EXACT(AR49, Table1[orig]), Table1[(Y)])</f>
        <v>H'</v>
      </c>
      <c r="AU49" s="6" t="str" cm="1">
        <f t="array" ref="AU49">_xlfn.XLOOKUP(TRUE, EXACT(Table2[[#This Row],[Y'']], Table9[orig]), Table9[char])</f>
        <v>+</v>
      </c>
      <c r="AV49" t="str" cm="1">
        <f t="array" ref="AV49">_xlfn.XLOOKUP(TRUE, EXACT(Table2[[#This Row],[orig]], Table3[orig]), Table3[(Z)])</f>
        <v>T'</v>
      </c>
      <c r="AW49" s="6" t="str" cm="1">
        <f t="array" ref="AW49">_xlfn.XLOOKUP(TRUE, EXACT(Table2[[#This Row],[Z]], Table9[orig]), Table9[char])</f>
        <v>C</v>
      </c>
      <c r="AX49" t="str" cm="1">
        <f t="array" ref="AX49">_xlfn.XLOOKUP(TRUE, EXACT(AV49, Table3[orig]), Table3[(Z)])</f>
        <v>H</v>
      </c>
      <c r="AY49" s="6" t="str" cm="1">
        <f t="array" ref="AY49">_xlfn.XLOOKUP(TRUE, EXACT(Table2[[#This Row],[Z2]], Table9[orig]), Table9[char])</f>
        <v>H</v>
      </c>
      <c r="AZ49" t="str" cm="1">
        <f t="array" ref="AZ49">_xlfn.XLOOKUP(TRUE, EXACT(AX49, Table3[orig]), Table3[(Z)])</f>
        <v>T</v>
      </c>
      <c r="BA49" s="6" t="str" cm="1">
        <f t="array" ref="BA49">_xlfn.XLOOKUP(TRUE, EXACT(Table2[[#This Row],[Z'']], Table9[orig]), Table9[char])</f>
        <v>T</v>
      </c>
      <c r="BB49" t="str" cm="1">
        <f t="array" ref="BB49">_xlfn.XLOOKUP(TRUE, EXACT(Table2[[#This Row],[orig]], Table5[orig]), Table5[(T-reflection)])</f>
        <v>H</v>
      </c>
      <c r="BC49" s="6" t="str" cm="1">
        <f t="array" ref="BC49">_xlfn.XLOOKUP(TRUE, EXACT(Table2[[#This Row],[T-reflection]], Table9[orig]), Table9[char])</f>
        <v>H</v>
      </c>
      <c r="BD49" t="str" cm="1">
        <f t="array" ref="BD49">_xlfn.XLOOKUP(TRUE, EXACT(Table2[[#This Row],[orig]], Table6[orig]), Table6[(H-reflection)])</f>
        <v>H'</v>
      </c>
      <c r="BE49" s="6" t="str" cm="1">
        <f t="array" ref="BE49">_xlfn.XLOOKUP(TRUE, EXACT(Table2[[#This Row],[H-reflection]], Table9[orig]), Table9[char])</f>
        <v>+</v>
      </c>
      <c r="BF49" t="str" cm="1">
        <f t="array" ref="BF49">_xlfn.XLOOKUP(TRUE, EXACT(Table2[[#This Row],[orig]], Table7[orig]), Table7[(S-reflection)])</f>
        <v>H</v>
      </c>
      <c r="BG49" s="6" t="str" cm="1">
        <f t="array" ref="BG49">_xlfn.XLOOKUP(TRUE, EXACT(Table2[[#This Row],[S-reflection]], Table9[orig]), Table9[char])</f>
        <v>H</v>
      </c>
    </row>
    <row r="50" spans="1:118" x14ac:dyDescent="0.2">
      <c r="B50" t="s">
        <v>81</v>
      </c>
      <c r="C50" s="8" t="s">
        <v>132</v>
      </c>
      <c r="D50" s="1">
        <f>CODE(Table9[[#This Row],[char]])</f>
        <v>107</v>
      </c>
      <c r="E50" t="s">
        <v>27</v>
      </c>
      <c r="F50" t="str" cm="1">
        <f t="array" ref="F50">_xlfn.XLOOKUP(TRUE, EXACT(Table9[[#This Row],[inverse]], Table9[orig]), Table9[char])</f>
        <v>d</v>
      </c>
      <c r="G50">
        <f>CODE(Table9[[#This Row],[inv char]])</f>
        <v>100</v>
      </c>
      <c r="H50" t="s">
        <v>90</v>
      </c>
      <c r="I50" t="str" cm="1">
        <f t="array" ref="I50">_xlfn.XLOOKUP(TRUE, EXACT(Table9[[#This Row],[Complement]], Table9[orig]), Table9[char])</f>
        <v>.</v>
      </c>
      <c r="J50" t="s">
        <v>5</v>
      </c>
      <c r="K50" t="str">
        <f>Table9[[#This Row],[orig]] &amp; " "</f>
        <v xml:space="preserve">d' </v>
      </c>
      <c r="N50" t="s">
        <v>81</v>
      </c>
      <c r="O50" t="s">
        <v>80</v>
      </c>
      <c r="Q50" t="s">
        <v>81</v>
      </c>
      <c r="R50" t="s">
        <v>81</v>
      </c>
      <c r="T50" t="s">
        <v>81</v>
      </c>
      <c r="U50" t="s">
        <v>70</v>
      </c>
      <c r="W50" t="s">
        <v>81</v>
      </c>
      <c r="X50" t="s">
        <v>27</v>
      </c>
      <c r="Z50" t="s">
        <v>81</v>
      </c>
      <c r="AA50" t="s">
        <v>76</v>
      </c>
      <c r="AC50" t="s">
        <v>81</v>
      </c>
      <c r="AD50" t="s">
        <v>27</v>
      </c>
      <c r="AH50" t="str">
        <f t="shared" si="1"/>
        <v>d'</v>
      </c>
      <c r="AI50" s="6" t="str" cm="1">
        <f t="array" ref="AI50">_xlfn.XLOOKUP(TRUE, EXACT(Table2[[#This Row],[orig]], Table9[orig]), Table9[char])</f>
        <v>k</v>
      </c>
      <c r="AJ50" t="str" cm="1">
        <f t="array" ref="AJ50">_xlfn.XLOOKUP(TRUE, EXACT(Table2[[#This Row],[orig]], Table4[orig]), Table4[(X)])</f>
        <v>f'</v>
      </c>
      <c r="AK50" s="6" t="str" cm="1">
        <f t="array" ref="AK50">_xlfn.XLOOKUP(TRUE, EXACT(Table2[[#This Row],[X]], Table9[orig]), Table9[char])</f>
        <v>q</v>
      </c>
      <c r="AL50" t="str" cm="1">
        <f t="array" ref="AL50">_xlfn.XLOOKUP(TRUE, EXACT(AJ50, Table4[orig]), Table4[(X)])</f>
        <v>u'</v>
      </c>
      <c r="AM50" s="6" t="str" cm="1">
        <f t="array" ref="AM50">_xlfn.XLOOKUP(TRUE, EXACT(Table2[[#This Row],[X2]], Table9[orig]), Table9[char])</f>
        <v>-</v>
      </c>
      <c r="AN50" t="str" cm="1">
        <f t="array" ref="AN50">_xlfn.XLOOKUP(TRUE, EXACT(AL50, Table4[orig]), Table4[(X)])</f>
        <v>b'</v>
      </c>
      <c r="AO50" s="6" t="str" cm="1">
        <f t="array" ref="AO50">_xlfn.XLOOKUP(TRUE, EXACT(Table2[[#This Row],[X'']], Table9[orig]), Table9[char])</f>
        <v>&amp;</v>
      </c>
      <c r="AP50" t="str" cm="1">
        <f t="array" ref="AP50">_xlfn.XLOOKUP(TRUE, EXACT(AH50, Table1[orig]), Table1[(Y)])</f>
        <v>d'</v>
      </c>
      <c r="AQ50" s="6" t="str" cm="1">
        <f t="array" ref="AQ50">_xlfn.XLOOKUP(TRUE, EXACT(Table2[[#This Row],[Y]], Table9[orig]), Table9[char])</f>
        <v>k</v>
      </c>
      <c r="AR50" t="str" cm="1">
        <f t="array" ref="AR50">_xlfn.XLOOKUP(TRUE, EXACT(AP50, Table1[orig]), Table1[(Y)])</f>
        <v>d'</v>
      </c>
      <c r="AS50" s="6" t="str" cm="1">
        <f t="array" ref="AS50">_xlfn.XLOOKUP(TRUE, EXACT(Table2[[#This Row],[Y2]], Table9[orig]), Table9[char])</f>
        <v>k</v>
      </c>
      <c r="AT50" t="str" cm="1">
        <f t="array" ref="AT50">_xlfn.XLOOKUP(TRUE, EXACT(AR50, Table1[orig]), Table1[(Y)])</f>
        <v>d'</v>
      </c>
      <c r="AU50" s="6" t="str" cm="1">
        <f t="array" ref="AU50">_xlfn.XLOOKUP(TRUE, EXACT(Table2[[#This Row],[Y'']], Table9[orig]), Table9[char])</f>
        <v>k</v>
      </c>
      <c r="AV50" t="str" cm="1">
        <f t="array" ref="AV50">_xlfn.XLOOKUP(TRUE, EXACT(Table2[[#This Row],[orig]], Table3[orig]), Table3[(Z)])</f>
        <v>l'</v>
      </c>
      <c r="AW50" s="6" t="str" cm="1">
        <f t="array" ref="AW50">_xlfn.XLOOKUP(TRUE, EXACT(Table2[[#This Row],[Z]], Table9[orig]), Table9[char])</f>
        <v>g</v>
      </c>
      <c r="AX50" t="str" cm="1">
        <f t="array" ref="AX50">_xlfn.XLOOKUP(TRUE, EXACT(AV50, Table3[orig]), Table3[(Z)])</f>
        <v>u'</v>
      </c>
      <c r="AY50" s="6" t="str" cm="1">
        <f t="array" ref="AY50">_xlfn.XLOOKUP(TRUE, EXACT(Table2[[#This Row],[Z2]], Table9[orig]), Table9[char])</f>
        <v>-</v>
      </c>
      <c r="AZ50" t="str" cm="1">
        <f t="array" ref="AZ50">_xlfn.XLOOKUP(TRUE, EXACT(AX50, Table3[orig]), Table3[(Z)])</f>
        <v>r'</v>
      </c>
      <c r="BA50" s="6" t="str" cm="1">
        <f t="array" ref="BA50">_xlfn.XLOOKUP(TRUE, EXACT(Table2[[#This Row],[Z'']], Table9[orig]), Table9[char])</f>
        <v>a</v>
      </c>
      <c r="BB50" t="str" cm="1">
        <f t="array" ref="BB50">_xlfn.XLOOKUP(TRUE, EXACT(Table2[[#This Row],[orig]], Table5[orig]), Table5[(T-reflection)])</f>
        <v>d</v>
      </c>
      <c r="BC50" s="6" t="str" cm="1">
        <f t="array" ref="BC50">_xlfn.XLOOKUP(TRUE, EXACT(Table2[[#This Row],[T-reflection]], Table9[orig]), Table9[char])</f>
        <v>d</v>
      </c>
      <c r="BD50" t="str" cm="1">
        <f t="array" ref="BD50">_xlfn.XLOOKUP(TRUE, EXACT(Table2[[#This Row],[orig]], Table6[orig]), Table6[(H-reflection)])</f>
        <v>u</v>
      </c>
      <c r="BE50" s="6" t="str" cm="1">
        <f t="array" ref="BE50">_xlfn.XLOOKUP(TRUE, EXACT(Table2[[#This Row],[H-reflection]], Table9[orig]), Table9[char])</f>
        <v>u</v>
      </c>
      <c r="BF50" t="str" cm="1">
        <f t="array" ref="BF50">_xlfn.XLOOKUP(TRUE, EXACT(Table2[[#This Row],[orig]], Table7[orig]), Table7[(S-reflection)])</f>
        <v>d</v>
      </c>
      <c r="BG50" s="6" t="str" cm="1">
        <f t="array" ref="BG50">_xlfn.XLOOKUP(TRUE, EXACT(Table2[[#This Row],[S-reflection]], Table9[orig]), Table9[char])</f>
        <v>d</v>
      </c>
    </row>
    <row r="51" spans="1:118" x14ac:dyDescent="0.2">
      <c r="B51" s="7" t="s">
        <v>79</v>
      </c>
      <c r="C51" s="7" t="s">
        <v>133</v>
      </c>
      <c r="D51" s="1">
        <f>CODE(Table9[[#This Row],[char]])</f>
        <v>37</v>
      </c>
      <c r="E51" t="s">
        <v>32</v>
      </c>
      <c r="F51" t="str" cm="1">
        <f t="array" ref="F51">_xlfn.XLOOKUP(TRUE, EXACT(Table9[[#This Row],[inverse]], Table9[orig]), Table9[char])</f>
        <v>D</v>
      </c>
      <c r="G51">
        <f>CODE(Table9[[#This Row],[inv char]])</f>
        <v>68</v>
      </c>
      <c r="H51" t="s">
        <v>87</v>
      </c>
      <c r="I51" t="str" cm="1">
        <f t="array" ref="I51">_xlfn.XLOOKUP(TRUE, EXACT(Table9[[#This Row],[Complement]], Table9[orig]), Table9[char])</f>
        <v>-</v>
      </c>
      <c r="J51" t="s">
        <v>5</v>
      </c>
      <c r="K51" t="str">
        <f>Table9[[#This Row],[orig]] &amp; " "</f>
        <v xml:space="preserve">D' </v>
      </c>
      <c r="N51" t="s">
        <v>79</v>
      </c>
      <c r="O51" t="s">
        <v>78</v>
      </c>
      <c r="Q51" t="s">
        <v>79</v>
      </c>
      <c r="R51" t="s">
        <v>79</v>
      </c>
      <c r="T51" t="s">
        <v>79</v>
      </c>
      <c r="U51" t="s">
        <v>19</v>
      </c>
      <c r="W51" t="s">
        <v>79</v>
      </c>
      <c r="X51" t="s">
        <v>32</v>
      </c>
      <c r="Z51" t="s">
        <v>79</v>
      </c>
      <c r="AA51" t="s">
        <v>77</v>
      </c>
      <c r="AC51" t="s">
        <v>79</v>
      </c>
      <c r="AD51" t="s">
        <v>32</v>
      </c>
      <c r="AH51" t="str">
        <f t="shared" si="1"/>
        <v>D'</v>
      </c>
      <c r="AI51" s="6" t="str" cm="1">
        <f t="array" ref="AI51">_xlfn.XLOOKUP(TRUE, EXACT(Table2[[#This Row],[orig]], Table9[orig]), Table9[char])</f>
        <v>%</v>
      </c>
      <c r="AJ51" t="str" cm="1">
        <f t="array" ref="AJ51">_xlfn.XLOOKUP(TRUE, EXACT(Table2[[#This Row],[orig]], Table4[orig]), Table4[(X)])</f>
        <v>F'</v>
      </c>
      <c r="AK51" s="6" t="str" cm="1">
        <f t="array" ref="AK51">_xlfn.XLOOKUP(TRUE, EXACT(Table2[[#This Row],[X]], Table9[orig]), Table9[char])</f>
        <v>Q</v>
      </c>
      <c r="AL51" t="str" cm="1">
        <f t="array" ref="AL51">_xlfn.XLOOKUP(TRUE, EXACT(AJ51, Table4[orig]), Table4[(X)])</f>
        <v>U'</v>
      </c>
      <c r="AM51" s="6" t="str" cm="1">
        <f t="array" ref="AM51">_xlfn.XLOOKUP(TRUE, EXACT(Table2[[#This Row],[X2]], Table9[orig]), Table9[char])</f>
        <v>.</v>
      </c>
      <c r="AN51" t="str" cm="1">
        <f t="array" ref="AN51">_xlfn.XLOOKUP(TRUE, EXACT(AL51, Table4[orig]), Table4[(X)])</f>
        <v>B'</v>
      </c>
      <c r="AO51" s="6" t="str" cm="1">
        <f t="array" ref="AO51">_xlfn.XLOOKUP(TRUE, EXACT(Table2[[#This Row],[X'']], Table9[orig]), Table9[char])</f>
        <v>@</v>
      </c>
      <c r="AP51" t="str" cm="1">
        <f t="array" ref="AP51">_xlfn.XLOOKUP(TRUE, EXACT(AH51, Table1[orig]), Table1[(Y)])</f>
        <v>D'</v>
      </c>
      <c r="AQ51" s="6" t="str" cm="1">
        <f t="array" ref="AQ51">_xlfn.XLOOKUP(TRUE, EXACT(Table2[[#This Row],[Y]], Table9[orig]), Table9[char])</f>
        <v>%</v>
      </c>
      <c r="AR51" t="str" cm="1">
        <f t="array" ref="AR51">_xlfn.XLOOKUP(TRUE, EXACT(AP51, Table1[orig]), Table1[(Y)])</f>
        <v>D'</v>
      </c>
      <c r="AS51" s="6" t="str" cm="1">
        <f t="array" ref="AS51">_xlfn.XLOOKUP(TRUE, EXACT(Table2[[#This Row],[Y2]], Table9[orig]), Table9[char])</f>
        <v>%</v>
      </c>
      <c r="AT51" t="str" cm="1">
        <f t="array" ref="AT51">_xlfn.XLOOKUP(TRUE, EXACT(AR51, Table1[orig]), Table1[(Y)])</f>
        <v>D'</v>
      </c>
      <c r="AU51" s="6" t="str" cm="1">
        <f t="array" ref="AU51">_xlfn.XLOOKUP(TRUE, EXACT(Table2[[#This Row],[Y'']], Table9[orig]), Table9[char])</f>
        <v>%</v>
      </c>
      <c r="AV51" t="str" cm="1">
        <f t="array" ref="AV51">_xlfn.XLOOKUP(TRUE, EXACT(Table2[[#This Row],[orig]], Table3[orig]), Table3[(Z)])</f>
        <v>L'</v>
      </c>
      <c r="AW51" s="6" t="str" cm="1">
        <f t="array" ref="AW51">_xlfn.XLOOKUP(TRUE, EXACT(Table2[[#This Row],[Z]], Table9[orig]), Table9[char])</f>
        <v>G</v>
      </c>
      <c r="AX51" t="str" cm="1">
        <f t="array" ref="AX51">_xlfn.XLOOKUP(TRUE, EXACT(AV51, Table3[orig]), Table3[(Z)])</f>
        <v>U'</v>
      </c>
      <c r="AY51" s="6" t="str" cm="1">
        <f t="array" ref="AY51">_xlfn.XLOOKUP(TRUE, EXACT(Table2[[#This Row],[Z2]], Table9[orig]), Table9[char])</f>
        <v>.</v>
      </c>
      <c r="AZ51" t="str" cm="1">
        <f t="array" ref="AZ51">_xlfn.XLOOKUP(TRUE, EXACT(AX51, Table3[orig]), Table3[(Z)])</f>
        <v>R'</v>
      </c>
      <c r="BA51" s="6" t="str" cm="1">
        <f t="array" ref="BA51">_xlfn.XLOOKUP(TRUE, EXACT(Table2[[#This Row],[Z'']], Table9[orig]), Table9[char])</f>
        <v>A</v>
      </c>
      <c r="BB51" t="str" cm="1">
        <f t="array" ref="BB51">_xlfn.XLOOKUP(TRUE, EXACT(Table2[[#This Row],[orig]], Table5[orig]), Table5[(T-reflection)])</f>
        <v>D</v>
      </c>
      <c r="BC51" s="6" t="str" cm="1">
        <f t="array" ref="BC51">_xlfn.XLOOKUP(TRUE, EXACT(Table2[[#This Row],[T-reflection]], Table9[orig]), Table9[char])</f>
        <v>D</v>
      </c>
      <c r="BD51" t="str" cm="1">
        <f t="array" ref="BD51">_xlfn.XLOOKUP(TRUE, EXACT(Table2[[#This Row],[orig]], Table6[orig]), Table6[(H-reflection)])</f>
        <v>U</v>
      </c>
      <c r="BE51" s="6" t="str" cm="1">
        <f t="array" ref="BE51">_xlfn.XLOOKUP(TRUE, EXACT(Table2[[#This Row],[H-reflection]], Table9[orig]), Table9[char])</f>
        <v>U</v>
      </c>
      <c r="BF51" t="str" cm="1">
        <f t="array" ref="BF51">_xlfn.XLOOKUP(TRUE, EXACT(Table2[[#This Row],[orig]], Table7[orig]), Table7[(S-reflection)])</f>
        <v>D</v>
      </c>
      <c r="BG51" s="6" t="str" cm="1">
        <f t="array" ref="BG51">_xlfn.XLOOKUP(TRUE, EXACT(Table2[[#This Row],[S-reflection]], Table9[orig]), Table9[char])</f>
        <v>D</v>
      </c>
    </row>
    <row r="52" spans="1:118" s="3" customFormat="1" x14ac:dyDescent="0.2">
      <c r="A52"/>
      <c r="B52" s="3" t="s">
        <v>6</v>
      </c>
      <c r="C52" s="10" t="s">
        <v>134</v>
      </c>
      <c r="D52" s="11">
        <f>CODE(Table9[[#This Row],[char]])</f>
        <v>112</v>
      </c>
      <c r="E52" s="3" t="s">
        <v>5</v>
      </c>
      <c r="F52" s="3" t="str" cm="1">
        <f t="array" ref="F52">_xlfn.XLOOKUP(TRUE, EXACT(Table9[[#This Row],[inverse]], Table9[orig]), Table9[char])</f>
        <v>Y</v>
      </c>
      <c r="G52" s="3">
        <f>CODE(Table9[[#This Row],[inv char]])</f>
        <v>89</v>
      </c>
      <c r="H52" s="3">
        <v>0</v>
      </c>
      <c r="I52" s="3">
        <v>0</v>
      </c>
      <c r="J52" s="3" t="s">
        <v>6</v>
      </c>
      <c r="K52" t="str">
        <f>Table9[[#This Row],[orig]] &amp; " "</f>
        <v xml:space="preserve">Y' </v>
      </c>
      <c r="L52"/>
      <c r="N52" s="3" t="s">
        <v>6</v>
      </c>
      <c r="O52" s="3" t="s">
        <v>8</v>
      </c>
      <c r="P52"/>
      <c r="Q52" s="3" t="s">
        <v>6</v>
      </c>
      <c r="R52" s="3" t="s">
        <v>6</v>
      </c>
      <c r="S52"/>
      <c r="T52" s="3" t="s">
        <v>6</v>
      </c>
      <c r="U52" s="3" t="s">
        <v>3</v>
      </c>
      <c r="V52"/>
      <c r="W52" s="3" t="s">
        <v>6</v>
      </c>
      <c r="X52" s="3" t="s">
        <v>5</v>
      </c>
      <c r="Y52"/>
      <c r="Z52" s="3" t="s">
        <v>6</v>
      </c>
      <c r="AA52" s="3" t="s">
        <v>6</v>
      </c>
      <c r="AB52"/>
      <c r="AC52" s="3" t="s">
        <v>6</v>
      </c>
      <c r="AD52" s="3" t="s">
        <v>5</v>
      </c>
      <c r="AE52"/>
      <c r="AF52"/>
      <c r="AG52"/>
      <c r="AH52" s="3" t="str">
        <f t="shared" si="1"/>
        <v>Y'</v>
      </c>
      <c r="AI52" s="9" t="str" cm="1">
        <f t="array" ref="AI52">_xlfn.XLOOKUP(TRUE, EXACT(Table2[[#This Row],[orig]], Table9[orig]), Table9[char])</f>
        <v>p</v>
      </c>
      <c r="AJ52" s="3" t="str" cm="1">
        <f t="array" ref="AJ52">_xlfn.XLOOKUP(TRUE, EXACT(Table2[[#This Row],[orig]], Table4[orig]), Table4[(X)])</f>
        <v>Z</v>
      </c>
      <c r="AK52" s="9" t="str" cm="1">
        <f t="array" ref="AK52">_xlfn.XLOOKUP(TRUE, EXACT(Table2[[#This Row],[X]], Table9[orig]), Table9[char])</f>
        <v>Z</v>
      </c>
      <c r="AL52" s="3" t="str" cm="1">
        <f t="array" ref="AL52">_xlfn.XLOOKUP(TRUE, EXACT(AJ52, Table4[orig]), Table4[(X)])</f>
        <v>Y</v>
      </c>
      <c r="AM52" s="9" t="str" cm="1">
        <f t="array" ref="AM52">_xlfn.XLOOKUP(TRUE, EXACT(Table2[[#This Row],[X2]], Table9[orig]), Table9[char])</f>
        <v>Y</v>
      </c>
      <c r="AN52" s="3" t="str" cm="1">
        <f t="array" ref="AN52">_xlfn.XLOOKUP(TRUE, EXACT(AL52, Table4[orig]), Table4[(X)])</f>
        <v>Z'</v>
      </c>
      <c r="AO52" s="9" t="str" cm="1">
        <f t="array" ref="AO52">_xlfn.XLOOKUP(TRUE, EXACT(Table2[[#This Row],[X'']], Table9[orig]), Table9[char])</f>
        <v>#</v>
      </c>
      <c r="AP52" s="3" t="str" cm="1">
        <f t="array" ref="AP52">_xlfn.XLOOKUP(TRUE, EXACT(AH52, Table1[orig]), Table1[(Y)])</f>
        <v>Y'</v>
      </c>
      <c r="AQ52" s="9" t="str" cm="1">
        <f t="array" ref="AQ52">_xlfn.XLOOKUP(TRUE, EXACT(Table2[[#This Row],[Y]], Table9[orig]), Table9[char])</f>
        <v>p</v>
      </c>
      <c r="AR52" s="3" t="str" cm="1">
        <f t="array" ref="AR52">_xlfn.XLOOKUP(TRUE, EXACT(AP52, Table1[orig]), Table1[(Y)])</f>
        <v>Y'</v>
      </c>
      <c r="AS52" s="9" t="str" cm="1">
        <f t="array" ref="AS52">_xlfn.XLOOKUP(TRUE, EXACT(Table2[[#This Row],[Y2]], Table9[orig]), Table9[char])</f>
        <v>p</v>
      </c>
      <c r="AT52" s="3" t="str" cm="1">
        <f t="array" ref="AT52">_xlfn.XLOOKUP(TRUE, EXACT(AR52, Table1[orig]), Table1[(Y)])</f>
        <v>Y'</v>
      </c>
      <c r="AU52" s="9" t="str" cm="1">
        <f t="array" ref="AU52">_xlfn.XLOOKUP(TRUE, EXACT(Table2[[#This Row],[Y'']], Table9[orig]), Table9[char])</f>
        <v>p</v>
      </c>
      <c r="AV52" s="3" t="str" cm="1">
        <f t="array" ref="AV52">_xlfn.XLOOKUP(TRUE, EXACT(Table2[[#This Row],[orig]], Table3[orig]), Table3[(Z)])</f>
        <v>X'</v>
      </c>
      <c r="AW52" s="9" t="str" cm="1">
        <f t="array" ref="AW52">_xlfn.XLOOKUP(TRUE, EXACT(Table2[[#This Row],[Z]], Table9[orig]), Table9[char])</f>
        <v>!</v>
      </c>
      <c r="AX52" s="3" t="str" cm="1">
        <f t="array" ref="AX52">_xlfn.XLOOKUP(TRUE, EXACT(AV52, Table3[orig]), Table3[(Z)])</f>
        <v>Y</v>
      </c>
      <c r="AY52" s="9" t="str" cm="1">
        <f t="array" ref="AY52">_xlfn.XLOOKUP(TRUE, EXACT(Table2[[#This Row],[Z2]], Table9[orig]), Table9[char])</f>
        <v>Y</v>
      </c>
      <c r="AZ52" s="3" t="str" cm="1">
        <f t="array" ref="AZ52">_xlfn.XLOOKUP(TRUE, EXACT(AX52, Table3[orig]), Table3[(Z)])</f>
        <v>X</v>
      </c>
      <c r="BA52" s="9" t="str" cm="1">
        <f t="array" ref="BA52">_xlfn.XLOOKUP(TRUE, EXACT(Table2[[#This Row],[Z'']], Table9[orig]), Table9[char])</f>
        <v>X</v>
      </c>
      <c r="BB52" s="3" t="str" cm="1">
        <f t="array" ref="BB52">_xlfn.XLOOKUP(TRUE, EXACT(Table2[[#This Row],[orig]], Table5[orig]), Table5[(T-reflection)])</f>
        <v>Y</v>
      </c>
      <c r="BC52" s="9" t="str" cm="1">
        <f t="array" ref="BC52">_xlfn.XLOOKUP(TRUE, EXACT(Table2[[#This Row],[T-reflection]], Table9[orig]), Table9[char])</f>
        <v>Y</v>
      </c>
      <c r="BD52" s="3" t="str" cm="1">
        <f t="array" ref="BD52">_xlfn.XLOOKUP(TRUE, EXACT(Table2[[#This Row],[orig]], Table6[orig]), Table6[(H-reflection)])</f>
        <v>Y'</v>
      </c>
      <c r="BE52" s="9" t="str" cm="1">
        <f t="array" ref="BE52">_xlfn.XLOOKUP(TRUE, EXACT(Table2[[#This Row],[H-reflection]], Table9[orig]), Table9[char])</f>
        <v>p</v>
      </c>
      <c r="BF52" s="3" t="str" cm="1">
        <f t="array" ref="BF52">_xlfn.XLOOKUP(TRUE, EXACT(Table2[[#This Row],[orig]], Table7[orig]), Table7[(S-reflection)])</f>
        <v>Y</v>
      </c>
      <c r="BG52" s="6" t="str" cm="1">
        <f t="array" ref="BG52">_xlfn.XLOOKUP(TRUE, EXACT(Table2[[#This Row],[S-reflection]], Table9[orig]), Table9[char])</f>
        <v>Y</v>
      </c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</row>
    <row r="53" spans="1:118" x14ac:dyDescent="0.2">
      <c r="B53" s="7" t="s">
        <v>110</v>
      </c>
      <c r="C53" s="7" t="s">
        <v>135</v>
      </c>
      <c r="D53" s="1">
        <f>CODE(Table9[[#This Row],[char]])</f>
        <v>92</v>
      </c>
      <c r="E53" t="s">
        <v>110</v>
      </c>
      <c r="F53" t="str" cm="1">
        <f t="array" ref="F53">_xlfn.XLOOKUP(TRUE, EXACT(Table9[[#This Row],[inverse]], Table9[orig]), Table9[char])</f>
        <v>\</v>
      </c>
      <c r="G53">
        <f>CODE(Table9[[#This Row],[inv char]])</f>
        <v>92</v>
      </c>
      <c r="H53" t="s">
        <v>99</v>
      </c>
      <c r="I53" t="str" cm="1">
        <f t="array" ref="I53">_xlfn.XLOOKUP(TRUE, EXACT(Table9[[#This Row],[Complement]], Table9[orig]), Table9[char])</f>
        <v>_</v>
      </c>
      <c r="J53" t="s">
        <v>7</v>
      </c>
      <c r="K53" t="str">
        <f>Table9[[#This Row],[orig]] &amp; " "</f>
        <v xml:space="preserve">U2 </v>
      </c>
      <c r="N53" t="s">
        <v>110</v>
      </c>
      <c r="O53" t="s">
        <v>109</v>
      </c>
      <c r="Q53" t="s">
        <v>110</v>
      </c>
      <c r="R53" t="s">
        <v>110</v>
      </c>
      <c r="T53" t="s">
        <v>110</v>
      </c>
      <c r="U53" t="s">
        <v>22</v>
      </c>
      <c r="W53" t="s">
        <v>110</v>
      </c>
      <c r="X53" t="s">
        <v>110</v>
      </c>
      <c r="Z53" t="s">
        <v>110</v>
      </c>
      <c r="AA53" t="s">
        <v>95</v>
      </c>
      <c r="AC53" t="s">
        <v>110</v>
      </c>
      <c r="AD53" t="s">
        <v>110</v>
      </c>
      <c r="AH53" t="str">
        <f t="shared" si="1"/>
        <v>U2</v>
      </c>
      <c r="AI53" s="6" t="str" cm="1">
        <f t="array" ref="AI53">_xlfn.XLOOKUP(TRUE, EXACT(Table2[[#This Row],[orig]], Table9[orig]), Table9[char])</f>
        <v>\</v>
      </c>
      <c r="AJ53" t="str" cm="1">
        <f t="array" ref="AJ53">_xlfn.XLOOKUP(TRUE, EXACT(Table2[[#This Row],[orig]], Table4[orig]), Table4[(X)])</f>
        <v>B2</v>
      </c>
      <c r="AK53" s="6" t="str" cm="1">
        <f t="array" ref="AK53">_xlfn.XLOOKUP(TRUE, EXACT(Table2[[#This Row],[X]], Table9[orig]), Table9[char])</f>
        <v>`</v>
      </c>
      <c r="AL53" t="str" cm="1">
        <f t="array" ref="AL53">_xlfn.XLOOKUP(TRUE, EXACT(AJ53, Table4[orig]), Table4[(X)])</f>
        <v>D2</v>
      </c>
      <c r="AM53" s="6" t="str" cm="1">
        <f t="array" ref="AM53">_xlfn.XLOOKUP(TRUE, EXACT(Table2[[#This Row],[X2]], Table9[orig]), Table9[char])</f>
        <v>c</v>
      </c>
      <c r="AN53" t="str" cm="1">
        <f t="array" ref="AN53">_xlfn.XLOOKUP(TRUE, EXACT(AL53, Table4[orig]), Table4[(X)])</f>
        <v>F2</v>
      </c>
      <c r="AO53" s="6" t="str" cm="1">
        <f t="array" ref="AO53">_xlfn.XLOOKUP(TRUE, EXACT(Table2[[#This Row],[X'']], Table9[orig]), Table9[char])</f>
        <v>$</v>
      </c>
      <c r="AP53" t="str" cm="1">
        <f t="array" ref="AP53">_xlfn.XLOOKUP(TRUE, EXACT(AH53, Table1[orig]), Table1[(Y)])</f>
        <v>U2</v>
      </c>
      <c r="AQ53" s="6" t="str" cm="1">
        <f t="array" ref="AQ53">_xlfn.XLOOKUP(TRUE, EXACT(Table2[[#This Row],[Y]], Table9[orig]), Table9[char])</f>
        <v>\</v>
      </c>
      <c r="AR53" t="str" cm="1">
        <f t="array" ref="AR53">_xlfn.XLOOKUP(TRUE, EXACT(AP53, Table1[orig]), Table1[(Y)])</f>
        <v>U2</v>
      </c>
      <c r="AS53" s="6" t="str" cm="1">
        <f t="array" ref="AS53">_xlfn.XLOOKUP(TRUE, EXACT(Table2[[#This Row],[Y2]], Table9[orig]), Table9[char])</f>
        <v>\</v>
      </c>
      <c r="AT53" t="str" cm="1">
        <f t="array" ref="AT53">_xlfn.XLOOKUP(TRUE, EXACT(AR53, Table1[orig]), Table1[(Y)])</f>
        <v>U2</v>
      </c>
      <c r="AU53" s="6" t="str" cm="1">
        <f t="array" ref="AU53">_xlfn.XLOOKUP(TRUE, EXACT(Table2[[#This Row],[Y'']], Table9[orig]), Table9[char])</f>
        <v>\</v>
      </c>
      <c r="AV53" t="str" cm="1">
        <f t="array" ref="AV53">_xlfn.XLOOKUP(TRUE, EXACT(Table2[[#This Row],[orig]], Table3[orig]), Table3[(Z)])</f>
        <v>R2</v>
      </c>
      <c r="AW53" s="6" t="str" cm="1">
        <f t="array" ref="AW53">_xlfn.XLOOKUP(TRUE, EXACT(Table2[[#This Row],[Z]], Table9[orig]), Table9[char])</f>
        <v>J</v>
      </c>
      <c r="AX53" t="str" cm="1">
        <f t="array" ref="AX53">_xlfn.XLOOKUP(TRUE, EXACT(AV53, Table3[orig]), Table3[(Z)])</f>
        <v>D2</v>
      </c>
      <c r="AY53" s="6" t="str" cm="1">
        <f t="array" ref="AY53">_xlfn.XLOOKUP(TRUE, EXACT(Table2[[#This Row],[Z2]], Table9[orig]), Table9[char])</f>
        <v>c</v>
      </c>
      <c r="AZ53" t="str" cm="1">
        <f t="array" ref="AZ53">_xlfn.XLOOKUP(TRUE, EXACT(AX53, Table3[orig]), Table3[(Z)])</f>
        <v>L2</v>
      </c>
      <c r="BA53" s="6" t="str" cm="1">
        <f t="array" ref="BA53">_xlfn.XLOOKUP(TRUE, EXACT(Table2[[#This Row],[Z'']], Table9[orig]), Table9[char])</f>
        <v>N</v>
      </c>
      <c r="BB53" t="str" cm="1">
        <f t="array" ref="BB53">_xlfn.XLOOKUP(TRUE, EXACT(Table2[[#This Row],[orig]], Table5[orig]), Table5[(T-reflection)])</f>
        <v>U2</v>
      </c>
      <c r="BC53" s="6" t="str" cm="1">
        <f t="array" ref="BC53">_xlfn.XLOOKUP(TRUE, EXACT(Table2[[#This Row],[T-reflection]], Table9[orig]), Table9[char])</f>
        <v>\</v>
      </c>
      <c r="BD53" t="str" cm="1">
        <f t="array" ref="BD53">_xlfn.XLOOKUP(TRUE, EXACT(Table2[[#This Row],[orig]], Table6[orig]), Table6[(H-reflection)])</f>
        <v>D2</v>
      </c>
      <c r="BE53" s="6" t="str" cm="1">
        <f t="array" ref="BE53">_xlfn.XLOOKUP(TRUE, EXACT(Table2[[#This Row],[H-reflection]], Table9[orig]), Table9[char])</f>
        <v>c</v>
      </c>
      <c r="BF53" t="str" cm="1">
        <f t="array" ref="BF53">_xlfn.XLOOKUP(TRUE, EXACT(Table2[[#This Row],[orig]], Table7[orig]), Table7[(S-reflection)])</f>
        <v>U2</v>
      </c>
      <c r="BG53" s="6" t="str" cm="1">
        <f t="array" ref="BG53">_xlfn.XLOOKUP(TRUE, EXACT(Table2[[#This Row],[S-reflection]], Table9[orig]), Table9[char])</f>
        <v>\</v>
      </c>
    </row>
    <row r="54" spans="1:118" x14ac:dyDescent="0.2">
      <c r="B54" t="s">
        <v>107</v>
      </c>
      <c r="C54" t="s">
        <v>136</v>
      </c>
      <c r="D54" s="1">
        <f>CODE(Table9[[#This Row],[char]])</f>
        <v>118</v>
      </c>
      <c r="E54" t="s">
        <v>107</v>
      </c>
      <c r="F54" t="str" cm="1">
        <f t="array" ref="F54">_xlfn.XLOOKUP(TRUE, EXACT(Table9[[#This Row],[inverse]], Table9[orig]), Table9[char])</f>
        <v>v</v>
      </c>
      <c r="G54">
        <f>CODE(Table9[[#This Row],[inv char]])</f>
        <v>118</v>
      </c>
      <c r="H54" t="s">
        <v>95</v>
      </c>
      <c r="I54" t="str" cm="1">
        <f t="array" ref="I54">_xlfn.XLOOKUP(TRUE, EXACT(Table9[[#This Row],[Complement]], Table9[orig]), Table9[char])</f>
        <v>c</v>
      </c>
      <c r="J54" t="s">
        <v>7</v>
      </c>
      <c r="K54" t="str">
        <f>Table9[[#This Row],[orig]] &amp; " "</f>
        <v xml:space="preserve">u2 </v>
      </c>
      <c r="N54" t="s">
        <v>107</v>
      </c>
      <c r="O54" t="s">
        <v>106</v>
      </c>
      <c r="Q54" t="s">
        <v>107</v>
      </c>
      <c r="R54" t="s">
        <v>107</v>
      </c>
      <c r="T54" t="s">
        <v>107</v>
      </c>
      <c r="U54" t="s">
        <v>96</v>
      </c>
      <c r="W54" t="s">
        <v>107</v>
      </c>
      <c r="X54" t="s">
        <v>107</v>
      </c>
      <c r="Z54" t="s">
        <v>107</v>
      </c>
      <c r="AA54" t="s">
        <v>99</v>
      </c>
      <c r="AC54" t="s">
        <v>107</v>
      </c>
      <c r="AD54" t="s">
        <v>107</v>
      </c>
      <c r="AH54" t="str">
        <f t="shared" si="1"/>
        <v>u2</v>
      </c>
      <c r="AI54" s="6" t="str" cm="1">
        <f t="array" ref="AI54">_xlfn.XLOOKUP(TRUE, EXACT(Table2[[#This Row],[orig]], Table9[orig]), Table9[char])</f>
        <v>v</v>
      </c>
      <c r="AJ54" t="str" cm="1">
        <f t="array" ref="AJ54">_xlfn.XLOOKUP(TRUE, EXACT(Table2[[#This Row],[orig]], Table4[orig]), Table4[(X)])</f>
        <v>b2</v>
      </c>
      <c r="AK54" s="6" t="str" cm="1">
        <f t="array" ref="AK54">_xlfn.XLOOKUP(TRUE, EXACT(Table2[[#This Row],[X]], Table9[orig]), Table9[char])</f>
        <v>~</v>
      </c>
      <c r="AL54" t="str" cm="1">
        <f t="array" ref="AL54">_xlfn.XLOOKUP(TRUE, EXACT(AJ54, Table4[orig]), Table4[(X)])</f>
        <v>d2</v>
      </c>
      <c r="AM54" s="6" t="str" cm="1">
        <f t="array" ref="AM54">_xlfn.XLOOKUP(TRUE, EXACT(Table2[[#This Row],[X2]], Table9[orig]), Table9[char])</f>
        <v>_</v>
      </c>
      <c r="AN54" t="str" cm="1">
        <f t="array" ref="AN54">_xlfn.XLOOKUP(TRUE, EXACT(AL54, Table4[orig]), Table4[(X)])</f>
        <v>f2</v>
      </c>
      <c r="AO54" s="6" t="str" cm="1">
        <f t="array" ref="AO54">_xlfn.XLOOKUP(TRUE, EXACT(Table2[[#This Row],[X'']], Table9[orig]), Table9[char])</f>
        <v>?</v>
      </c>
      <c r="AP54" t="str" cm="1">
        <f t="array" ref="AP54">_xlfn.XLOOKUP(TRUE, EXACT(AH54, Table1[orig]), Table1[(Y)])</f>
        <v>u2</v>
      </c>
      <c r="AQ54" s="6" t="str" cm="1">
        <f t="array" ref="AQ54">_xlfn.XLOOKUP(TRUE, EXACT(Table2[[#This Row],[Y]], Table9[orig]), Table9[char])</f>
        <v>v</v>
      </c>
      <c r="AR54" t="str" cm="1">
        <f t="array" ref="AR54">_xlfn.XLOOKUP(TRUE, EXACT(AP54, Table1[orig]), Table1[(Y)])</f>
        <v>u2</v>
      </c>
      <c r="AS54" s="6" t="str" cm="1">
        <f t="array" ref="AS54">_xlfn.XLOOKUP(TRUE, EXACT(Table2[[#This Row],[Y2]], Table9[orig]), Table9[char])</f>
        <v>v</v>
      </c>
      <c r="AT54" t="str" cm="1">
        <f t="array" ref="AT54">_xlfn.XLOOKUP(TRUE, EXACT(AR54, Table1[orig]), Table1[(Y)])</f>
        <v>u2</v>
      </c>
      <c r="AU54" s="6" t="str" cm="1">
        <f t="array" ref="AU54">_xlfn.XLOOKUP(TRUE, EXACT(Table2[[#This Row],[Y'']], Table9[orig]), Table9[char])</f>
        <v>v</v>
      </c>
      <c r="AV54" t="str" cm="1">
        <f t="array" ref="AV54">_xlfn.XLOOKUP(TRUE, EXACT(Table2[[#This Row],[orig]], Table3[orig]), Table3[(Z)])</f>
        <v>r2</v>
      </c>
      <c r="AW54" s="6" t="str" cm="1">
        <f t="array" ref="AW54">_xlfn.XLOOKUP(TRUE, EXACT(Table2[[#This Row],[Z]], Table9[orig]), Table9[char])</f>
        <v>j</v>
      </c>
      <c r="AX54" t="str" cm="1">
        <f t="array" ref="AX54">_xlfn.XLOOKUP(TRUE, EXACT(AV54, Table3[orig]), Table3[(Z)])</f>
        <v>d2</v>
      </c>
      <c r="AY54" s="6" t="str" cm="1">
        <f t="array" ref="AY54">_xlfn.XLOOKUP(TRUE, EXACT(Table2[[#This Row],[Z2]], Table9[orig]), Table9[char])</f>
        <v>_</v>
      </c>
      <c r="AZ54" t="str" cm="1">
        <f t="array" ref="AZ54">_xlfn.XLOOKUP(TRUE, EXACT(AX54, Table3[orig]), Table3[(Z)])</f>
        <v>l2</v>
      </c>
      <c r="BA54" s="6" t="str" cm="1">
        <f t="array" ref="BA54">_xlfn.XLOOKUP(TRUE, EXACT(Table2[[#This Row],[Z'']], Table9[orig]), Table9[char])</f>
        <v>n</v>
      </c>
      <c r="BB54" t="str" cm="1">
        <f t="array" ref="BB54">_xlfn.XLOOKUP(TRUE, EXACT(Table2[[#This Row],[orig]], Table5[orig]), Table5[(T-reflection)])</f>
        <v>u2</v>
      </c>
      <c r="BC54" s="6" t="str" cm="1">
        <f t="array" ref="BC54">_xlfn.XLOOKUP(TRUE, EXACT(Table2[[#This Row],[T-reflection]], Table9[orig]), Table9[char])</f>
        <v>v</v>
      </c>
      <c r="BD54" t="str" cm="1">
        <f t="array" ref="BD54">_xlfn.XLOOKUP(TRUE, EXACT(Table2[[#This Row],[orig]], Table6[orig]), Table6[(H-reflection)])</f>
        <v>d2</v>
      </c>
      <c r="BE54" s="6" t="str" cm="1">
        <f t="array" ref="BE54">_xlfn.XLOOKUP(TRUE, EXACT(Table2[[#This Row],[H-reflection]], Table9[orig]), Table9[char])</f>
        <v>_</v>
      </c>
      <c r="BF54" t="str" cm="1">
        <f t="array" ref="BF54">_xlfn.XLOOKUP(TRUE, EXACT(Table2[[#This Row],[orig]], Table7[orig]), Table7[(S-reflection)])</f>
        <v>u2</v>
      </c>
      <c r="BG54" s="6" t="str" cm="1">
        <f t="array" ref="BG54">_xlfn.XLOOKUP(TRUE, EXACT(Table2[[#This Row],[S-reflection]], Table9[orig]), Table9[char])</f>
        <v>v</v>
      </c>
    </row>
    <row r="55" spans="1:118" x14ac:dyDescent="0.2">
      <c r="B55" s="7" t="s">
        <v>104</v>
      </c>
      <c r="C55" s="7" t="s">
        <v>137</v>
      </c>
      <c r="D55" s="1">
        <f>CODE(Table9[[#This Row],[char]])</f>
        <v>47</v>
      </c>
      <c r="E55" t="s">
        <v>104</v>
      </c>
      <c r="F55" t="str" cm="1">
        <f t="array" ref="F55">_xlfn.XLOOKUP(TRUE, EXACT(Table9[[#This Row],[inverse]], Table9[orig]), Table9[char])</f>
        <v>/</v>
      </c>
      <c r="G55">
        <f>CODE(Table9[[#This Row],[inv char]])</f>
        <v>47</v>
      </c>
      <c r="H55" t="s">
        <v>138</v>
      </c>
      <c r="I55" t="str" cm="1">
        <f t="array" ref="I55">_xlfn.CONCAT(_xlfn.XLOOKUP(TRUE, EXACT(B53, Table9[orig]), Table9[char]), _xlfn.XLOOKUP(TRUE, EXACT(B57, Table9[orig]), Table9[char]))</f>
        <v>\c</v>
      </c>
      <c r="J55" t="s">
        <v>7</v>
      </c>
      <c r="K55" t="str">
        <f>Table9[[#This Row],[orig]] &amp; " "</f>
        <v xml:space="preserve">H2 </v>
      </c>
      <c r="N55" t="s">
        <v>104</v>
      </c>
      <c r="O55" t="s">
        <v>103</v>
      </c>
      <c r="Q55" t="s">
        <v>104</v>
      </c>
      <c r="R55" t="s">
        <v>104</v>
      </c>
      <c r="T55" t="s">
        <v>104</v>
      </c>
      <c r="U55" t="s">
        <v>100</v>
      </c>
      <c r="W55" t="s">
        <v>104</v>
      </c>
      <c r="X55" t="s">
        <v>104</v>
      </c>
      <c r="Z55" t="s">
        <v>104</v>
      </c>
      <c r="AA55" t="s">
        <v>104</v>
      </c>
      <c r="AC55" t="s">
        <v>104</v>
      </c>
      <c r="AD55" t="s">
        <v>104</v>
      </c>
      <c r="AH55" t="str">
        <f t="shared" si="1"/>
        <v>H2</v>
      </c>
      <c r="AI55" s="6" t="str" cm="1">
        <f t="array" ref="AI55">_xlfn.XLOOKUP(TRUE, EXACT(Table2[[#This Row],[orig]], Table9[orig]), Table9[char])</f>
        <v>/</v>
      </c>
      <c r="AJ55" t="str" cm="1">
        <f t="array" ref="AJ55">_xlfn.XLOOKUP(TRUE, EXACT(Table2[[#This Row],[orig]], Table4[orig]), Table4[(X)])</f>
        <v>S2</v>
      </c>
      <c r="AK55" s="6" t="str" cm="1">
        <f t="array" ref="AK55">_xlfn.XLOOKUP(TRUE, EXACT(Table2[[#This Row],[X]], Table9[orig]), Table9[char])</f>
        <v>^</v>
      </c>
      <c r="AL55" t="str" cm="1">
        <f t="array" ref="AL55">_xlfn.XLOOKUP(TRUE, EXACT(AJ55, Table4[orig]), Table4[(X)])</f>
        <v>H2</v>
      </c>
      <c r="AM55" s="6" t="str" cm="1">
        <f t="array" ref="AM55">_xlfn.XLOOKUP(TRUE, EXACT(Table2[[#This Row],[X2]], Table9[orig]), Table9[char])</f>
        <v>/</v>
      </c>
      <c r="AN55" t="str" cm="1">
        <f t="array" ref="AN55">_xlfn.XLOOKUP(TRUE, EXACT(AL55, Table4[orig]), Table4[(X)])</f>
        <v>S2</v>
      </c>
      <c r="AO55" s="6" t="str" cm="1">
        <f t="array" ref="AO55">_xlfn.XLOOKUP(TRUE, EXACT(Table2[[#This Row],[X'']], Table9[orig]), Table9[char])</f>
        <v>^</v>
      </c>
      <c r="AP55" t="str" cm="1">
        <f t="array" ref="AP55">_xlfn.XLOOKUP(TRUE, EXACT(AH55, Table1[orig]), Table1[(Y)])</f>
        <v>H2</v>
      </c>
      <c r="AQ55" s="6" t="str" cm="1">
        <f t="array" ref="AQ55">_xlfn.XLOOKUP(TRUE, EXACT(Table2[[#This Row],[Y]], Table9[orig]), Table9[char])</f>
        <v>/</v>
      </c>
      <c r="AR55" t="str" cm="1">
        <f t="array" ref="AR55">_xlfn.XLOOKUP(TRUE, EXACT(AP55, Table1[orig]), Table1[(Y)])</f>
        <v>H2</v>
      </c>
      <c r="AS55" s="6" t="str" cm="1">
        <f t="array" ref="AS55">_xlfn.XLOOKUP(TRUE, EXACT(Table2[[#This Row],[Y2]], Table9[orig]), Table9[char])</f>
        <v>/</v>
      </c>
      <c r="AT55" t="str" cm="1">
        <f t="array" ref="AT55">_xlfn.XLOOKUP(TRUE, EXACT(AR55, Table1[orig]), Table1[(Y)])</f>
        <v>H2</v>
      </c>
      <c r="AU55" s="6" t="str" cm="1">
        <f t="array" ref="AU55">_xlfn.XLOOKUP(TRUE, EXACT(Table2[[#This Row],[Y'']], Table9[orig]), Table9[char])</f>
        <v>/</v>
      </c>
      <c r="AV55" t="str" cm="1">
        <f t="array" ref="AV55">_xlfn.XLOOKUP(TRUE, EXACT(Table2[[#This Row],[orig]], Table3[orig]), Table3[(Z)])</f>
        <v>T2</v>
      </c>
      <c r="AW55" s="6" t="str" cm="1">
        <f t="array" ref="AW55">_xlfn.XLOOKUP(TRUE, EXACT(Table2[[#This Row],[Z]], Table9[orig]), Table9[char])</f>
        <v>K</v>
      </c>
      <c r="AX55" t="str" cm="1">
        <f t="array" ref="AX55">_xlfn.XLOOKUP(TRUE, EXACT(AV55, Table3[orig]), Table3[(Z)])</f>
        <v>H2</v>
      </c>
      <c r="AY55" s="6" t="str" cm="1">
        <f t="array" ref="AY55">_xlfn.XLOOKUP(TRUE, EXACT(Table2[[#This Row],[Z2]], Table9[orig]), Table9[char])</f>
        <v>/</v>
      </c>
      <c r="AZ55" t="str" cm="1">
        <f t="array" ref="AZ55">_xlfn.XLOOKUP(TRUE, EXACT(AX55, Table3[orig]), Table3[(Z)])</f>
        <v>T2</v>
      </c>
      <c r="BA55" s="6" t="str" cm="1">
        <f t="array" ref="BA55">_xlfn.XLOOKUP(TRUE, EXACT(Table2[[#This Row],[Z'']], Table9[orig]), Table9[char])</f>
        <v>K</v>
      </c>
      <c r="BB55" t="str" cm="1">
        <f t="array" ref="BB55">_xlfn.XLOOKUP(TRUE, EXACT(Table2[[#This Row],[orig]], Table5[orig]), Table5[(T-reflection)])</f>
        <v>H2</v>
      </c>
      <c r="BC55" s="6" t="str" cm="1">
        <f t="array" ref="BC55">_xlfn.XLOOKUP(TRUE, EXACT(Table2[[#This Row],[T-reflection]], Table9[orig]), Table9[char])</f>
        <v>/</v>
      </c>
      <c r="BD55" t="str" cm="1">
        <f t="array" ref="BD55">_xlfn.XLOOKUP(TRUE, EXACT(Table2[[#This Row],[orig]], Table6[orig]), Table6[(H-reflection)])</f>
        <v>H2</v>
      </c>
      <c r="BE55" s="6" t="str" cm="1">
        <f t="array" ref="BE55">_xlfn.XLOOKUP(TRUE, EXACT(Table2[[#This Row],[H-reflection]], Table9[orig]), Table9[char])</f>
        <v>/</v>
      </c>
      <c r="BF55" t="str" cm="1">
        <f t="array" ref="BF55">_xlfn.XLOOKUP(TRUE, EXACT(Table2[[#This Row],[orig]], Table7[orig]), Table7[(S-reflection)])</f>
        <v>H2</v>
      </c>
      <c r="BG55" s="6" t="str" cm="1">
        <f t="array" ref="BG55">_xlfn.XLOOKUP(TRUE, EXACT(Table2[[#This Row],[S-reflection]], Table9[orig]), Table9[char])</f>
        <v>/</v>
      </c>
    </row>
    <row r="56" spans="1:118" x14ac:dyDescent="0.2">
      <c r="B56" t="s">
        <v>99</v>
      </c>
      <c r="C56" t="s">
        <v>139</v>
      </c>
      <c r="D56" s="1">
        <f>CODE(Table9[[#This Row],[char]])</f>
        <v>95</v>
      </c>
      <c r="E56" t="s">
        <v>99</v>
      </c>
      <c r="F56" t="str" cm="1">
        <f t="array" ref="F56">_xlfn.XLOOKUP(TRUE, EXACT(Table9[[#This Row],[inverse]], Table9[orig]), Table9[char])</f>
        <v>_</v>
      </c>
      <c r="G56">
        <f>CODE(Table9[[#This Row],[inv char]])</f>
        <v>95</v>
      </c>
      <c r="H56" t="s">
        <v>110</v>
      </c>
      <c r="I56" t="str" cm="1">
        <f t="array" ref="I56">_xlfn.XLOOKUP(TRUE, EXACT(Table9[[#This Row],[Complement]], Table9[orig]), Table9[char])</f>
        <v>\</v>
      </c>
      <c r="J56" t="s">
        <v>7</v>
      </c>
      <c r="K56" t="str">
        <f>Table9[[#This Row],[orig]] &amp; " "</f>
        <v xml:space="preserve">d2 </v>
      </c>
      <c r="N56" t="s">
        <v>99</v>
      </c>
      <c r="O56" t="s">
        <v>98</v>
      </c>
      <c r="Q56" t="s">
        <v>99</v>
      </c>
      <c r="R56" t="s">
        <v>99</v>
      </c>
      <c r="T56" t="s">
        <v>99</v>
      </c>
      <c r="U56" t="s">
        <v>93</v>
      </c>
      <c r="W56" t="s">
        <v>99</v>
      </c>
      <c r="X56" t="s">
        <v>99</v>
      </c>
      <c r="Z56" t="s">
        <v>99</v>
      </c>
      <c r="AA56" t="s">
        <v>107</v>
      </c>
      <c r="AC56" t="s">
        <v>99</v>
      </c>
      <c r="AD56" t="s">
        <v>99</v>
      </c>
      <c r="AH56" t="str">
        <f t="shared" si="1"/>
        <v>d2</v>
      </c>
      <c r="AI56" s="6" t="str" cm="1">
        <f t="array" ref="AI56">_xlfn.XLOOKUP(TRUE, EXACT(Table2[[#This Row],[orig]], Table9[orig]), Table9[char])</f>
        <v>_</v>
      </c>
      <c r="AJ56" t="str" cm="1">
        <f t="array" ref="AJ56">_xlfn.XLOOKUP(TRUE, EXACT(Table2[[#This Row],[orig]], Table4[orig]), Table4[(X)])</f>
        <v>f2</v>
      </c>
      <c r="AK56" s="6" t="str" cm="1">
        <f t="array" ref="AK56">_xlfn.XLOOKUP(TRUE, EXACT(Table2[[#This Row],[X]], Table9[orig]), Table9[char])</f>
        <v>?</v>
      </c>
      <c r="AL56" t="str" cm="1">
        <f t="array" ref="AL56">_xlfn.XLOOKUP(TRUE, EXACT(AJ56, Table4[orig]), Table4[(X)])</f>
        <v>u2</v>
      </c>
      <c r="AM56" s="6" t="str" cm="1">
        <f t="array" ref="AM56">_xlfn.XLOOKUP(TRUE, EXACT(Table2[[#This Row],[X2]], Table9[orig]), Table9[char])</f>
        <v>v</v>
      </c>
      <c r="AN56" t="str" cm="1">
        <f t="array" ref="AN56">_xlfn.XLOOKUP(TRUE, EXACT(AL56, Table4[orig]), Table4[(X)])</f>
        <v>b2</v>
      </c>
      <c r="AO56" s="6" t="str" cm="1">
        <f t="array" ref="AO56">_xlfn.XLOOKUP(TRUE, EXACT(Table2[[#This Row],[X'']], Table9[orig]), Table9[char])</f>
        <v>~</v>
      </c>
      <c r="AP56" t="str" cm="1">
        <f t="array" ref="AP56">_xlfn.XLOOKUP(TRUE, EXACT(AH56, Table1[orig]), Table1[(Y)])</f>
        <v>d2</v>
      </c>
      <c r="AQ56" s="6" t="str" cm="1">
        <f t="array" ref="AQ56">_xlfn.XLOOKUP(TRUE, EXACT(Table2[[#This Row],[Y]], Table9[orig]), Table9[char])</f>
        <v>_</v>
      </c>
      <c r="AR56" t="str" cm="1">
        <f t="array" ref="AR56">_xlfn.XLOOKUP(TRUE, EXACT(AP56, Table1[orig]), Table1[(Y)])</f>
        <v>d2</v>
      </c>
      <c r="AS56" s="6" t="str" cm="1">
        <f t="array" ref="AS56">_xlfn.XLOOKUP(TRUE, EXACT(Table2[[#This Row],[Y2]], Table9[orig]), Table9[char])</f>
        <v>_</v>
      </c>
      <c r="AT56" t="str" cm="1">
        <f t="array" ref="AT56">_xlfn.XLOOKUP(TRUE, EXACT(AR56, Table1[orig]), Table1[(Y)])</f>
        <v>d2</v>
      </c>
      <c r="AU56" s="6" t="str" cm="1">
        <f t="array" ref="AU56">_xlfn.XLOOKUP(TRUE, EXACT(Table2[[#This Row],[Y'']], Table9[orig]), Table9[char])</f>
        <v>_</v>
      </c>
      <c r="AV56" t="str" cm="1">
        <f t="array" ref="AV56">_xlfn.XLOOKUP(TRUE, EXACT(Table2[[#This Row],[orig]], Table3[orig]), Table3[(Z)])</f>
        <v>l2</v>
      </c>
      <c r="AW56" s="6" t="str" cm="1">
        <f t="array" ref="AW56">_xlfn.XLOOKUP(TRUE, EXACT(Table2[[#This Row],[Z]], Table9[orig]), Table9[char])</f>
        <v>n</v>
      </c>
      <c r="AX56" t="str" cm="1">
        <f t="array" ref="AX56">_xlfn.XLOOKUP(TRUE, EXACT(AV56, Table3[orig]), Table3[(Z)])</f>
        <v>u2</v>
      </c>
      <c r="AY56" s="6" t="str" cm="1">
        <f t="array" ref="AY56">_xlfn.XLOOKUP(TRUE, EXACT(Table2[[#This Row],[Z2]], Table9[orig]), Table9[char])</f>
        <v>v</v>
      </c>
      <c r="AZ56" t="str" cm="1">
        <f t="array" ref="AZ56">_xlfn.XLOOKUP(TRUE, EXACT(AX56, Table3[orig]), Table3[(Z)])</f>
        <v>r2</v>
      </c>
      <c r="BA56" s="6" t="str" cm="1">
        <f t="array" ref="BA56">_xlfn.XLOOKUP(TRUE, EXACT(Table2[[#This Row],[Z'']], Table9[orig]), Table9[char])</f>
        <v>j</v>
      </c>
      <c r="BB56" t="str" cm="1">
        <f t="array" ref="BB56">_xlfn.XLOOKUP(TRUE, EXACT(Table2[[#This Row],[orig]], Table5[orig]), Table5[(T-reflection)])</f>
        <v>d2</v>
      </c>
      <c r="BC56" s="6" t="str" cm="1">
        <f t="array" ref="BC56">_xlfn.XLOOKUP(TRUE, EXACT(Table2[[#This Row],[T-reflection]], Table9[orig]), Table9[char])</f>
        <v>_</v>
      </c>
      <c r="BD56" t="str" cm="1">
        <f t="array" ref="BD56">_xlfn.XLOOKUP(TRUE, EXACT(Table2[[#This Row],[orig]], Table6[orig]), Table6[(H-reflection)])</f>
        <v>u2</v>
      </c>
      <c r="BE56" s="6" t="str" cm="1">
        <f t="array" ref="BE56">_xlfn.XLOOKUP(TRUE, EXACT(Table2[[#This Row],[H-reflection]], Table9[orig]), Table9[char])</f>
        <v>v</v>
      </c>
      <c r="BF56" t="str" cm="1">
        <f t="array" ref="BF56">_xlfn.XLOOKUP(TRUE, EXACT(Table2[[#This Row],[orig]], Table7[orig]), Table7[(S-reflection)])</f>
        <v>d2</v>
      </c>
      <c r="BG56" s="6" t="str" cm="1">
        <f t="array" ref="BG56">_xlfn.XLOOKUP(TRUE, EXACT(Table2[[#This Row],[S-reflection]], Table9[orig]), Table9[char])</f>
        <v>_</v>
      </c>
    </row>
    <row r="57" spans="1:118" x14ac:dyDescent="0.2">
      <c r="B57" s="7" t="s">
        <v>95</v>
      </c>
      <c r="C57" s="7" t="s">
        <v>26</v>
      </c>
      <c r="D57" s="1">
        <f>CODE(Table9[[#This Row],[char]])</f>
        <v>99</v>
      </c>
      <c r="E57" t="s">
        <v>95</v>
      </c>
      <c r="F57" t="str" cm="1">
        <f t="array" ref="F57">_xlfn.XLOOKUP(TRUE, EXACT(Table9[[#This Row],[inverse]], Table9[orig]), Table9[char])</f>
        <v>c</v>
      </c>
      <c r="G57">
        <f>CODE(Table9[[#This Row],[inv char]])</f>
        <v>99</v>
      </c>
      <c r="H57" t="s">
        <v>107</v>
      </c>
      <c r="I57" t="str" cm="1">
        <f t="array" ref="I57">_xlfn.XLOOKUP(TRUE, EXACT(Table9[[#This Row],[Complement]], Table9[orig]), Table9[char])</f>
        <v>v</v>
      </c>
      <c r="J57" t="s">
        <v>7</v>
      </c>
      <c r="K57" t="str">
        <f>Table9[[#This Row],[orig]] &amp; " "</f>
        <v xml:space="preserve">D2 </v>
      </c>
      <c r="N57" t="s">
        <v>95</v>
      </c>
      <c r="O57" t="s">
        <v>94</v>
      </c>
      <c r="Q57" t="s">
        <v>95</v>
      </c>
      <c r="R57" t="s">
        <v>95</v>
      </c>
      <c r="T57" t="s">
        <v>95</v>
      </c>
      <c r="U57" t="s">
        <v>23</v>
      </c>
      <c r="W57" t="s">
        <v>95</v>
      </c>
      <c r="X57" t="s">
        <v>95</v>
      </c>
      <c r="Z57" t="s">
        <v>95</v>
      </c>
      <c r="AA57" t="s">
        <v>110</v>
      </c>
      <c r="AC57" t="s">
        <v>95</v>
      </c>
      <c r="AD57" t="s">
        <v>95</v>
      </c>
      <c r="AH57" t="str">
        <f t="shared" si="1"/>
        <v>D2</v>
      </c>
      <c r="AI57" s="6" t="str" cm="1">
        <f t="array" ref="AI57">_xlfn.XLOOKUP(TRUE, EXACT(Table2[[#This Row],[orig]], Table9[orig]), Table9[char])</f>
        <v>c</v>
      </c>
      <c r="AJ57" t="str" cm="1">
        <f t="array" ref="AJ57">_xlfn.XLOOKUP(TRUE, EXACT(Table2[[#This Row],[orig]], Table4[orig]), Table4[(X)])</f>
        <v>F2</v>
      </c>
      <c r="AK57" s="6" t="str" cm="1">
        <f t="array" ref="AK57">_xlfn.XLOOKUP(TRUE, EXACT(Table2[[#This Row],[X]], Table9[orig]), Table9[char])</f>
        <v>$</v>
      </c>
      <c r="AL57" t="str" cm="1">
        <f t="array" ref="AL57">_xlfn.XLOOKUP(TRUE, EXACT(AJ57, Table4[orig]), Table4[(X)])</f>
        <v>U2</v>
      </c>
      <c r="AM57" s="6" t="str" cm="1">
        <f t="array" ref="AM57">_xlfn.XLOOKUP(TRUE, EXACT(Table2[[#This Row],[X2]], Table9[orig]), Table9[char])</f>
        <v>\</v>
      </c>
      <c r="AN57" t="str" cm="1">
        <f t="array" ref="AN57">_xlfn.XLOOKUP(TRUE, EXACT(AL57, Table4[orig]), Table4[(X)])</f>
        <v>B2</v>
      </c>
      <c r="AO57" s="6" t="str" cm="1">
        <f t="array" ref="AO57">_xlfn.XLOOKUP(TRUE, EXACT(Table2[[#This Row],[X'']], Table9[orig]), Table9[char])</f>
        <v>`</v>
      </c>
      <c r="AP57" t="str" cm="1">
        <f t="array" ref="AP57">_xlfn.XLOOKUP(TRUE, EXACT(AH57, Table1[orig]), Table1[(Y)])</f>
        <v>D2</v>
      </c>
      <c r="AQ57" s="6" t="str" cm="1">
        <f t="array" ref="AQ57">_xlfn.XLOOKUP(TRUE, EXACT(Table2[[#This Row],[Y]], Table9[orig]), Table9[char])</f>
        <v>c</v>
      </c>
      <c r="AR57" t="str" cm="1">
        <f t="array" ref="AR57">_xlfn.XLOOKUP(TRUE, EXACT(AP57, Table1[orig]), Table1[(Y)])</f>
        <v>D2</v>
      </c>
      <c r="AS57" s="6" t="str" cm="1">
        <f t="array" ref="AS57">_xlfn.XLOOKUP(TRUE, EXACT(Table2[[#This Row],[Y2]], Table9[orig]), Table9[char])</f>
        <v>c</v>
      </c>
      <c r="AT57" t="str" cm="1">
        <f t="array" ref="AT57">_xlfn.XLOOKUP(TRUE, EXACT(AR57, Table1[orig]), Table1[(Y)])</f>
        <v>D2</v>
      </c>
      <c r="AU57" s="6" t="str" cm="1">
        <f t="array" ref="AU57">_xlfn.XLOOKUP(TRUE, EXACT(Table2[[#This Row],[Y'']], Table9[orig]), Table9[char])</f>
        <v>c</v>
      </c>
      <c r="AV57" t="str" cm="1">
        <f t="array" ref="AV57">_xlfn.XLOOKUP(TRUE, EXACT(Table2[[#This Row],[orig]], Table3[orig]), Table3[(Z)])</f>
        <v>L2</v>
      </c>
      <c r="AW57" s="6" t="str" cm="1">
        <f t="array" ref="AW57">_xlfn.XLOOKUP(TRUE, EXACT(Table2[[#This Row],[Z]], Table9[orig]), Table9[char])</f>
        <v>N</v>
      </c>
      <c r="AX57" t="str" cm="1">
        <f t="array" ref="AX57">_xlfn.XLOOKUP(TRUE, EXACT(AV57, Table3[orig]), Table3[(Z)])</f>
        <v>U2</v>
      </c>
      <c r="AY57" s="6" t="str" cm="1">
        <f t="array" ref="AY57">_xlfn.XLOOKUP(TRUE, EXACT(Table2[[#This Row],[Z2]], Table9[orig]), Table9[char])</f>
        <v>\</v>
      </c>
      <c r="AZ57" t="str" cm="1">
        <f t="array" ref="AZ57">_xlfn.XLOOKUP(TRUE, EXACT(AX57, Table3[orig]), Table3[(Z)])</f>
        <v>R2</v>
      </c>
      <c r="BA57" s="6" t="str" cm="1">
        <f t="array" ref="BA57">_xlfn.XLOOKUP(TRUE, EXACT(Table2[[#This Row],[Z'']], Table9[orig]), Table9[char])</f>
        <v>J</v>
      </c>
      <c r="BB57" t="str" cm="1">
        <f t="array" ref="BB57">_xlfn.XLOOKUP(TRUE, EXACT(Table2[[#This Row],[orig]], Table5[orig]), Table5[(T-reflection)])</f>
        <v>D2</v>
      </c>
      <c r="BC57" s="6" t="str" cm="1">
        <f t="array" ref="BC57">_xlfn.XLOOKUP(TRUE, EXACT(Table2[[#This Row],[T-reflection]], Table9[orig]), Table9[char])</f>
        <v>c</v>
      </c>
      <c r="BD57" t="str" cm="1">
        <f t="array" ref="BD57">_xlfn.XLOOKUP(TRUE, EXACT(Table2[[#This Row],[orig]], Table6[orig]), Table6[(H-reflection)])</f>
        <v>U2</v>
      </c>
      <c r="BE57" s="6" t="str" cm="1">
        <f t="array" ref="BE57">_xlfn.XLOOKUP(TRUE, EXACT(Table2[[#This Row],[H-reflection]], Table9[orig]), Table9[char])</f>
        <v>\</v>
      </c>
      <c r="BF57" t="str" cm="1">
        <f t="array" ref="BF57">_xlfn.XLOOKUP(TRUE, EXACT(Table2[[#This Row],[orig]], Table7[orig]), Table7[(S-reflection)])</f>
        <v>D2</v>
      </c>
      <c r="BG57" s="6" t="str" cm="1">
        <f t="array" ref="BG57">_xlfn.XLOOKUP(TRUE, EXACT(Table2[[#This Row],[S-reflection]], Table9[orig]), Table9[char])</f>
        <v>c</v>
      </c>
    </row>
    <row r="58" spans="1:118" s="3" customFormat="1" x14ac:dyDescent="0.2">
      <c r="A58"/>
      <c r="B58" s="3" t="s">
        <v>7</v>
      </c>
      <c r="C58" s="3" t="s">
        <v>140</v>
      </c>
      <c r="D58" s="11">
        <f>CODE(Table9[[#This Row],[char]])</f>
        <v>73</v>
      </c>
      <c r="E58" s="3" t="s">
        <v>7</v>
      </c>
      <c r="F58" s="3" t="str" cm="1">
        <f t="array" ref="F58">_xlfn.XLOOKUP(TRUE, EXACT(Table9[[#This Row],[inverse]], Table9[orig]), Table9[char])</f>
        <v>I</v>
      </c>
      <c r="G58" s="3">
        <f>CODE(Table9[[#This Row],[inv char]])</f>
        <v>73</v>
      </c>
      <c r="H58" s="3">
        <v>0</v>
      </c>
      <c r="I58" s="3">
        <v>0</v>
      </c>
      <c r="J58" s="3" t="s">
        <v>7</v>
      </c>
      <c r="K58" t="str">
        <f>Table9[[#This Row],[orig]] &amp; " "</f>
        <v xml:space="preserve">Y2 </v>
      </c>
      <c r="L58"/>
      <c r="N58" s="3" t="s">
        <v>7</v>
      </c>
      <c r="O58" s="3" t="s">
        <v>10</v>
      </c>
      <c r="P58"/>
      <c r="Q58" s="3" t="s">
        <v>7</v>
      </c>
      <c r="R58" s="3" t="s">
        <v>7</v>
      </c>
      <c r="S58"/>
      <c r="T58" s="3" t="s">
        <v>7</v>
      </c>
      <c r="U58" s="3" t="s">
        <v>4</v>
      </c>
      <c r="V58"/>
      <c r="W58" s="3" t="s">
        <v>7</v>
      </c>
      <c r="X58" s="3" t="s">
        <v>7</v>
      </c>
      <c r="Y58"/>
      <c r="Z58" s="3" t="s">
        <v>7</v>
      </c>
      <c r="AA58" s="3" t="s">
        <v>7</v>
      </c>
      <c r="AB58"/>
      <c r="AC58" s="3" t="s">
        <v>7</v>
      </c>
      <c r="AD58" s="3" t="s">
        <v>7</v>
      </c>
      <c r="AE58"/>
      <c r="AF58"/>
      <c r="AG58"/>
      <c r="AH58" s="3" t="str">
        <f t="shared" si="1"/>
        <v>Y2</v>
      </c>
      <c r="AI58" s="9" t="str" cm="1">
        <f t="array" ref="AI58">_xlfn.XLOOKUP(TRUE, EXACT(Table2[[#This Row],[orig]], Table9[orig]), Table9[char])</f>
        <v>I</v>
      </c>
      <c r="AJ58" s="3" t="str" cm="1">
        <f t="array" ref="AJ58">_xlfn.XLOOKUP(TRUE, EXACT(Table2[[#This Row],[orig]], Table4[orig]), Table4[(X)])</f>
        <v>Z2</v>
      </c>
      <c r="AK58" s="9" t="str" cm="1">
        <f t="array" ref="AK58">_xlfn.XLOOKUP(TRUE, EXACT(Table2[[#This Row],[X]], Table9[orig]), Table9[char])</f>
        <v>=</v>
      </c>
      <c r="AL58" s="3" t="str" cm="1">
        <f t="array" ref="AL58">_xlfn.XLOOKUP(TRUE, EXACT(AJ58, Table4[orig]), Table4[(X)])</f>
        <v>Y2</v>
      </c>
      <c r="AM58" s="9" t="str" cm="1">
        <f t="array" ref="AM58">_xlfn.XLOOKUP(TRUE, EXACT(Table2[[#This Row],[X2]], Table9[orig]), Table9[char])</f>
        <v>I</v>
      </c>
      <c r="AN58" s="3" t="str" cm="1">
        <f t="array" ref="AN58">_xlfn.XLOOKUP(TRUE, EXACT(AL58, Table4[orig]), Table4[(X)])</f>
        <v>Z2</v>
      </c>
      <c r="AO58" s="9" t="str" cm="1">
        <f t="array" ref="AO58">_xlfn.XLOOKUP(TRUE, EXACT(Table2[[#This Row],[X'']], Table9[orig]), Table9[char])</f>
        <v>=</v>
      </c>
      <c r="AP58" s="3" t="str" cm="1">
        <f t="array" ref="AP58">_xlfn.XLOOKUP(TRUE, EXACT(AH58, Table1[orig]), Table1[(Y)])</f>
        <v>Y2</v>
      </c>
      <c r="AQ58" s="9" t="str" cm="1">
        <f t="array" ref="AQ58">_xlfn.XLOOKUP(TRUE, EXACT(Table2[[#This Row],[Y]], Table9[orig]), Table9[char])</f>
        <v>I</v>
      </c>
      <c r="AR58" s="3" t="str" cm="1">
        <f t="array" ref="AR58">_xlfn.XLOOKUP(TRUE, EXACT(AP58, Table1[orig]), Table1[(Y)])</f>
        <v>Y2</v>
      </c>
      <c r="AS58" s="9" t="str" cm="1">
        <f t="array" ref="AS58">_xlfn.XLOOKUP(TRUE, EXACT(Table2[[#This Row],[Y2]], Table9[orig]), Table9[char])</f>
        <v>I</v>
      </c>
      <c r="AT58" s="3" t="str" cm="1">
        <f t="array" ref="AT58">_xlfn.XLOOKUP(TRUE, EXACT(AR58, Table1[orig]), Table1[(Y)])</f>
        <v>Y2</v>
      </c>
      <c r="AU58" s="9" t="str" cm="1">
        <f t="array" ref="AU58">_xlfn.XLOOKUP(TRUE, EXACT(Table2[[#This Row],[Y'']], Table9[orig]), Table9[char])</f>
        <v>I</v>
      </c>
      <c r="AV58" s="3" t="str" cm="1">
        <f t="array" ref="AV58">_xlfn.XLOOKUP(TRUE, EXACT(Table2[[#This Row],[orig]], Table3[orig]), Table3[(Z)])</f>
        <v>X2</v>
      </c>
      <c r="AW58" s="9" t="str" cm="1">
        <f t="array" ref="AW58">_xlfn.XLOOKUP(TRUE, EXACT(Table2[[#This Row],[Z]], Table9[orig]), Table9[char])</f>
        <v>P</v>
      </c>
      <c r="AX58" s="3" t="str" cm="1">
        <f t="array" ref="AX58">_xlfn.XLOOKUP(TRUE, EXACT(AV58, Table3[orig]), Table3[(Z)])</f>
        <v>Y2</v>
      </c>
      <c r="AY58" s="9" t="str" cm="1">
        <f t="array" ref="AY58">_xlfn.XLOOKUP(TRUE, EXACT(Table2[[#This Row],[Z2]], Table9[orig]), Table9[char])</f>
        <v>I</v>
      </c>
      <c r="AZ58" s="3" t="str" cm="1">
        <f t="array" ref="AZ58">_xlfn.XLOOKUP(TRUE, EXACT(AX58, Table3[orig]), Table3[(Z)])</f>
        <v>X2</v>
      </c>
      <c r="BA58" s="9" t="str" cm="1">
        <f t="array" ref="BA58">_xlfn.XLOOKUP(TRUE, EXACT(Table2[[#This Row],[Z'']], Table9[orig]), Table9[char])</f>
        <v>P</v>
      </c>
      <c r="BB58" s="3" t="str" cm="1">
        <f t="array" ref="BB58">_xlfn.XLOOKUP(TRUE, EXACT(Table2[[#This Row],[orig]], Table5[orig]), Table5[(T-reflection)])</f>
        <v>Y2</v>
      </c>
      <c r="BC58" s="9" t="str" cm="1">
        <f t="array" ref="BC58">_xlfn.XLOOKUP(TRUE, EXACT(Table2[[#This Row],[T-reflection]], Table9[orig]), Table9[char])</f>
        <v>I</v>
      </c>
      <c r="BD58" s="3" t="str" cm="1">
        <f t="array" ref="BD58">_xlfn.XLOOKUP(TRUE, EXACT(Table2[[#This Row],[orig]], Table6[orig]), Table6[(H-reflection)])</f>
        <v>Y2</v>
      </c>
      <c r="BE58" s="9" t="str" cm="1">
        <f t="array" ref="BE58">_xlfn.XLOOKUP(TRUE, EXACT(Table2[[#This Row],[H-reflection]], Table9[orig]), Table9[char])</f>
        <v>I</v>
      </c>
      <c r="BF58" s="3" t="str" cm="1">
        <f t="array" ref="BF58">_xlfn.XLOOKUP(TRUE, EXACT(Table2[[#This Row],[orig]], Table7[orig]), Table7[(S-reflection)])</f>
        <v>Y2</v>
      </c>
      <c r="BG58" s="6" t="str" cm="1">
        <f t="array" ref="BG58">_xlfn.XLOOKUP(TRUE, EXACT(Table2[[#This Row],[S-reflection]], Table9[orig]), Table9[char])</f>
        <v>I</v>
      </c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</row>
    <row r="65" spans="63:63" x14ac:dyDescent="0.2">
      <c r="BK65" s="5"/>
    </row>
  </sheetData>
  <phoneticPr fontId="4" alignment="center"/>
  <conditionalFormatting sqref="BK65">
    <cfRule type="expression" dxfId="3" priority="1">
      <formula>MATCH(BK65,$Y$30:$Y$45,0)&gt;0</formula>
    </cfRule>
    <cfRule type="expression" dxfId="2" priority="2">
      <formula>MATCH(BK65,$AE$30:$AE$45,0)&gt;0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9DEF-6420-EF45-A3E8-F8171443374E}">
  <sheetPr>
    <tabColor theme="8"/>
  </sheetPr>
  <dimension ref="B3:AC124"/>
  <sheetViews>
    <sheetView tabSelected="1" workbookViewId="0">
      <selection activeCell="J16" sqref="J16"/>
    </sheetView>
  </sheetViews>
  <sheetFormatPr baseColWidth="10" defaultColWidth="10.33203125" defaultRowHeight="15" x14ac:dyDescent="0.2"/>
  <cols>
    <col min="2" max="3" width="6.6640625" customWidth="1"/>
    <col min="4" max="4" width="5.1640625" customWidth="1"/>
    <col min="5" max="5" width="7.33203125" customWidth="1"/>
    <col min="6" max="6" width="6.6640625" customWidth="1"/>
    <col min="7" max="7" width="8.5" customWidth="1"/>
    <col min="8" max="8" width="5.1640625" customWidth="1"/>
    <col min="9" max="9" width="4.83203125" customWidth="1"/>
    <col min="10" max="10" width="8" customWidth="1"/>
    <col min="12" max="12" width="8.83203125" customWidth="1"/>
    <col min="13" max="13" width="9.33203125" customWidth="1"/>
    <col min="15" max="15" width="8.83203125" customWidth="1"/>
    <col min="16" max="16" width="13.6640625" customWidth="1"/>
    <col min="17" max="17" width="11.33203125" customWidth="1"/>
    <col min="20" max="20" width="13.6640625" customWidth="1"/>
    <col min="22" max="22" width="15" customWidth="1"/>
    <col min="23" max="23" width="12.6640625" bestFit="1" customWidth="1"/>
    <col min="25" max="25" width="8" customWidth="1"/>
    <col min="26" max="26" width="7.6640625" customWidth="1"/>
    <col min="27" max="27" width="7.83203125" customWidth="1"/>
    <col min="28" max="28" width="15" customWidth="1"/>
    <col min="29" max="29" width="20.5" customWidth="1"/>
    <col min="30" max="30" width="11.6640625" customWidth="1"/>
    <col min="31" max="31" width="11.83203125" customWidth="1"/>
    <col min="36" max="36" width="14.83203125" customWidth="1"/>
    <col min="37" max="37" width="18.1640625" customWidth="1"/>
  </cols>
  <sheetData>
    <row r="3" spans="2:29" x14ac:dyDescent="0.2">
      <c r="B3" t="s">
        <v>147</v>
      </c>
      <c r="E3" t="s">
        <v>148</v>
      </c>
      <c r="F3" t="s">
        <v>149</v>
      </c>
      <c r="H3" t="s">
        <v>1</v>
      </c>
      <c r="L3" t="s">
        <v>150</v>
      </c>
      <c r="S3" t="s">
        <v>151</v>
      </c>
      <c r="Y3" t="s">
        <v>152</v>
      </c>
    </row>
    <row r="4" spans="2:29" ht="16" x14ac:dyDescent="0.2">
      <c r="B4" s="2" t="s">
        <v>153</v>
      </c>
      <c r="C4" s="2" t="s">
        <v>154</v>
      </c>
      <c r="D4" s="2" t="s">
        <v>155</v>
      </c>
      <c r="E4" s="2"/>
      <c r="F4" s="2" t="s">
        <v>156</v>
      </c>
      <c r="G4" s="2" t="s">
        <v>35</v>
      </c>
      <c r="H4" s="2" t="s">
        <v>157</v>
      </c>
      <c r="I4" s="2" t="s">
        <v>158</v>
      </c>
      <c r="J4" s="2"/>
      <c r="L4" t="s">
        <v>159</v>
      </c>
      <c r="M4" t="s">
        <v>160</v>
      </c>
      <c r="N4" t="s">
        <v>28</v>
      </c>
      <c r="O4" t="s">
        <v>161</v>
      </c>
      <c r="P4" t="s">
        <v>162</v>
      </c>
      <c r="Q4" t="s">
        <v>163</v>
      </c>
      <c r="S4" s="4" t="s">
        <v>164</v>
      </c>
      <c r="T4" s="4" t="s">
        <v>165</v>
      </c>
      <c r="U4" t="s">
        <v>166</v>
      </c>
      <c r="V4" s="4" t="s">
        <v>167</v>
      </c>
      <c r="W4" t="s">
        <v>168</v>
      </c>
      <c r="Y4" t="s">
        <v>2</v>
      </c>
      <c r="Z4" t="s">
        <v>5</v>
      </c>
      <c r="AA4" t="s">
        <v>8</v>
      </c>
      <c r="AB4" t="s">
        <v>169</v>
      </c>
      <c r="AC4" t="s">
        <v>170</v>
      </c>
    </row>
    <row r="5" spans="2:29" ht="16" x14ac:dyDescent="0.2">
      <c r="B5" t="s">
        <v>2</v>
      </c>
      <c r="C5" t="s">
        <v>20</v>
      </c>
      <c r="D5" t="s">
        <v>21</v>
      </c>
      <c r="F5" t="s">
        <v>18</v>
      </c>
      <c r="G5" t="str" cm="1">
        <f t="array" ref="G5">_xlfn.XLOOKUP(TRUE, EXACT(Table12[[#This Row],[Face Turn Sought]], Table9[orig]), Table9[char])</f>
        <v>R</v>
      </c>
      <c r="H5" t="s">
        <v>3</v>
      </c>
      <c r="I5">
        <v>2</v>
      </c>
      <c r="L5" t="s">
        <v>11</v>
      </c>
      <c r="M5" s="4" t="s">
        <v>11</v>
      </c>
      <c r="N5" t="s">
        <v>171</v>
      </c>
      <c r="O5" s="4" t="s">
        <v>141</v>
      </c>
      <c r="P5" t="s">
        <v>172</v>
      </c>
      <c r="Q5" t="s">
        <v>173</v>
      </c>
      <c r="S5" s="12" t="s">
        <v>11</v>
      </c>
      <c r="T5" s="13" t="s">
        <v>171</v>
      </c>
      <c r="U5" s="18" t="s">
        <v>141</v>
      </c>
      <c r="V5" s="13" t="s">
        <v>172</v>
      </c>
      <c r="W5" s="14" t="s">
        <v>173</v>
      </c>
      <c r="Y5" t="s">
        <v>174</v>
      </c>
      <c r="Z5" t="s">
        <v>174</v>
      </c>
      <c r="AA5" t="s">
        <v>174</v>
      </c>
      <c r="AB5">
        <v>0</v>
      </c>
      <c r="AC5">
        <f>MOD(4-Table14[[#This Row],[RotationNum]],4)</f>
        <v>0</v>
      </c>
    </row>
    <row r="6" spans="2:29" ht="16" x14ac:dyDescent="0.2">
      <c r="F6" t="s">
        <v>67</v>
      </c>
      <c r="G6" t="str" cm="1">
        <f t="array" ref="G6">_xlfn.XLOOKUP(TRUE, EXACT(Table12[[#This Row],[Face Turn Sought]], Table9[orig]), Table9[char])</f>
        <v>r</v>
      </c>
      <c r="H6" t="s">
        <v>3</v>
      </c>
      <c r="L6" t="s">
        <v>175</v>
      </c>
      <c r="M6" s="4" t="s">
        <v>11</v>
      </c>
      <c r="N6" t="s">
        <v>171</v>
      </c>
      <c r="O6" s="4" t="s">
        <v>141</v>
      </c>
      <c r="P6" t="s">
        <v>172</v>
      </c>
      <c r="Q6" t="s">
        <v>173</v>
      </c>
      <c r="S6" s="12" t="s">
        <v>12</v>
      </c>
      <c r="T6" s="13" t="s">
        <v>176</v>
      </c>
      <c r="U6" s="18" t="s">
        <v>143</v>
      </c>
      <c r="V6" s="18" t="s">
        <v>177</v>
      </c>
      <c r="W6" s="14" t="s">
        <v>173</v>
      </c>
      <c r="X6" s="4"/>
      <c r="Y6" t="s">
        <v>2</v>
      </c>
      <c r="Z6" t="s">
        <v>5</v>
      </c>
      <c r="AA6" t="s">
        <v>8</v>
      </c>
      <c r="AB6">
        <v>1</v>
      </c>
      <c r="AC6">
        <f>MOD(4-Table14[[#This Row],[RotationNum]],4)</f>
        <v>3</v>
      </c>
    </row>
    <row r="7" spans="2:29" ht="16" x14ac:dyDescent="0.2">
      <c r="L7" t="s">
        <v>178</v>
      </c>
      <c r="M7" s="4" t="s">
        <v>11</v>
      </c>
      <c r="N7" t="s">
        <v>171</v>
      </c>
      <c r="O7" s="4" t="s">
        <v>141</v>
      </c>
      <c r="P7" t="s">
        <v>172</v>
      </c>
      <c r="Q7" t="s">
        <v>173</v>
      </c>
      <c r="S7" s="12" t="s">
        <v>13</v>
      </c>
      <c r="T7" s="13" t="s">
        <v>179</v>
      </c>
      <c r="U7" s="13" t="s">
        <v>142</v>
      </c>
      <c r="V7" s="18" t="s">
        <v>180</v>
      </c>
      <c r="W7" s="14" t="s">
        <v>181</v>
      </c>
      <c r="Y7" t="s">
        <v>18</v>
      </c>
      <c r="AB7">
        <v>1</v>
      </c>
      <c r="AC7">
        <f>MOD(4-Table14[[#This Row],[RotationNum]],4)</f>
        <v>3</v>
      </c>
    </row>
    <row r="8" spans="2:29" ht="16" x14ac:dyDescent="0.2">
      <c r="F8" t="s">
        <v>65</v>
      </c>
      <c r="G8" t="str" cm="1">
        <f t="array" ref="G8">_xlfn.XLOOKUP(TRUE, EXACT(Table12[[#This Row],[Face Turn Sought]], Table9[orig]), Table9[char])</f>
        <v>l</v>
      </c>
      <c r="H8" t="s">
        <v>2</v>
      </c>
      <c r="L8" t="s">
        <v>182</v>
      </c>
      <c r="M8" s="4" t="s">
        <v>11</v>
      </c>
      <c r="N8" t="s">
        <v>171</v>
      </c>
      <c r="O8" s="4" t="s">
        <v>141</v>
      </c>
      <c r="P8" t="s">
        <v>172</v>
      </c>
      <c r="Q8" t="s">
        <v>173</v>
      </c>
      <c r="S8" s="12" t="s">
        <v>14</v>
      </c>
      <c r="T8" s="13" t="s">
        <v>183</v>
      </c>
      <c r="U8" s="18" t="s">
        <v>145</v>
      </c>
      <c r="V8" s="18" t="s">
        <v>184</v>
      </c>
      <c r="W8" s="14" t="s">
        <v>181</v>
      </c>
      <c r="Y8" t="s">
        <v>67</v>
      </c>
      <c r="AB8">
        <v>1</v>
      </c>
      <c r="AC8">
        <f>MOD(4-Table14[[#This Row],[RotationNum]],4)</f>
        <v>3</v>
      </c>
    </row>
    <row r="9" spans="2:29" ht="16" x14ac:dyDescent="0.2">
      <c r="F9" t="s">
        <v>21</v>
      </c>
      <c r="G9" t="str" cm="1">
        <f t="array" ref="G9">_xlfn.XLOOKUP(TRUE, EXACT(Table12[[#This Row],[Face Turn Sought]], Table9[orig]), Table9[char])</f>
        <v>L</v>
      </c>
      <c r="H9" t="s">
        <v>2</v>
      </c>
      <c r="I9">
        <v>1</v>
      </c>
      <c r="L9" t="s">
        <v>185</v>
      </c>
      <c r="M9" s="4" t="s">
        <v>11</v>
      </c>
      <c r="N9" t="s">
        <v>171</v>
      </c>
      <c r="O9" s="4" t="s">
        <v>141</v>
      </c>
      <c r="P9" t="s">
        <v>172</v>
      </c>
      <c r="Q9" t="s">
        <v>173</v>
      </c>
      <c r="S9" s="12" t="s">
        <v>15</v>
      </c>
      <c r="T9" s="13" t="s">
        <v>186</v>
      </c>
      <c r="U9" s="13" t="s">
        <v>146</v>
      </c>
      <c r="V9" s="18" t="s">
        <v>187</v>
      </c>
      <c r="W9" s="14" t="s">
        <v>188</v>
      </c>
      <c r="Y9" t="s">
        <v>71</v>
      </c>
      <c r="AB9">
        <v>1</v>
      </c>
      <c r="AC9">
        <f>MOD(4-Table14[[#This Row],[RotationNum]],4)</f>
        <v>3</v>
      </c>
    </row>
    <row r="10" spans="2:29" ht="16" x14ac:dyDescent="0.2">
      <c r="B10" s="3"/>
      <c r="C10" s="3"/>
      <c r="D10" s="3"/>
      <c r="F10" s="3"/>
      <c r="G10" s="3"/>
      <c r="H10" s="3"/>
      <c r="I10" s="3"/>
      <c r="L10" t="s">
        <v>189</v>
      </c>
      <c r="M10" s="4" t="s">
        <v>11</v>
      </c>
      <c r="N10" t="s">
        <v>171</v>
      </c>
      <c r="O10" s="4" t="s">
        <v>141</v>
      </c>
      <c r="P10" t="s">
        <v>172</v>
      </c>
      <c r="Q10" t="s">
        <v>173</v>
      </c>
      <c r="S10" s="15" t="s">
        <v>16</v>
      </c>
      <c r="T10" s="16" t="s">
        <v>190</v>
      </c>
      <c r="U10" s="16" t="s">
        <v>144</v>
      </c>
      <c r="V10" s="16" t="s">
        <v>191</v>
      </c>
      <c r="W10" s="17" t="s">
        <v>188</v>
      </c>
      <c r="Y10" t="s">
        <v>192</v>
      </c>
      <c r="AB10">
        <v>1</v>
      </c>
      <c r="AC10">
        <f>MOD(4-Table14[[#This Row],[RotationNum]],4)</f>
        <v>3</v>
      </c>
    </row>
    <row r="11" spans="2:29" ht="16" x14ac:dyDescent="0.2">
      <c r="B11" t="s">
        <v>3</v>
      </c>
      <c r="C11" t="s">
        <v>18</v>
      </c>
      <c r="D11" t="s">
        <v>19</v>
      </c>
      <c r="F11" t="s">
        <v>20</v>
      </c>
      <c r="G11" t="str" cm="1">
        <f t="array" ref="G11">_xlfn.XLOOKUP(TRUE, EXACT(Table12[[#This Row],[Face Turn Sought]], Table9[orig]), Table9[char])</f>
        <v>A</v>
      </c>
      <c r="H11" t="s">
        <v>2</v>
      </c>
      <c r="I11">
        <v>1</v>
      </c>
      <c r="L11" t="s">
        <v>193</v>
      </c>
      <c r="M11" s="4" t="s">
        <v>11</v>
      </c>
      <c r="N11" t="s">
        <v>171</v>
      </c>
      <c r="O11" s="4" t="s">
        <v>141</v>
      </c>
      <c r="P11" t="s">
        <v>172</v>
      </c>
      <c r="Q11" t="s">
        <v>173</v>
      </c>
      <c r="Y11" t="s">
        <v>70</v>
      </c>
      <c r="AB11">
        <v>1</v>
      </c>
      <c r="AC11">
        <f>MOD(4-Table14[[#This Row],[RotationNum]],4)</f>
        <v>3</v>
      </c>
    </row>
    <row r="12" spans="2:29" ht="16" x14ac:dyDescent="0.2">
      <c r="F12" t="s">
        <v>68</v>
      </c>
      <c r="G12" t="str" cm="1">
        <f t="array" ref="G12">_xlfn.XLOOKUP(TRUE, EXACT(Table12[[#This Row],[Face Turn Sought]], Table9[orig]), Table9[char])</f>
        <v>a</v>
      </c>
      <c r="H12" t="s">
        <v>2</v>
      </c>
      <c r="L12" t="s">
        <v>194</v>
      </c>
      <c r="M12" s="4" t="s">
        <v>11</v>
      </c>
      <c r="N12" t="s">
        <v>171</v>
      </c>
      <c r="O12" s="4" t="s">
        <v>141</v>
      </c>
      <c r="P12" t="s">
        <v>172</v>
      </c>
      <c r="Q12" t="s">
        <v>173</v>
      </c>
      <c r="Y12" t="s">
        <v>19</v>
      </c>
      <c r="AB12">
        <v>1</v>
      </c>
      <c r="AC12">
        <f>MOD(4-Table14[[#This Row],[RotationNum]],4)</f>
        <v>3</v>
      </c>
    </row>
    <row r="13" spans="2:29" ht="16" x14ac:dyDescent="0.2">
      <c r="L13" t="s">
        <v>195</v>
      </c>
      <c r="M13" s="4" t="s">
        <v>11</v>
      </c>
      <c r="N13" t="s">
        <v>171</v>
      </c>
      <c r="O13" s="4" t="s">
        <v>141</v>
      </c>
      <c r="P13" t="s">
        <v>172</v>
      </c>
      <c r="Q13" t="s">
        <v>173</v>
      </c>
      <c r="Y13" t="s">
        <v>4</v>
      </c>
      <c r="Z13" t="s">
        <v>7</v>
      </c>
      <c r="AA13" t="s">
        <v>10</v>
      </c>
      <c r="AB13">
        <v>2</v>
      </c>
      <c r="AC13">
        <f>MOD(4-Table14[[#This Row],[RotationNum]],4)</f>
        <v>2</v>
      </c>
    </row>
    <row r="14" spans="2:29" ht="16" x14ac:dyDescent="0.2">
      <c r="F14" t="s">
        <v>70</v>
      </c>
      <c r="G14" t="str" cm="1">
        <f t="array" ref="G14">_xlfn.XLOOKUP(TRUE, EXACT(Table12[[#This Row],[Face Turn Sought]], Table9[orig]), Table9[char])</f>
        <v>g</v>
      </c>
      <c r="H14" t="s">
        <v>3</v>
      </c>
      <c r="L14" t="s">
        <v>196</v>
      </c>
      <c r="M14" s="4" t="s">
        <v>11</v>
      </c>
      <c r="N14" t="s">
        <v>171</v>
      </c>
      <c r="O14" s="4" t="s">
        <v>141</v>
      </c>
      <c r="P14" t="s">
        <v>172</v>
      </c>
      <c r="Q14" t="s">
        <v>173</v>
      </c>
      <c r="Y14" t="s">
        <v>22</v>
      </c>
      <c r="AB14">
        <v>2</v>
      </c>
      <c r="AC14">
        <f>MOD(4-Table14[[#This Row],[RotationNum]],4)</f>
        <v>2</v>
      </c>
    </row>
    <row r="15" spans="2:29" ht="16" x14ac:dyDescent="0.2">
      <c r="F15" t="s">
        <v>19</v>
      </c>
      <c r="G15" t="str" cm="1">
        <f t="array" ref="G15">_xlfn.XLOOKUP(TRUE, EXACT(Table12[[#This Row],[Face Turn Sought]], Table9[orig]), Table9[char])</f>
        <v>G</v>
      </c>
      <c r="H15" t="s">
        <v>3</v>
      </c>
      <c r="I15">
        <v>2</v>
      </c>
      <c r="L15" t="s">
        <v>197</v>
      </c>
      <c r="M15" s="4" t="s">
        <v>11</v>
      </c>
      <c r="N15" t="s">
        <v>171</v>
      </c>
      <c r="O15" s="4" t="s">
        <v>141</v>
      </c>
      <c r="P15" t="s">
        <v>172</v>
      </c>
      <c r="Q15" t="s">
        <v>173</v>
      </c>
      <c r="Y15" t="s">
        <v>96</v>
      </c>
      <c r="AB15">
        <v>2</v>
      </c>
      <c r="AC15">
        <f>MOD(4-Table14[[#This Row],[RotationNum]],4)</f>
        <v>2</v>
      </c>
    </row>
    <row r="16" spans="2:29" ht="16" x14ac:dyDescent="0.2">
      <c r="B16" s="3"/>
      <c r="C16" s="3"/>
      <c r="D16" s="3"/>
      <c r="F16" s="3"/>
      <c r="G16" s="3"/>
      <c r="H16" s="3"/>
      <c r="I16" s="3"/>
      <c r="L16" t="s">
        <v>198</v>
      </c>
      <c r="M16" s="4" t="s">
        <v>11</v>
      </c>
      <c r="N16" t="s">
        <v>171</v>
      </c>
      <c r="O16" s="4" t="s">
        <v>141</v>
      </c>
      <c r="P16" t="s">
        <v>172</v>
      </c>
      <c r="Q16" t="s">
        <v>173</v>
      </c>
      <c r="Y16" t="s">
        <v>100</v>
      </c>
      <c r="AB16">
        <v>2</v>
      </c>
      <c r="AC16">
        <f>MOD(4-Table14[[#This Row],[RotationNum]],4)</f>
        <v>2</v>
      </c>
    </row>
    <row r="17" spans="2:29" ht="16" x14ac:dyDescent="0.2">
      <c r="B17" t="s">
        <v>4</v>
      </c>
      <c r="C17" t="s">
        <v>22</v>
      </c>
      <c r="D17" t="s">
        <v>23</v>
      </c>
      <c r="F17" t="s">
        <v>22</v>
      </c>
      <c r="G17" t="str" cm="1">
        <f t="array" ref="G17">_xlfn.XLOOKUP(TRUE, EXACT(Table12[[#This Row],[Face Turn Sought]], Table9[orig]), Table9[char])</f>
        <v>J</v>
      </c>
      <c r="H17" t="s">
        <v>4</v>
      </c>
      <c r="I17">
        <v>3</v>
      </c>
      <c r="L17" t="s">
        <v>199</v>
      </c>
      <c r="M17" s="4" t="s">
        <v>11</v>
      </c>
      <c r="N17" t="s">
        <v>171</v>
      </c>
      <c r="O17" s="4" t="s">
        <v>141</v>
      </c>
      <c r="P17" t="s">
        <v>172</v>
      </c>
      <c r="Q17" t="s">
        <v>173</v>
      </c>
      <c r="Y17" t="s">
        <v>200</v>
      </c>
      <c r="AB17">
        <v>2</v>
      </c>
      <c r="AC17">
        <f>MOD(4-Table14[[#This Row],[RotationNum]],4)</f>
        <v>2</v>
      </c>
    </row>
    <row r="18" spans="2:29" ht="16" x14ac:dyDescent="0.2">
      <c r="F18" t="s">
        <v>96</v>
      </c>
      <c r="G18" t="str" cm="1">
        <f t="array" ref="G18">_xlfn.XLOOKUP(TRUE, EXACT(Table12[[#This Row],[Face Turn Sought]], Table9[orig]), Table9[char])</f>
        <v>j</v>
      </c>
      <c r="H18" t="s">
        <v>4</v>
      </c>
      <c r="L18" t="s">
        <v>201</v>
      </c>
      <c r="M18" s="4" t="s">
        <v>11</v>
      </c>
      <c r="N18" t="s">
        <v>171</v>
      </c>
      <c r="O18" s="4" t="s">
        <v>141</v>
      </c>
      <c r="P18" t="s">
        <v>172</v>
      </c>
      <c r="Q18" t="s">
        <v>173</v>
      </c>
      <c r="Y18" t="s">
        <v>93</v>
      </c>
      <c r="AB18">
        <v>2</v>
      </c>
      <c r="AC18">
        <f>MOD(4-Table14[[#This Row],[RotationNum]],4)</f>
        <v>2</v>
      </c>
    </row>
    <row r="19" spans="2:29" ht="16" x14ac:dyDescent="0.2">
      <c r="L19" t="s">
        <v>202</v>
      </c>
      <c r="M19" s="4" t="s">
        <v>11</v>
      </c>
      <c r="N19" t="s">
        <v>171</v>
      </c>
      <c r="O19" s="4" t="s">
        <v>141</v>
      </c>
      <c r="P19" t="s">
        <v>172</v>
      </c>
      <c r="Q19" t="s">
        <v>173</v>
      </c>
      <c r="Y19" t="s">
        <v>23</v>
      </c>
      <c r="AB19">
        <v>2</v>
      </c>
      <c r="AC19">
        <f>MOD(4-Table14[[#This Row],[RotationNum]],4)</f>
        <v>2</v>
      </c>
    </row>
    <row r="20" spans="2:29" ht="16" x14ac:dyDescent="0.2">
      <c r="F20" t="s">
        <v>93</v>
      </c>
      <c r="G20" t="str" cm="1">
        <f t="array" ref="G20">_xlfn.XLOOKUP(TRUE, EXACT(Table12[[#This Row],[Face Turn Sought]], Table9[orig]), Table9[char])</f>
        <v>n</v>
      </c>
      <c r="H20" t="s">
        <v>4</v>
      </c>
      <c r="L20" t="s">
        <v>203</v>
      </c>
      <c r="M20" s="4" t="s">
        <v>11</v>
      </c>
      <c r="N20" t="s">
        <v>171</v>
      </c>
      <c r="O20" s="4" t="s">
        <v>141</v>
      </c>
      <c r="P20" t="s">
        <v>172</v>
      </c>
      <c r="Q20" t="s">
        <v>173</v>
      </c>
      <c r="Y20" t="s">
        <v>3</v>
      </c>
      <c r="Z20" t="s">
        <v>6</v>
      </c>
      <c r="AA20" t="s">
        <v>9</v>
      </c>
      <c r="AB20">
        <v>3</v>
      </c>
      <c r="AC20">
        <f>MOD(4-Table14[[#This Row],[RotationNum]],4)</f>
        <v>1</v>
      </c>
    </row>
    <row r="21" spans="2:29" ht="16" x14ac:dyDescent="0.2">
      <c r="F21" t="s">
        <v>23</v>
      </c>
      <c r="G21" t="str" cm="1">
        <f t="array" ref="G21">_xlfn.XLOOKUP(TRUE, EXACT(Table12[[#This Row],[Face Turn Sought]], Table9[orig]), Table9[char])</f>
        <v>N</v>
      </c>
      <c r="H21" t="s">
        <v>4</v>
      </c>
      <c r="I21">
        <v>3</v>
      </c>
      <c r="L21" t="s">
        <v>204</v>
      </c>
      <c r="M21" s="4" t="s">
        <v>11</v>
      </c>
      <c r="N21" t="s">
        <v>171</v>
      </c>
      <c r="O21" s="4" t="s">
        <v>141</v>
      </c>
      <c r="P21" t="s">
        <v>172</v>
      </c>
      <c r="Q21" t="s">
        <v>173</v>
      </c>
      <c r="Y21" t="s">
        <v>20</v>
      </c>
      <c r="AB21">
        <v>3</v>
      </c>
      <c r="AC21">
        <f>MOD(4-Table14[[#This Row],[RotationNum]],4)</f>
        <v>1</v>
      </c>
    </row>
    <row r="22" spans="2:29" ht="16" x14ac:dyDescent="0.2">
      <c r="B22" s="3"/>
      <c r="C22" s="3"/>
      <c r="D22" s="3"/>
      <c r="F22" s="3"/>
      <c r="G22" s="3"/>
      <c r="H22" s="3"/>
      <c r="I22" s="3"/>
      <c r="L22" t="s">
        <v>205</v>
      </c>
      <c r="M22" s="4" t="s">
        <v>11</v>
      </c>
      <c r="N22" t="s">
        <v>171</v>
      </c>
      <c r="O22" s="4" t="s">
        <v>141</v>
      </c>
      <c r="P22" t="s">
        <v>172</v>
      </c>
      <c r="Q22" t="s">
        <v>173</v>
      </c>
      <c r="Y22" t="s">
        <v>68</v>
      </c>
      <c r="AB22">
        <v>3</v>
      </c>
      <c r="AC22">
        <f>MOD(4-Table14[[#This Row],[RotationNum]],4)</f>
        <v>1</v>
      </c>
    </row>
    <row r="23" spans="2:29" ht="16" x14ac:dyDescent="0.2">
      <c r="B23" t="s">
        <v>8</v>
      </c>
      <c r="C23" t="s">
        <v>78</v>
      </c>
      <c r="D23" t="s">
        <v>30</v>
      </c>
      <c r="F23" t="s">
        <v>66</v>
      </c>
      <c r="G23" t="str" cm="1">
        <f t="array" ref="G23">_xlfn.XLOOKUP(TRUE, EXACT(Table12[[#This Row],[Face Turn Sought]], Table9[orig]), Table9[char])</f>
        <v>F</v>
      </c>
      <c r="H23" t="s">
        <v>9</v>
      </c>
      <c r="I23">
        <v>8</v>
      </c>
      <c r="L23" t="s">
        <v>206</v>
      </c>
      <c r="M23" s="4" t="s">
        <v>11</v>
      </c>
      <c r="N23" t="s">
        <v>171</v>
      </c>
      <c r="O23" s="4" t="s">
        <v>141</v>
      </c>
      <c r="P23" t="s">
        <v>172</v>
      </c>
      <c r="Q23" t="s">
        <v>173</v>
      </c>
      <c r="Y23" t="s">
        <v>72</v>
      </c>
      <c r="AB23">
        <v>3</v>
      </c>
      <c r="AC23">
        <f>MOD(4-Table14[[#This Row],[RotationNum]],4)</f>
        <v>1</v>
      </c>
    </row>
    <row r="24" spans="2:29" ht="16" x14ac:dyDescent="0.2">
      <c r="L24" t="s">
        <v>207</v>
      </c>
      <c r="M24" s="4" t="s">
        <v>11</v>
      </c>
      <c r="N24" t="s">
        <v>171</v>
      </c>
      <c r="O24" s="4" t="s">
        <v>141</v>
      </c>
      <c r="P24" t="s">
        <v>172</v>
      </c>
      <c r="Q24" t="s">
        <v>173</v>
      </c>
      <c r="Y24" t="s">
        <v>208</v>
      </c>
      <c r="AB24">
        <v>3</v>
      </c>
      <c r="AC24">
        <f>MOD(4-Table14[[#This Row],[RotationNum]],4)</f>
        <v>1</v>
      </c>
    </row>
    <row r="25" spans="2:29" ht="16" x14ac:dyDescent="0.2">
      <c r="L25" t="s">
        <v>12</v>
      </c>
      <c r="M25" s="4" t="s">
        <v>12</v>
      </c>
      <c r="N25" t="s">
        <v>176</v>
      </c>
      <c r="O25" s="4" t="s">
        <v>143</v>
      </c>
      <c r="P25" s="4" t="s">
        <v>177</v>
      </c>
      <c r="Q25" t="s">
        <v>173</v>
      </c>
      <c r="Y25" t="s">
        <v>65</v>
      </c>
      <c r="AB25">
        <v>3</v>
      </c>
      <c r="AC25">
        <f>MOD(4-Table14[[#This Row],[RotationNum]],4)</f>
        <v>1</v>
      </c>
    </row>
    <row r="26" spans="2:29" ht="16" x14ac:dyDescent="0.2">
      <c r="L26" t="s">
        <v>209</v>
      </c>
      <c r="M26" s="4" t="s">
        <v>12</v>
      </c>
      <c r="N26" t="s">
        <v>176</v>
      </c>
      <c r="O26" s="4" t="s">
        <v>143</v>
      </c>
      <c r="P26" s="4" t="s">
        <v>177</v>
      </c>
      <c r="Q26" t="s">
        <v>173</v>
      </c>
      <c r="Y26" t="s">
        <v>21</v>
      </c>
      <c r="AB26">
        <v>3</v>
      </c>
      <c r="AC26">
        <f>MOD(4-Table14[[#This Row],[RotationNum]],4)</f>
        <v>1</v>
      </c>
    </row>
    <row r="27" spans="2:29" ht="16" x14ac:dyDescent="0.2">
      <c r="F27" t="s">
        <v>30</v>
      </c>
      <c r="G27" t="str" cm="1">
        <f t="array" ref="G27">_xlfn.XLOOKUP(TRUE, EXACT(Table12[[#This Row],[Face Turn Sought]], Table9[orig]), Table9[char])</f>
        <v>B</v>
      </c>
      <c r="H27" t="s">
        <v>8</v>
      </c>
      <c r="I27">
        <v>7</v>
      </c>
      <c r="L27" t="s">
        <v>210</v>
      </c>
      <c r="M27" s="4" t="s">
        <v>12</v>
      </c>
      <c r="N27" t="s">
        <v>176</v>
      </c>
      <c r="O27" s="4" t="s">
        <v>143</v>
      </c>
      <c r="P27" s="4" t="s">
        <v>177</v>
      </c>
      <c r="Q27" t="s">
        <v>173</v>
      </c>
    </row>
    <row r="28" spans="2:29" ht="16" x14ac:dyDescent="0.2">
      <c r="B28" s="3"/>
      <c r="C28" s="3"/>
      <c r="D28" s="3"/>
      <c r="F28" s="3"/>
      <c r="G28" s="3"/>
      <c r="H28" s="3"/>
      <c r="I28" s="3"/>
      <c r="L28" t="s">
        <v>211</v>
      </c>
      <c r="M28" s="4" t="s">
        <v>12</v>
      </c>
      <c r="N28" t="s">
        <v>176</v>
      </c>
      <c r="O28" s="4" t="s">
        <v>143</v>
      </c>
      <c r="P28" s="4" t="s">
        <v>177</v>
      </c>
      <c r="Q28" t="s">
        <v>173</v>
      </c>
    </row>
    <row r="29" spans="2:29" ht="16" x14ac:dyDescent="0.2">
      <c r="B29" t="s">
        <v>9</v>
      </c>
      <c r="C29" t="s">
        <v>66</v>
      </c>
      <c r="D29" t="s">
        <v>89</v>
      </c>
      <c r="F29" t="s">
        <v>78</v>
      </c>
      <c r="G29" t="str" cm="1">
        <f t="array" ref="G29">_xlfn.XLOOKUP(TRUE, EXACT(Table12[[#This Row],[Face Turn Sought]], Table9[orig]), Table9[char])</f>
        <v>Q</v>
      </c>
      <c r="H29" t="s">
        <v>8</v>
      </c>
      <c r="I29">
        <v>7</v>
      </c>
      <c r="L29" t="s">
        <v>212</v>
      </c>
      <c r="M29" s="4" t="s">
        <v>12</v>
      </c>
      <c r="N29" t="s">
        <v>176</v>
      </c>
      <c r="O29" s="4" t="s">
        <v>143</v>
      </c>
      <c r="P29" s="4" t="s">
        <v>177</v>
      </c>
      <c r="Q29" t="s">
        <v>173</v>
      </c>
    </row>
    <row r="30" spans="2:29" ht="16" x14ac:dyDescent="0.2">
      <c r="L30" t="s">
        <v>213</v>
      </c>
      <c r="M30" s="4" t="s">
        <v>12</v>
      </c>
      <c r="N30" t="s">
        <v>176</v>
      </c>
      <c r="O30" s="4" t="s">
        <v>143</v>
      </c>
      <c r="P30" s="4" t="s">
        <v>177</v>
      </c>
      <c r="Q30" t="s">
        <v>173</v>
      </c>
    </row>
    <row r="31" spans="2:29" ht="16" x14ac:dyDescent="0.2">
      <c r="L31" t="s">
        <v>214</v>
      </c>
      <c r="M31" s="4" t="s">
        <v>12</v>
      </c>
      <c r="N31" t="s">
        <v>176</v>
      </c>
      <c r="O31" s="4" t="s">
        <v>143</v>
      </c>
      <c r="P31" s="4" t="s">
        <v>177</v>
      </c>
      <c r="Q31" t="s">
        <v>173</v>
      </c>
    </row>
    <row r="32" spans="2:29" ht="16" x14ac:dyDescent="0.2">
      <c r="L32" t="s">
        <v>215</v>
      </c>
      <c r="M32" s="4" t="s">
        <v>12</v>
      </c>
      <c r="N32" t="s">
        <v>176</v>
      </c>
      <c r="O32" s="4" t="s">
        <v>143</v>
      </c>
      <c r="P32" s="4" t="s">
        <v>177</v>
      </c>
      <c r="Q32" t="s">
        <v>173</v>
      </c>
    </row>
    <row r="33" spans="2:17" ht="16" x14ac:dyDescent="0.2">
      <c r="F33" t="s">
        <v>89</v>
      </c>
      <c r="G33" t="str" cm="1">
        <f t="array" ref="G33">_xlfn.XLOOKUP(TRUE, EXACT(Table12[[#This Row],[Face Turn Sought]], Table9[orig]), Table9[char])</f>
        <v>@</v>
      </c>
      <c r="H33" t="s">
        <v>9</v>
      </c>
      <c r="I33">
        <v>8</v>
      </c>
      <c r="L33" t="s">
        <v>216</v>
      </c>
      <c r="M33" s="4" t="s">
        <v>12</v>
      </c>
      <c r="N33" t="s">
        <v>176</v>
      </c>
      <c r="O33" s="4" t="s">
        <v>143</v>
      </c>
      <c r="P33" s="4" t="s">
        <v>177</v>
      </c>
      <c r="Q33" t="s">
        <v>173</v>
      </c>
    </row>
    <row r="34" spans="2:17" ht="16" x14ac:dyDescent="0.2">
      <c r="B34" s="3"/>
      <c r="C34" s="3"/>
      <c r="D34" s="3"/>
      <c r="F34" s="3"/>
      <c r="G34" s="3"/>
      <c r="H34" s="3"/>
      <c r="I34" s="3"/>
      <c r="L34" t="s">
        <v>217</v>
      </c>
      <c r="M34" s="4" t="s">
        <v>12</v>
      </c>
      <c r="N34" t="s">
        <v>176</v>
      </c>
      <c r="O34" s="4" t="s">
        <v>143</v>
      </c>
      <c r="P34" s="4" t="s">
        <v>177</v>
      </c>
      <c r="Q34" t="s">
        <v>173</v>
      </c>
    </row>
    <row r="35" spans="2:17" ht="16" x14ac:dyDescent="0.2">
      <c r="B35" t="s">
        <v>10</v>
      </c>
      <c r="C35" t="s">
        <v>94</v>
      </c>
      <c r="D35" t="s">
        <v>109</v>
      </c>
      <c r="F35" t="s">
        <v>94</v>
      </c>
      <c r="G35" t="str" cm="1">
        <f t="array" ref="G35">_xlfn.XLOOKUP(TRUE, EXACT(Table12[[#This Row],[Face Turn Sought]], Table9[orig]), Table9[char])</f>
        <v>$</v>
      </c>
      <c r="H35" t="s">
        <v>10</v>
      </c>
      <c r="I35">
        <v>9</v>
      </c>
      <c r="L35" t="s">
        <v>218</v>
      </c>
      <c r="M35" s="4" t="s">
        <v>12</v>
      </c>
      <c r="N35" t="s">
        <v>176</v>
      </c>
      <c r="O35" s="4" t="s">
        <v>143</v>
      </c>
      <c r="P35" s="4" t="s">
        <v>177</v>
      </c>
      <c r="Q35" t="s">
        <v>173</v>
      </c>
    </row>
    <row r="36" spans="2:17" ht="16" x14ac:dyDescent="0.2">
      <c r="L36" t="s">
        <v>219</v>
      </c>
      <c r="M36" s="4" t="s">
        <v>12</v>
      </c>
      <c r="N36" t="s">
        <v>176</v>
      </c>
      <c r="O36" s="4" t="s">
        <v>143</v>
      </c>
      <c r="P36" s="4" t="s">
        <v>177</v>
      </c>
      <c r="Q36" t="s">
        <v>173</v>
      </c>
    </row>
    <row r="37" spans="2:17" ht="16" x14ac:dyDescent="0.2">
      <c r="L37" t="s">
        <v>220</v>
      </c>
      <c r="M37" s="4" t="s">
        <v>12</v>
      </c>
      <c r="N37" t="s">
        <v>176</v>
      </c>
      <c r="O37" s="4" t="s">
        <v>143</v>
      </c>
      <c r="P37" s="4" t="s">
        <v>177</v>
      </c>
      <c r="Q37" t="s">
        <v>173</v>
      </c>
    </row>
    <row r="38" spans="2:17" ht="16" x14ac:dyDescent="0.2">
      <c r="L38" t="s">
        <v>221</v>
      </c>
      <c r="M38" s="4" t="s">
        <v>12</v>
      </c>
      <c r="N38" t="s">
        <v>176</v>
      </c>
      <c r="O38" s="4" t="s">
        <v>143</v>
      </c>
      <c r="P38" s="4" t="s">
        <v>177</v>
      </c>
      <c r="Q38" t="s">
        <v>173</v>
      </c>
    </row>
    <row r="39" spans="2:17" ht="16" x14ac:dyDescent="0.2">
      <c r="F39" t="s">
        <v>109</v>
      </c>
      <c r="G39" t="str" cm="1">
        <f t="array" ref="G39">_xlfn.XLOOKUP(TRUE, EXACT(Table12[[#This Row],[Face Turn Sought]], Table9[orig]), Table9[char])</f>
        <v>`</v>
      </c>
      <c r="H39" t="s">
        <v>10</v>
      </c>
      <c r="I39">
        <v>9</v>
      </c>
      <c r="L39" t="s">
        <v>222</v>
      </c>
      <c r="M39" s="4" t="s">
        <v>12</v>
      </c>
      <c r="N39" t="s">
        <v>176</v>
      </c>
      <c r="O39" s="4" t="s">
        <v>143</v>
      </c>
      <c r="P39" s="4" t="s">
        <v>177</v>
      </c>
      <c r="Q39" t="s">
        <v>173</v>
      </c>
    </row>
    <row r="40" spans="2:17" ht="16" x14ac:dyDescent="0.2">
      <c r="B40" s="3"/>
      <c r="C40" s="3"/>
      <c r="D40" s="3"/>
      <c r="F40" s="3"/>
      <c r="G40" s="3"/>
      <c r="H40" s="3"/>
      <c r="I40" s="3"/>
      <c r="L40" t="s">
        <v>223</v>
      </c>
      <c r="M40" s="4" t="s">
        <v>12</v>
      </c>
      <c r="N40" t="s">
        <v>176</v>
      </c>
      <c r="O40" s="4" t="s">
        <v>143</v>
      </c>
      <c r="P40" s="4" t="s">
        <v>177</v>
      </c>
      <c r="Q40" t="s">
        <v>173</v>
      </c>
    </row>
    <row r="41" spans="2:17" ht="16" x14ac:dyDescent="0.2">
      <c r="B41" t="s">
        <v>5</v>
      </c>
      <c r="C41" t="s">
        <v>90</v>
      </c>
      <c r="D41" t="s">
        <v>32</v>
      </c>
      <c r="F41" t="s">
        <v>77</v>
      </c>
      <c r="G41" t="str" cm="1">
        <f t="array" ref="G41">_xlfn.XLOOKUP(TRUE, EXACT(Table12[[#This Row],[Face Turn Sought]], Table9[orig]), Table9[char])</f>
        <v>U</v>
      </c>
      <c r="H41" t="s">
        <v>6</v>
      </c>
      <c r="I41">
        <v>5</v>
      </c>
      <c r="L41" t="s">
        <v>224</v>
      </c>
      <c r="M41" s="4" t="s">
        <v>12</v>
      </c>
      <c r="N41" t="s">
        <v>176</v>
      </c>
      <c r="O41" s="4" t="s">
        <v>143</v>
      </c>
      <c r="P41" s="4" t="s">
        <v>177</v>
      </c>
      <c r="Q41" t="s">
        <v>173</v>
      </c>
    </row>
    <row r="42" spans="2:17" ht="16" x14ac:dyDescent="0.2">
      <c r="L42" t="s">
        <v>225</v>
      </c>
      <c r="M42" s="4" t="s">
        <v>12</v>
      </c>
      <c r="N42" t="s">
        <v>176</v>
      </c>
      <c r="O42" s="4" t="s">
        <v>143</v>
      </c>
      <c r="P42" s="4" t="s">
        <v>177</v>
      </c>
      <c r="Q42" t="s">
        <v>173</v>
      </c>
    </row>
    <row r="43" spans="2:17" ht="16" x14ac:dyDescent="0.2">
      <c r="L43" t="s">
        <v>226</v>
      </c>
      <c r="M43" s="4" t="s">
        <v>12</v>
      </c>
      <c r="N43" t="s">
        <v>176</v>
      </c>
      <c r="O43" s="4" t="s">
        <v>143</v>
      </c>
      <c r="P43" s="4" t="s">
        <v>177</v>
      </c>
      <c r="Q43" t="s">
        <v>173</v>
      </c>
    </row>
    <row r="44" spans="2:17" ht="16" x14ac:dyDescent="0.2">
      <c r="L44" t="s">
        <v>227</v>
      </c>
      <c r="M44" s="4" t="s">
        <v>12</v>
      </c>
      <c r="N44" t="s">
        <v>176</v>
      </c>
      <c r="O44" s="4" t="s">
        <v>143</v>
      </c>
      <c r="P44" s="4" t="s">
        <v>177</v>
      </c>
      <c r="Q44" t="s">
        <v>173</v>
      </c>
    </row>
    <row r="45" spans="2:17" ht="16" x14ac:dyDescent="0.2">
      <c r="F45" t="s">
        <v>32</v>
      </c>
      <c r="G45" t="str" cm="1">
        <f t="array" ref="G45">_xlfn.XLOOKUP(TRUE, EXACT(Table12[[#This Row],[Face Turn Sought]], Table9[orig]), Table9[char])</f>
        <v>D</v>
      </c>
      <c r="H45" t="s">
        <v>5</v>
      </c>
      <c r="I45">
        <v>4</v>
      </c>
      <c r="L45" t="s">
        <v>13</v>
      </c>
      <c r="M45" s="4" t="s">
        <v>13</v>
      </c>
      <c r="N45" t="s">
        <v>179</v>
      </c>
      <c r="O45" t="s">
        <v>142</v>
      </c>
      <c r="P45" s="4" t="s">
        <v>180</v>
      </c>
      <c r="Q45" t="s">
        <v>181</v>
      </c>
    </row>
    <row r="46" spans="2:17" ht="16" x14ac:dyDescent="0.2">
      <c r="B46" s="3"/>
      <c r="C46" s="3"/>
      <c r="D46" s="3"/>
      <c r="F46" s="3"/>
      <c r="G46" s="3"/>
      <c r="H46" s="3"/>
      <c r="I46" s="3"/>
      <c r="L46" t="s">
        <v>228</v>
      </c>
      <c r="M46" s="4" t="s">
        <v>13</v>
      </c>
      <c r="N46" t="s">
        <v>179</v>
      </c>
      <c r="O46" t="s">
        <v>142</v>
      </c>
      <c r="P46" s="4" t="s">
        <v>180</v>
      </c>
      <c r="Q46" t="s">
        <v>181</v>
      </c>
    </row>
    <row r="47" spans="2:17" ht="16" x14ac:dyDescent="0.2">
      <c r="B47" t="s">
        <v>6</v>
      </c>
      <c r="C47" t="s">
        <v>77</v>
      </c>
      <c r="D47" t="s">
        <v>79</v>
      </c>
      <c r="F47" t="s">
        <v>90</v>
      </c>
      <c r="G47" t="str" cm="1">
        <f t="array" ref="G47">_xlfn.XLOOKUP(TRUE, EXACT(Table12[[#This Row],[Face Turn Sought]], Table9[orig]), Table9[char])</f>
        <v>.</v>
      </c>
      <c r="H47" t="s">
        <v>5</v>
      </c>
      <c r="I47">
        <v>4</v>
      </c>
      <c r="L47" t="s">
        <v>229</v>
      </c>
      <c r="M47" s="4" t="s">
        <v>13</v>
      </c>
      <c r="N47" t="s">
        <v>179</v>
      </c>
      <c r="O47" t="s">
        <v>142</v>
      </c>
      <c r="P47" s="4" t="s">
        <v>180</v>
      </c>
      <c r="Q47" t="s">
        <v>181</v>
      </c>
    </row>
    <row r="48" spans="2:17" ht="16" x14ac:dyDescent="0.2">
      <c r="L48" t="s">
        <v>230</v>
      </c>
      <c r="M48" s="4" t="s">
        <v>13</v>
      </c>
      <c r="N48" t="s">
        <v>179</v>
      </c>
      <c r="O48" t="s">
        <v>142</v>
      </c>
      <c r="P48" s="4" t="s">
        <v>180</v>
      </c>
      <c r="Q48" t="s">
        <v>181</v>
      </c>
    </row>
    <row r="49" spans="2:17" ht="16" x14ac:dyDescent="0.2">
      <c r="L49" t="s">
        <v>231</v>
      </c>
      <c r="M49" s="4" t="s">
        <v>13</v>
      </c>
      <c r="N49" t="s">
        <v>179</v>
      </c>
      <c r="O49" t="s">
        <v>142</v>
      </c>
      <c r="P49" s="4" t="s">
        <v>180</v>
      </c>
      <c r="Q49" t="s">
        <v>181</v>
      </c>
    </row>
    <row r="50" spans="2:17" ht="16" x14ac:dyDescent="0.2">
      <c r="L50" t="s">
        <v>232</v>
      </c>
      <c r="M50" s="4" t="s">
        <v>13</v>
      </c>
      <c r="N50" t="s">
        <v>179</v>
      </c>
      <c r="O50" t="s">
        <v>142</v>
      </c>
      <c r="P50" s="4" t="s">
        <v>180</v>
      </c>
      <c r="Q50" t="s">
        <v>181</v>
      </c>
    </row>
    <row r="51" spans="2:17" ht="16" x14ac:dyDescent="0.2">
      <c r="F51" t="s">
        <v>79</v>
      </c>
      <c r="G51" t="str" cm="1">
        <f t="array" ref="G51">_xlfn.XLOOKUP(TRUE, EXACT(Table12[[#This Row],[Face Turn Sought]], Table9[orig]), Table9[char])</f>
        <v>%</v>
      </c>
      <c r="H51" t="s">
        <v>6</v>
      </c>
      <c r="I51">
        <v>5</v>
      </c>
      <c r="L51" t="s">
        <v>233</v>
      </c>
      <c r="M51" s="4" t="s">
        <v>13</v>
      </c>
      <c r="N51" t="s">
        <v>179</v>
      </c>
      <c r="O51" t="s">
        <v>142</v>
      </c>
      <c r="P51" s="4" t="s">
        <v>180</v>
      </c>
      <c r="Q51" t="s">
        <v>181</v>
      </c>
    </row>
    <row r="52" spans="2:17" ht="16" x14ac:dyDescent="0.2">
      <c r="B52" s="3"/>
      <c r="C52" s="3"/>
      <c r="D52" s="3"/>
      <c r="F52" s="3"/>
      <c r="G52" s="3"/>
      <c r="H52" s="3"/>
      <c r="I52" s="3"/>
      <c r="L52" t="s">
        <v>234</v>
      </c>
      <c r="M52" s="4" t="s">
        <v>13</v>
      </c>
      <c r="N52" t="s">
        <v>179</v>
      </c>
      <c r="O52" t="s">
        <v>142</v>
      </c>
      <c r="P52" s="4" t="s">
        <v>180</v>
      </c>
      <c r="Q52" t="s">
        <v>181</v>
      </c>
    </row>
    <row r="53" spans="2:17" ht="16" x14ac:dyDescent="0.2">
      <c r="B53" t="s">
        <v>7</v>
      </c>
      <c r="C53" t="s">
        <v>110</v>
      </c>
      <c r="D53" t="s">
        <v>95</v>
      </c>
      <c r="F53" t="s">
        <v>110</v>
      </c>
      <c r="G53" t="str" cm="1">
        <f t="array" ref="G53">_xlfn.XLOOKUP(TRUE, EXACT(Table12[[#This Row],[Face Turn Sought]], Table9[orig]), Table9[char])</f>
        <v>\</v>
      </c>
      <c r="H53" t="s">
        <v>7</v>
      </c>
      <c r="I53">
        <v>6</v>
      </c>
      <c r="L53" t="s">
        <v>235</v>
      </c>
      <c r="M53" s="4" t="s">
        <v>13</v>
      </c>
      <c r="N53" t="s">
        <v>179</v>
      </c>
      <c r="O53" t="s">
        <v>142</v>
      </c>
      <c r="P53" s="4" t="s">
        <v>180</v>
      </c>
      <c r="Q53" t="s">
        <v>181</v>
      </c>
    </row>
    <row r="54" spans="2:17" ht="16" x14ac:dyDescent="0.2">
      <c r="L54" t="s">
        <v>236</v>
      </c>
      <c r="M54" s="4" t="s">
        <v>13</v>
      </c>
      <c r="N54" t="s">
        <v>179</v>
      </c>
      <c r="O54" t="s">
        <v>142</v>
      </c>
      <c r="P54" s="4" t="s">
        <v>180</v>
      </c>
      <c r="Q54" t="s">
        <v>181</v>
      </c>
    </row>
    <row r="55" spans="2:17" ht="16" x14ac:dyDescent="0.2">
      <c r="L55" t="s">
        <v>237</v>
      </c>
      <c r="M55" s="4" t="s">
        <v>13</v>
      </c>
      <c r="N55" t="s">
        <v>179</v>
      </c>
      <c r="O55" t="s">
        <v>142</v>
      </c>
      <c r="P55" s="4" t="s">
        <v>180</v>
      </c>
      <c r="Q55" t="s">
        <v>181</v>
      </c>
    </row>
    <row r="56" spans="2:17" ht="16" x14ac:dyDescent="0.2">
      <c r="L56" t="s">
        <v>238</v>
      </c>
      <c r="M56" s="4" t="s">
        <v>13</v>
      </c>
      <c r="N56" t="s">
        <v>179</v>
      </c>
      <c r="O56" t="s">
        <v>142</v>
      </c>
      <c r="P56" s="4" t="s">
        <v>180</v>
      </c>
      <c r="Q56" t="s">
        <v>181</v>
      </c>
    </row>
    <row r="57" spans="2:17" ht="16" x14ac:dyDescent="0.2">
      <c r="F57" t="s">
        <v>95</v>
      </c>
      <c r="G57" t="str" cm="1">
        <f t="array" ref="G57">_xlfn.XLOOKUP(TRUE, EXACT(Table12[[#This Row],[Face Turn Sought]], Table9[orig]), Table9[char])</f>
        <v>c</v>
      </c>
      <c r="H57" t="s">
        <v>7</v>
      </c>
      <c r="I57">
        <v>6</v>
      </c>
      <c r="L57" t="s">
        <v>239</v>
      </c>
      <c r="M57" s="4" t="s">
        <v>13</v>
      </c>
      <c r="N57" t="s">
        <v>179</v>
      </c>
      <c r="O57" t="s">
        <v>142</v>
      </c>
      <c r="P57" s="4" t="s">
        <v>180</v>
      </c>
      <c r="Q57" t="s">
        <v>181</v>
      </c>
    </row>
    <row r="58" spans="2:17" ht="16" x14ac:dyDescent="0.2">
      <c r="B58" s="3"/>
      <c r="C58" s="3"/>
      <c r="D58" s="3"/>
      <c r="F58" s="3"/>
      <c r="G58" s="3"/>
      <c r="H58" s="3"/>
      <c r="I58" s="3"/>
      <c r="L58" t="s">
        <v>240</v>
      </c>
      <c r="M58" s="4" t="s">
        <v>13</v>
      </c>
      <c r="N58" t="s">
        <v>179</v>
      </c>
      <c r="O58" t="s">
        <v>142</v>
      </c>
      <c r="P58" s="4" t="s">
        <v>180</v>
      </c>
      <c r="Q58" t="s">
        <v>181</v>
      </c>
    </row>
    <row r="59" spans="2:17" ht="16" x14ac:dyDescent="0.2">
      <c r="L59" t="s">
        <v>241</v>
      </c>
      <c r="M59" s="4" t="s">
        <v>13</v>
      </c>
      <c r="N59" t="s">
        <v>179</v>
      </c>
      <c r="O59" t="s">
        <v>142</v>
      </c>
      <c r="P59" s="4" t="s">
        <v>180</v>
      </c>
      <c r="Q59" t="s">
        <v>181</v>
      </c>
    </row>
    <row r="60" spans="2:17" ht="16" x14ac:dyDescent="0.2">
      <c r="L60" t="s">
        <v>242</v>
      </c>
      <c r="M60" s="4" t="s">
        <v>13</v>
      </c>
      <c r="N60" t="s">
        <v>179</v>
      </c>
      <c r="O60" t="s">
        <v>142</v>
      </c>
      <c r="P60" s="4" t="s">
        <v>180</v>
      </c>
      <c r="Q60" t="s">
        <v>181</v>
      </c>
    </row>
    <row r="61" spans="2:17" ht="16" x14ac:dyDescent="0.2">
      <c r="L61" t="s">
        <v>243</v>
      </c>
      <c r="M61" s="4" t="s">
        <v>13</v>
      </c>
      <c r="N61" t="s">
        <v>179</v>
      </c>
      <c r="O61" t="s">
        <v>142</v>
      </c>
      <c r="P61" s="4" t="s">
        <v>180</v>
      </c>
      <c r="Q61" t="s">
        <v>181</v>
      </c>
    </row>
    <row r="62" spans="2:17" ht="16" x14ac:dyDescent="0.2">
      <c r="L62" t="s">
        <v>244</v>
      </c>
      <c r="M62" s="4" t="s">
        <v>13</v>
      </c>
      <c r="N62" t="s">
        <v>179</v>
      </c>
      <c r="O62" t="s">
        <v>142</v>
      </c>
      <c r="P62" s="4" t="s">
        <v>180</v>
      </c>
      <c r="Q62" t="s">
        <v>181</v>
      </c>
    </row>
    <row r="63" spans="2:17" ht="16" x14ac:dyDescent="0.2">
      <c r="L63" t="s">
        <v>245</v>
      </c>
      <c r="M63" s="4" t="s">
        <v>13</v>
      </c>
      <c r="N63" t="s">
        <v>179</v>
      </c>
      <c r="O63" t="s">
        <v>142</v>
      </c>
      <c r="P63" s="4" t="s">
        <v>180</v>
      </c>
      <c r="Q63" t="s">
        <v>181</v>
      </c>
    </row>
    <row r="64" spans="2:17" ht="16" x14ac:dyDescent="0.2">
      <c r="L64" t="s">
        <v>246</v>
      </c>
      <c r="M64" s="4" t="s">
        <v>13</v>
      </c>
      <c r="N64" t="s">
        <v>179</v>
      </c>
      <c r="O64" t="s">
        <v>142</v>
      </c>
      <c r="P64" s="4" t="s">
        <v>180</v>
      </c>
      <c r="Q64" t="s">
        <v>181</v>
      </c>
    </row>
    <row r="65" spans="12:17" ht="16" x14ac:dyDescent="0.2">
      <c r="L65" t="s">
        <v>14</v>
      </c>
      <c r="M65" s="4" t="s">
        <v>14</v>
      </c>
      <c r="N65" t="s">
        <v>183</v>
      </c>
      <c r="O65" s="4" t="s">
        <v>145</v>
      </c>
      <c r="P65" s="4" t="s">
        <v>184</v>
      </c>
      <c r="Q65" t="s">
        <v>181</v>
      </c>
    </row>
    <row r="66" spans="12:17" ht="16" x14ac:dyDescent="0.2">
      <c r="L66" t="s">
        <v>247</v>
      </c>
      <c r="M66" s="4" t="s">
        <v>14</v>
      </c>
      <c r="N66" t="s">
        <v>183</v>
      </c>
      <c r="O66" s="4" t="s">
        <v>145</v>
      </c>
      <c r="P66" s="4" t="s">
        <v>184</v>
      </c>
      <c r="Q66" t="s">
        <v>181</v>
      </c>
    </row>
    <row r="67" spans="12:17" ht="16" x14ac:dyDescent="0.2">
      <c r="L67" t="s">
        <v>248</v>
      </c>
      <c r="M67" s="4" t="s">
        <v>14</v>
      </c>
      <c r="N67" t="s">
        <v>183</v>
      </c>
      <c r="O67" s="4" t="s">
        <v>145</v>
      </c>
      <c r="P67" s="4" t="s">
        <v>184</v>
      </c>
      <c r="Q67" t="s">
        <v>181</v>
      </c>
    </row>
    <row r="68" spans="12:17" ht="16" x14ac:dyDescent="0.2">
      <c r="L68" t="s">
        <v>249</v>
      </c>
      <c r="M68" s="4" t="s">
        <v>14</v>
      </c>
      <c r="N68" t="s">
        <v>183</v>
      </c>
      <c r="O68" s="4" t="s">
        <v>145</v>
      </c>
      <c r="P68" s="4" t="s">
        <v>184</v>
      </c>
      <c r="Q68" t="s">
        <v>181</v>
      </c>
    </row>
    <row r="69" spans="12:17" ht="16" x14ac:dyDescent="0.2">
      <c r="L69" t="s">
        <v>250</v>
      </c>
      <c r="M69" s="4" t="s">
        <v>14</v>
      </c>
      <c r="N69" t="s">
        <v>183</v>
      </c>
      <c r="O69" s="4" t="s">
        <v>145</v>
      </c>
      <c r="P69" s="4" t="s">
        <v>184</v>
      </c>
      <c r="Q69" t="s">
        <v>181</v>
      </c>
    </row>
    <row r="70" spans="12:17" ht="16" x14ac:dyDescent="0.2">
      <c r="L70" t="s">
        <v>251</v>
      </c>
      <c r="M70" s="4" t="s">
        <v>14</v>
      </c>
      <c r="N70" t="s">
        <v>183</v>
      </c>
      <c r="O70" s="4" t="s">
        <v>145</v>
      </c>
      <c r="P70" s="4" t="s">
        <v>184</v>
      </c>
      <c r="Q70" t="s">
        <v>181</v>
      </c>
    </row>
    <row r="71" spans="12:17" ht="16" x14ac:dyDescent="0.2">
      <c r="L71" t="s">
        <v>252</v>
      </c>
      <c r="M71" s="4" t="s">
        <v>14</v>
      </c>
      <c r="N71" t="s">
        <v>183</v>
      </c>
      <c r="O71" s="4" t="s">
        <v>145</v>
      </c>
      <c r="P71" s="4" t="s">
        <v>184</v>
      </c>
      <c r="Q71" t="s">
        <v>181</v>
      </c>
    </row>
    <row r="72" spans="12:17" ht="16" x14ac:dyDescent="0.2">
      <c r="L72" t="s">
        <v>253</v>
      </c>
      <c r="M72" s="4" t="s">
        <v>14</v>
      </c>
      <c r="N72" t="s">
        <v>183</v>
      </c>
      <c r="O72" s="4" t="s">
        <v>145</v>
      </c>
      <c r="P72" s="4" t="s">
        <v>184</v>
      </c>
      <c r="Q72" t="s">
        <v>181</v>
      </c>
    </row>
    <row r="73" spans="12:17" ht="16" x14ac:dyDescent="0.2">
      <c r="L73" t="s">
        <v>254</v>
      </c>
      <c r="M73" s="4" t="s">
        <v>14</v>
      </c>
      <c r="N73" t="s">
        <v>183</v>
      </c>
      <c r="O73" s="4" t="s">
        <v>145</v>
      </c>
      <c r="P73" s="4" t="s">
        <v>184</v>
      </c>
      <c r="Q73" t="s">
        <v>181</v>
      </c>
    </row>
    <row r="74" spans="12:17" ht="16" x14ac:dyDescent="0.2">
      <c r="L74" t="s">
        <v>255</v>
      </c>
      <c r="M74" s="4" t="s">
        <v>14</v>
      </c>
      <c r="N74" t="s">
        <v>183</v>
      </c>
      <c r="O74" s="4" t="s">
        <v>145</v>
      </c>
      <c r="P74" s="4" t="s">
        <v>184</v>
      </c>
      <c r="Q74" t="s">
        <v>181</v>
      </c>
    </row>
    <row r="75" spans="12:17" ht="16" x14ac:dyDescent="0.2">
      <c r="L75" t="s">
        <v>256</v>
      </c>
      <c r="M75" s="4" t="s">
        <v>14</v>
      </c>
      <c r="N75" t="s">
        <v>183</v>
      </c>
      <c r="O75" s="4" t="s">
        <v>145</v>
      </c>
      <c r="P75" s="4" t="s">
        <v>184</v>
      </c>
      <c r="Q75" t="s">
        <v>181</v>
      </c>
    </row>
    <row r="76" spans="12:17" ht="16" x14ac:dyDescent="0.2">
      <c r="L76" t="s">
        <v>257</v>
      </c>
      <c r="M76" s="4" t="s">
        <v>14</v>
      </c>
      <c r="N76" t="s">
        <v>183</v>
      </c>
      <c r="O76" s="4" t="s">
        <v>145</v>
      </c>
      <c r="P76" s="4" t="s">
        <v>184</v>
      </c>
      <c r="Q76" t="s">
        <v>181</v>
      </c>
    </row>
    <row r="77" spans="12:17" ht="16" x14ac:dyDescent="0.2">
      <c r="L77" t="s">
        <v>258</v>
      </c>
      <c r="M77" s="4" t="s">
        <v>14</v>
      </c>
      <c r="N77" t="s">
        <v>183</v>
      </c>
      <c r="O77" s="4" t="s">
        <v>145</v>
      </c>
      <c r="P77" s="4" t="s">
        <v>184</v>
      </c>
      <c r="Q77" t="s">
        <v>181</v>
      </c>
    </row>
    <row r="78" spans="12:17" ht="16" x14ac:dyDescent="0.2">
      <c r="L78" t="s">
        <v>259</v>
      </c>
      <c r="M78" s="4" t="s">
        <v>14</v>
      </c>
      <c r="N78" t="s">
        <v>183</v>
      </c>
      <c r="O78" s="4" t="s">
        <v>145</v>
      </c>
      <c r="P78" s="4" t="s">
        <v>184</v>
      </c>
      <c r="Q78" t="s">
        <v>181</v>
      </c>
    </row>
    <row r="79" spans="12:17" ht="16" x14ac:dyDescent="0.2">
      <c r="L79" t="s">
        <v>260</v>
      </c>
      <c r="M79" s="4" t="s">
        <v>14</v>
      </c>
      <c r="N79" t="s">
        <v>183</v>
      </c>
      <c r="O79" s="4" t="s">
        <v>145</v>
      </c>
      <c r="P79" s="4" t="s">
        <v>184</v>
      </c>
      <c r="Q79" t="s">
        <v>181</v>
      </c>
    </row>
    <row r="80" spans="12:17" ht="16" x14ac:dyDescent="0.2">
      <c r="L80" t="s">
        <v>261</v>
      </c>
      <c r="M80" s="4" t="s">
        <v>14</v>
      </c>
      <c r="N80" t="s">
        <v>183</v>
      </c>
      <c r="O80" s="4" t="s">
        <v>145</v>
      </c>
      <c r="P80" s="4" t="s">
        <v>184</v>
      </c>
      <c r="Q80" t="s">
        <v>181</v>
      </c>
    </row>
    <row r="81" spans="12:17" ht="16" x14ac:dyDescent="0.2">
      <c r="L81" t="s">
        <v>262</v>
      </c>
      <c r="M81" s="4" t="s">
        <v>14</v>
      </c>
      <c r="N81" t="s">
        <v>183</v>
      </c>
      <c r="O81" s="4" t="s">
        <v>145</v>
      </c>
      <c r="P81" s="4" t="s">
        <v>184</v>
      </c>
      <c r="Q81" t="s">
        <v>181</v>
      </c>
    </row>
    <row r="82" spans="12:17" ht="16" x14ac:dyDescent="0.2">
      <c r="L82" t="s">
        <v>263</v>
      </c>
      <c r="M82" s="4" t="s">
        <v>14</v>
      </c>
      <c r="N82" t="s">
        <v>183</v>
      </c>
      <c r="O82" s="4" t="s">
        <v>145</v>
      </c>
      <c r="P82" s="4" t="s">
        <v>184</v>
      </c>
      <c r="Q82" t="s">
        <v>181</v>
      </c>
    </row>
    <row r="83" spans="12:17" ht="16" x14ac:dyDescent="0.2">
      <c r="L83" t="s">
        <v>264</v>
      </c>
      <c r="M83" s="4" t="s">
        <v>14</v>
      </c>
      <c r="N83" t="s">
        <v>183</v>
      </c>
      <c r="O83" s="4" t="s">
        <v>145</v>
      </c>
      <c r="P83" s="4" t="s">
        <v>184</v>
      </c>
      <c r="Q83" t="s">
        <v>181</v>
      </c>
    </row>
    <row r="84" spans="12:17" ht="16" x14ac:dyDescent="0.2">
      <c r="L84" t="s">
        <v>265</v>
      </c>
      <c r="M84" s="4" t="s">
        <v>14</v>
      </c>
      <c r="N84" t="s">
        <v>183</v>
      </c>
      <c r="O84" s="4" t="s">
        <v>145</v>
      </c>
      <c r="P84" s="4" t="s">
        <v>184</v>
      </c>
      <c r="Q84" t="s">
        <v>181</v>
      </c>
    </row>
    <row r="85" spans="12:17" ht="16" x14ac:dyDescent="0.2">
      <c r="L85" t="s">
        <v>15</v>
      </c>
      <c r="M85" s="4" t="s">
        <v>15</v>
      </c>
      <c r="N85" t="s">
        <v>186</v>
      </c>
      <c r="O85" t="s">
        <v>146</v>
      </c>
      <c r="P85" s="4" t="s">
        <v>187</v>
      </c>
      <c r="Q85" t="s">
        <v>188</v>
      </c>
    </row>
    <row r="86" spans="12:17" ht="16" x14ac:dyDescent="0.2">
      <c r="L86" t="s">
        <v>266</v>
      </c>
      <c r="M86" s="4" t="s">
        <v>15</v>
      </c>
      <c r="N86" t="s">
        <v>186</v>
      </c>
      <c r="O86" t="s">
        <v>146</v>
      </c>
      <c r="P86" s="4" t="s">
        <v>187</v>
      </c>
      <c r="Q86" t="s">
        <v>188</v>
      </c>
    </row>
    <row r="87" spans="12:17" ht="16" x14ac:dyDescent="0.2">
      <c r="L87" t="s">
        <v>267</v>
      </c>
      <c r="M87" s="4" t="s">
        <v>15</v>
      </c>
      <c r="N87" t="s">
        <v>186</v>
      </c>
      <c r="O87" t="s">
        <v>146</v>
      </c>
      <c r="P87" s="4" t="s">
        <v>187</v>
      </c>
      <c r="Q87" t="s">
        <v>188</v>
      </c>
    </row>
    <row r="88" spans="12:17" ht="16" x14ac:dyDescent="0.2">
      <c r="L88" t="s">
        <v>268</v>
      </c>
      <c r="M88" s="4" t="s">
        <v>15</v>
      </c>
      <c r="N88" t="s">
        <v>186</v>
      </c>
      <c r="O88" t="s">
        <v>146</v>
      </c>
      <c r="P88" s="4" t="s">
        <v>187</v>
      </c>
      <c r="Q88" t="s">
        <v>188</v>
      </c>
    </row>
    <row r="89" spans="12:17" ht="16" x14ac:dyDescent="0.2">
      <c r="L89" t="s">
        <v>269</v>
      </c>
      <c r="M89" s="4" t="s">
        <v>15</v>
      </c>
      <c r="N89" t="s">
        <v>186</v>
      </c>
      <c r="O89" t="s">
        <v>146</v>
      </c>
      <c r="P89" s="4" t="s">
        <v>187</v>
      </c>
      <c r="Q89" t="s">
        <v>188</v>
      </c>
    </row>
    <row r="90" spans="12:17" ht="16" x14ac:dyDescent="0.2">
      <c r="L90" t="s">
        <v>270</v>
      </c>
      <c r="M90" s="4" t="s">
        <v>15</v>
      </c>
      <c r="N90" t="s">
        <v>186</v>
      </c>
      <c r="O90" t="s">
        <v>146</v>
      </c>
      <c r="P90" s="4" t="s">
        <v>187</v>
      </c>
      <c r="Q90" t="s">
        <v>188</v>
      </c>
    </row>
    <row r="91" spans="12:17" ht="16" x14ac:dyDescent="0.2">
      <c r="L91" t="s">
        <v>271</v>
      </c>
      <c r="M91" s="4" t="s">
        <v>15</v>
      </c>
      <c r="N91" t="s">
        <v>186</v>
      </c>
      <c r="O91" t="s">
        <v>146</v>
      </c>
      <c r="P91" s="4" t="s">
        <v>187</v>
      </c>
      <c r="Q91" t="s">
        <v>188</v>
      </c>
    </row>
    <row r="92" spans="12:17" ht="16" x14ac:dyDescent="0.2">
      <c r="L92" t="s">
        <v>272</v>
      </c>
      <c r="M92" s="4" t="s">
        <v>15</v>
      </c>
      <c r="N92" t="s">
        <v>186</v>
      </c>
      <c r="O92" t="s">
        <v>146</v>
      </c>
      <c r="P92" s="4" t="s">
        <v>187</v>
      </c>
      <c r="Q92" t="s">
        <v>188</v>
      </c>
    </row>
    <row r="93" spans="12:17" ht="16" x14ac:dyDescent="0.2">
      <c r="L93" t="s">
        <v>273</v>
      </c>
      <c r="M93" s="4" t="s">
        <v>15</v>
      </c>
      <c r="N93" t="s">
        <v>186</v>
      </c>
      <c r="O93" t="s">
        <v>146</v>
      </c>
      <c r="P93" s="4" t="s">
        <v>187</v>
      </c>
      <c r="Q93" t="s">
        <v>188</v>
      </c>
    </row>
    <row r="94" spans="12:17" ht="16" x14ac:dyDescent="0.2">
      <c r="L94" t="s">
        <v>274</v>
      </c>
      <c r="M94" s="4" t="s">
        <v>15</v>
      </c>
      <c r="N94" t="s">
        <v>186</v>
      </c>
      <c r="O94" t="s">
        <v>146</v>
      </c>
      <c r="P94" s="4" t="s">
        <v>187</v>
      </c>
      <c r="Q94" t="s">
        <v>188</v>
      </c>
    </row>
    <row r="95" spans="12:17" ht="16" x14ac:dyDescent="0.2">
      <c r="L95" t="s">
        <v>275</v>
      </c>
      <c r="M95" s="4" t="s">
        <v>15</v>
      </c>
      <c r="N95" t="s">
        <v>186</v>
      </c>
      <c r="O95" t="s">
        <v>146</v>
      </c>
      <c r="P95" s="4" t="s">
        <v>187</v>
      </c>
      <c r="Q95" t="s">
        <v>188</v>
      </c>
    </row>
    <row r="96" spans="12:17" ht="16" x14ac:dyDescent="0.2">
      <c r="L96" t="s">
        <v>276</v>
      </c>
      <c r="M96" s="4" t="s">
        <v>15</v>
      </c>
      <c r="N96" t="s">
        <v>186</v>
      </c>
      <c r="O96" t="s">
        <v>146</v>
      </c>
      <c r="P96" s="4" t="s">
        <v>187</v>
      </c>
      <c r="Q96" t="s">
        <v>188</v>
      </c>
    </row>
    <row r="97" spans="12:17" ht="16" x14ac:dyDescent="0.2">
      <c r="L97" t="s">
        <v>277</v>
      </c>
      <c r="M97" s="4" t="s">
        <v>15</v>
      </c>
      <c r="N97" t="s">
        <v>186</v>
      </c>
      <c r="O97" t="s">
        <v>146</v>
      </c>
      <c r="P97" s="4" t="s">
        <v>187</v>
      </c>
      <c r="Q97" t="s">
        <v>188</v>
      </c>
    </row>
    <row r="98" spans="12:17" ht="16" x14ac:dyDescent="0.2">
      <c r="L98" t="s">
        <v>278</v>
      </c>
      <c r="M98" s="4" t="s">
        <v>15</v>
      </c>
      <c r="N98" t="s">
        <v>186</v>
      </c>
      <c r="O98" t="s">
        <v>146</v>
      </c>
      <c r="P98" s="4" t="s">
        <v>187</v>
      </c>
      <c r="Q98" t="s">
        <v>188</v>
      </c>
    </row>
    <row r="99" spans="12:17" ht="16" x14ac:dyDescent="0.2">
      <c r="L99" t="s">
        <v>279</v>
      </c>
      <c r="M99" s="4" t="s">
        <v>15</v>
      </c>
      <c r="N99" t="s">
        <v>186</v>
      </c>
      <c r="O99" t="s">
        <v>146</v>
      </c>
      <c r="P99" s="4" t="s">
        <v>187</v>
      </c>
      <c r="Q99" t="s">
        <v>188</v>
      </c>
    </row>
    <row r="100" spans="12:17" ht="16" x14ac:dyDescent="0.2">
      <c r="L100" t="s">
        <v>280</v>
      </c>
      <c r="M100" s="4" t="s">
        <v>15</v>
      </c>
      <c r="N100" t="s">
        <v>186</v>
      </c>
      <c r="O100" t="s">
        <v>146</v>
      </c>
      <c r="P100" s="4" t="s">
        <v>187</v>
      </c>
      <c r="Q100" t="s">
        <v>188</v>
      </c>
    </row>
    <row r="101" spans="12:17" ht="16" x14ac:dyDescent="0.2">
      <c r="L101" t="s">
        <v>281</v>
      </c>
      <c r="M101" s="4" t="s">
        <v>15</v>
      </c>
      <c r="N101" t="s">
        <v>186</v>
      </c>
      <c r="O101" t="s">
        <v>146</v>
      </c>
      <c r="P101" s="4" t="s">
        <v>187</v>
      </c>
      <c r="Q101" t="s">
        <v>188</v>
      </c>
    </row>
    <row r="102" spans="12:17" ht="16" x14ac:dyDescent="0.2">
      <c r="L102" t="s">
        <v>282</v>
      </c>
      <c r="M102" s="4" t="s">
        <v>15</v>
      </c>
      <c r="N102" t="s">
        <v>186</v>
      </c>
      <c r="O102" t="s">
        <v>146</v>
      </c>
      <c r="P102" s="4" t="s">
        <v>187</v>
      </c>
      <c r="Q102" t="s">
        <v>188</v>
      </c>
    </row>
    <row r="103" spans="12:17" ht="16" x14ac:dyDescent="0.2">
      <c r="L103" t="s">
        <v>283</v>
      </c>
      <c r="M103" s="4" t="s">
        <v>15</v>
      </c>
      <c r="N103" t="s">
        <v>186</v>
      </c>
      <c r="O103" t="s">
        <v>146</v>
      </c>
      <c r="P103" s="4" t="s">
        <v>187</v>
      </c>
      <c r="Q103" t="s">
        <v>188</v>
      </c>
    </row>
    <row r="104" spans="12:17" ht="16" x14ac:dyDescent="0.2">
      <c r="L104" t="s">
        <v>284</v>
      </c>
      <c r="M104" s="4" t="s">
        <v>15</v>
      </c>
      <c r="N104" t="s">
        <v>186</v>
      </c>
      <c r="O104" t="s">
        <v>146</v>
      </c>
      <c r="P104" s="4" t="s">
        <v>187</v>
      </c>
      <c r="Q104" t="s">
        <v>188</v>
      </c>
    </row>
    <row r="105" spans="12:17" ht="16" x14ac:dyDescent="0.2">
      <c r="L105" t="s">
        <v>16</v>
      </c>
      <c r="M105" s="4" t="s">
        <v>16</v>
      </c>
      <c r="N105" t="s">
        <v>190</v>
      </c>
      <c r="O105" t="s">
        <v>144</v>
      </c>
      <c r="P105" t="s">
        <v>191</v>
      </c>
      <c r="Q105" t="s">
        <v>188</v>
      </c>
    </row>
    <row r="106" spans="12:17" ht="16" x14ac:dyDescent="0.2">
      <c r="L106" t="s">
        <v>285</v>
      </c>
      <c r="M106" s="4" t="s">
        <v>16</v>
      </c>
      <c r="N106" t="s">
        <v>190</v>
      </c>
      <c r="O106" t="s">
        <v>144</v>
      </c>
      <c r="P106" t="s">
        <v>191</v>
      </c>
      <c r="Q106" t="s">
        <v>188</v>
      </c>
    </row>
    <row r="107" spans="12:17" ht="16" x14ac:dyDescent="0.2">
      <c r="L107" t="s">
        <v>286</v>
      </c>
      <c r="M107" s="4" t="s">
        <v>16</v>
      </c>
      <c r="N107" t="s">
        <v>190</v>
      </c>
      <c r="O107" t="s">
        <v>144</v>
      </c>
      <c r="P107" t="s">
        <v>191</v>
      </c>
      <c r="Q107" t="s">
        <v>188</v>
      </c>
    </row>
    <row r="108" spans="12:17" ht="16" x14ac:dyDescent="0.2">
      <c r="L108" t="s">
        <v>287</v>
      </c>
      <c r="M108" s="4" t="s">
        <v>16</v>
      </c>
      <c r="N108" t="s">
        <v>190</v>
      </c>
      <c r="O108" t="s">
        <v>144</v>
      </c>
      <c r="P108" t="s">
        <v>191</v>
      </c>
      <c r="Q108" t="s">
        <v>188</v>
      </c>
    </row>
    <row r="109" spans="12:17" ht="16" x14ac:dyDescent="0.2">
      <c r="L109" t="s">
        <v>288</v>
      </c>
      <c r="M109" s="4" t="s">
        <v>16</v>
      </c>
      <c r="N109" t="s">
        <v>190</v>
      </c>
      <c r="O109" t="s">
        <v>144</v>
      </c>
      <c r="P109" t="s">
        <v>191</v>
      </c>
      <c r="Q109" t="s">
        <v>188</v>
      </c>
    </row>
    <row r="110" spans="12:17" ht="16" x14ac:dyDescent="0.2">
      <c r="L110" t="s">
        <v>289</v>
      </c>
      <c r="M110" s="4" t="s">
        <v>16</v>
      </c>
      <c r="N110" t="s">
        <v>190</v>
      </c>
      <c r="O110" t="s">
        <v>144</v>
      </c>
      <c r="P110" t="s">
        <v>191</v>
      </c>
      <c r="Q110" t="s">
        <v>188</v>
      </c>
    </row>
    <row r="111" spans="12:17" ht="16" x14ac:dyDescent="0.2">
      <c r="L111" t="s">
        <v>290</v>
      </c>
      <c r="M111" s="4" t="s">
        <v>16</v>
      </c>
      <c r="N111" t="s">
        <v>190</v>
      </c>
      <c r="O111" t="s">
        <v>144</v>
      </c>
      <c r="P111" t="s">
        <v>191</v>
      </c>
      <c r="Q111" t="s">
        <v>188</v>
      </c>
    </row>
    <row r="112" spans="12:17" ht="16" x14ac:dyDescent="0.2">
      <c r="L112" t="s">
        <v>291</v>
      </c>
      <c r="M112" s="4" t="s">
        <v>16</v>
      </c>
      <c r="N112" t="s">
        <v>190</v>
      </c>
      <c r="O112" t="s">
        <v>144</v>
      </c>
      <c r="P112" t="s">
        <v>191</v>
      </c>
      <c r="Q112" t="s">
        <v>188</v>
      </c>
    </row>
    <row r="113" spans="12:17" ht="16" x14ac:dyDescent="0.2">
      <c r="L113" t="s">
        <v>292</v>
      </c>
      <c r="M113" s="4" t="s">
        <v>16</v>
      </c>
      <c r="N113" t="s">
        <v>190</v>
      </c>
      <c r="O113" t="s">
        <v>144</v>
      </c>
      <c r="P113" t="s">
        <v>191</v>
      </c>
      <c r="Q113" t="s">
        <v>188</v>
      </c>
    </row>
    <row r="114" spans="12:17" ht="16" x14ac:dyDescent="0.2">
      <c r="L114" t="s">
        <v>293</v>
      </c>
      <c r="M114" s="4" t="s">
        <v>16</v>
      </c>
      <c r="N114" t="s">
        <v>190</v>
      </c>
      <c r="O114" t="s">
        <v>144</v>
      </c>
      <c r="P114" t="s">
        <v>191</v>
      </c>
      <c r="Q114" t="s">
        <v>188</v>
      </c>
    </row>
    <row r="115" spans="12:17" ht="16" x14ac:dyDescent="0.2">
      <c r="L115" t="s">
        <v>294</v>
      </c>
      <c r="M115" s="4" t="s">
        <v>16</v>
      </c>
      <c r="N115" t="s">
        <v>190</v>
      </c>
      <c r="O115" t="s">
        <v>144</v>
      </c>
      <c r="P115" t="s">
        <v>191</v>
      </c>
      <c r="Q115" t="s">
        <v>188</v>
      </c>
    </row>
    <row r="116" spans="12:17" ht="16" x14ac:dyDescent="0.2">
      <c r="L116" t="s">
        <v>295</v>
      </c>
      <c r="M116" s="4" t="s">
        <v>16</v>
      </c>
      <c r="N116" t="s">
        <v>190</v>
      </c>
      <c r="O116" t="s">
        <v>144</v>
      </c>
      <c r="P116" t="s">
        <v>191</v>
      </c>
      <c r="Q116" t="s">
        <v>188</v>
      </c>
    </row>
    <row r="117" spans="12:17" ht="16" x14ac:dyDescent="0.2">
      <c r="L117" t="s">
        <v>296</v>
      </c>
      <c r="M117" s="4" t="s">
        <v>16</v>
      </c>
      <c r="N117" t="s">
        <v>190</v>
      </c>
      <c r="O117" t="s">
        <v>144</v>
      </c>
      <c r="P117" t="s">
        <v>191</v>
      </c>
      <c r="Q117" t="s">
        <v>188</v>
      </c>
    </row>
    <row r="118" spans="12:17" ht="16" x14ac:dyDescent="0.2">
      <c r="L118" t="s">
        <v>297</v>
      </c>
      <c r="M118" s="4" t="s">
        <v>16</v>
      </c>
      <c r="N118" t="s">
        <v>190</v>
      </c>
      <c r="O118" t="s">
        <v>144</v>
      </c>
      <c r="P118" t="s">
        <v>191</v>
      </c>
      <c r="Q118" t="s">
        <v>188</v>
      </c>
    </row>
    <row r="119" spans="12:17" ht="16" x14ac:dyDescent="0.2">
      <c r="L119" t="s">
        <v>298</v>
      </c>
      <c r="M119" s="4" t="s">
        <v>16</v>
      </c>
      <c r="N119" t="s">
        <v>190</v>
      </c>
      <c r="O119" t="s">
        <v>144</v>
      </c>
      <c r="P119" t="s">
        <v>191</v>
      </c>
      <c r="Q119" t="s">
        <v>188</v>
      </c>
    </row>
    <row r="120" spans="12:17" ht="16" x14ac:dyDescent="0.2">
      <c r="L120" t="s">
        <v>299</v>
      </c>
      <c r="M120" s="4" t="s">
        <v>16</v>
      </c>
      <c r="N120" t="s">
        <v>190</v>
      </c>
      <c r="O120" t="s">
        <v>144</v>
      </c>
      <c r="P120" t="s">
        <v>191</v>
      </c>
      <c r="Q120" t="s">
        <v>188</v>
      </c>
    </row>
    <row r="121" spans="12:17" ht="16" x14ac:dyDescent="0.2">
      <c r="L121" t="s">
        <v>300</v>
      </c>
      <c r="M121" s="4" t="s">
        <v>16</v>
      </c>
      <c r="N121" t="s">
        <v>190</v>
      </c>
      <c r="O121" t="s">
        <v>144</v>
      </c>
      <c r="P121" t="s">
        <v>191</v>
      </c>
      <c r="Q121" t="s">
        <v>188</v>
      </c>
    </row>
    <row r="122" spans="12:17" ht="16" x14ac:dyDescent="0.2">
      <c r="L122" t="s">
        <v>301</v>
      </c>
      <c r="M122" s="4" t="s">
        <v>16</v>
      </c>
      <c r="N122" t="s">
        <v>190</v>
      </c>
      <c r="O122" t="s">
        <v>144</v>
      </c>
      <c r="P122" t="s">
        <v>191</v>
      </c>
      <c r="Q122" t="s">
        <v>188</v>
      </c>
    </row>
    <row r="123" spans="12:17" ht="16" x14ac:dyDescent="0.2">
      <c r="L123" t="s">
        <v>302</v>
      </c>
      <c r="M123" s="4" t="s">
        <v>16</v>
      </c>
      <c r="N123" t="s">
        <v>190</v>
      </c>
      <c r="O123" t="s">
        <v>144</v>
      </c>
      <c r="P123" t="s">
        <v>191</v>
      </c>
      <c r="Q123" t="s">
        <v>188</v>
      </c>
    </row>
    <row r="124" spans="12:17" ht="16" x14ac:dyDescent="0.2">
      <c r="L124" t="s">
        <v>303</v>
      </c>
      <c r="M124" s="4" t="s">
        <v>16</v>
      </c>
      <c r="N124" t="s">
        <v>190</v>
      </c>
      <c r="O124" t="s">
        <v>144</v>
      </c>
      <c r="P124" t="s">
        <v>191</v>
      </c>
      <c r="Q124" t="s">
        <v>188</v>
      </c>
    </row>
  </sheetData>
  <phoneticPr fontId="7" type="noConversion"/>
  <conditionalFormatting sqref="S4:X4 X5:X6 U5:V9 S5:S10 W5:W10 O5:P104 M5:M124 Q5:Q124">
    <cfRule type="expression" dxfId="1" priority="155">
      <formula>MATCH(M4,$X$24:$X$39,0)&gt;0</formula>
    </cfRule>
    <cfRule type="expression" dxfId="0" priority="156">
      <formula>MATCH(M4,$AD$42:$AD$57,0)&gt;0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Other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 Sprigg</cp:lastModifiedBy>
  <cp:revision/>
  <dcterms:created xsi:type="dcterms:W3CDTF">2024-03-04T03:28:46Z</dcterms:created>
  <dcterms:modified xsi:type="dcterms:W3CDTF">2024-06-29T15:21:35Z</dcterms:modified>
  <cp:category/>
  <cp:contentStatus/>
</cp:coreProperties>
</file>