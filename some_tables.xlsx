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stindudley/dev/cube/Alg_Slice_And_Widen_daddy/alg-slice-and-widen/"/>
    </mc:Choice>
  </mc:AlternateContent>
  <xr:revisionPtr revIDLastSave="0" documentId="13_ncr:1_{08681872-629F-0549-996A-AC3FF25BF368}" xr6:coauthVersionLast="47" xr6:coauthVersionMax="47" xr10:uidLastSave="{00000000-0000-0000-0000-000000000000}"/>
  <bookViews>
    <workbookView xWindow="0" yWindow="1400" windowWidth="32260" windowHeight="16800" xr2:uid="{00000000-000D-0000-FFFF-FFFF00000000}"/>
  </bookViews>
  <sheets>
    <sheet name="Tables" sheetId="2" r:id="rId1"/>
    <sheet name="Other Tables" sheetId="12" r:id="rId2"/>
    <sheet name="table_1" sheetId="13" r:id="rId3"/>
    <sheet name="table_2" sheetId="1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" i="14" l="1"/>
  <c r="I55" i="14" s="1" a="1"/>
  <c r="I55" i="14" s="1"/>
  <c r="A54" i="14"/>
  <c r="W54" i="14" s="1" a="1"/>
  <c r="W54" i="14" s="1"/>
  <c r="X54" i="14" s="1" a="1"/>
  <c r="X54" i="14" s="1"/>
  <c r="A53" i="14"/>
  <c r="U53" i="14" s="1" a="1"/>
  <c r="U53" i="14" s="1"/>
  <c r="V53" i="14" s="1" a="1"/>
  <c r="V53" i="14" s="1"/>
  <c r="A52" i="14"/>
  <c r="O52" i="14" s="1" a="1"/>
  <c r="O52" i="14" s="1"/>
  <c r="A51" i="14"/>
  <c r="U51" i="14" s="1" a="1"/>
  <c r="U51" i="14" s="1"/>
  <c r="V51" i="14" s="1" a="1"/>
  <c r="V51" i="14" s="1"/>
  <c r="A50" i="14"/>
  <c r="Y50" i="14" s="1" a="1"/>
  <c r="Y50" i="14" s="1"/>
  <c r="Z50" i="14" s="1" a="1"/>
  <c r="Z50" i="14" s="1"/>
  <c r="A49" i="14"/>
  <c r="U49" i="14" s="1" a="1"/>
  <c r="U49" i="14" s="1"/>
  <c r="V49" i="14" s="1" a="1"/>
  <c r="V49" i="14" s="1"/>
  <c r="A48" i="14"/>
  <c r="A47" i="14"/>
  <c r="B47" i="14" s="1" a="1"/>
  <c r="B47" i="14" s="1"/>
  <c r="I46" i="14" a="1"/>
  <c r="I46" i="14" s="1"/>
  <c r="A46" i="14"/>
  <c r="Y46" i="14" s="1" a="1"/>
  <c r="Y46" i="14" s="1"/>
  <c r="Z46" i="14" s="1" a="1"/>
  <c r="Z46" i="14" s="1"/>
  <c r="C45" i="14" a="1"/>
  <c r="C45" i="14" s="1"/>
  <c r="A45" i="14"/>
  <c r="W45" i="14" s="1" a="1"/>
  <c r="W45" i="14" s="1"/>
  <c r="X45" i="14" s="1" a="1"/>
  <c r="X45" i="14" s="1"/>
  <c r="A44" i="14"/>
  <c r="Y44" i="14" s="1" a="1"/>
  <c r="Y44" i="14" s="1"/>
  <c r="Z44" i="14" s="1" a="1"/>
  <c r="Z44" i="14" s="1"/>
  <c r="A43" i="14"/>
  <c r="I43" i="14" s="1" a="1"/>
  <c r="I43" i="14" s="1"/>
  <c r="K43" i="14" s="1" a="1"/>
  <c r="K43" i="14" s="1"/>
  <c r="A42" i="14"/>
  <c r="A41" i="14"/>
  <c r="I41" i="14" s="1" a="1"/>
  <c r="I41" i="14" s="1"/>
  <c r="A40" i="14"/>
  <c r="O40" i="14" s="1" a="1"/>
  <c r="O40" i="14" s="1"/>
  <c r="Y39" i="14" a="1"/>
  <c r="Y39" i="14" s="1"/>
  <c r="Z39" i="14" s="1" a="1"/>
  <c r="Z39" i="14" s="1"/>
  <c r="A39" i="14"/>
  <c r="U39" i="14" s="1" a="1"/>
  <c r="U39" i="14" s="1"/>
  <c r="V39" i="14" s="1" a="1"/>
  <c r="V39" i="14" s="1"/>
  <c r="I38" i="14" a="1"/>
  <c r="I38" i="14" s="1"/>
  <c r="J38" i="14" s="1" a="1"/>
  <c r="J38" i="14" s="1"/>
  <c r="A38" i="14"/>
  <c r="C38" i="14" s="1" a="1"/>
  <c r="C38" i="14" s="1"/>
  <c r="E38" i="14" s="1" a="1"/>
  <c r="E38" i="14" s="1"/>
  <c r="A37" i="14"/>
  <c r="W37" i="14" s="1" a="1"/>
  <c r="W37" i="14" s="1"/>
  <c r="X37" i="14" s="1" a="1"/>
  <c r="X37" i="14" s="1"/>
  <c r="Y36" i="14" a="1"/>
  <c r="Y36" i="14" s="1"/>
  <c r="Z36" i="14" s="1" a="1"/>
  <c r="Z36" i="14" s="1"/>
  <c r="A36" i="14"/>
  <c r="O36" i="14" s="1" a="1"/>
  <c r="O36" i="14" s="1"/>
  <c r="A35" i="14"/>
  <c r="U35" i="14" s="1" a="1"/>
  <c r="U35" i="14" s="1"/>
  <c r="V35" i="14" s="1" a="1"/>
  <c r="V35" i="14" s="1"/>
  <c r="A34" i="14"/>
  <c r="I34" i="14" s="1" a="1"/>
  <c r="I34" i="14" s="1"/>
  <c r="A33" i="14"/>
  <c r="W33" i="14" s="1" a="1"/>
  <c r="W33" i="14" s="1"/>
  <c r="X33" i="14" s="1" a="1"/>
  <c r="X33" i="14" s="1"/>
  <c r="O32" i="14" a="1"/>
  <c r="O32" i="14" s="1"/>
  <c r="A32" i="14"/>
  <c r="Y32" i="14" s="1" a="1"/>
  <c r="Y32" i="14" s="1"/>
  <c r="Z32" i="14" s="1" a="1"/>
  <c r="Z32" i="14" s="1"/>
  <c r="A31" i="14"/>
  <c r="A30" i="14"/>
  <c r="I30" i="14" s="1" a="1"/>
  <c r="I30" i="14" s="1"/>
  <c r="A29" i="14"/>
  <c r="A28" i="14"/>
  <c r="Y28" i="14" s="1" a="1"/>
  <c r="Y28" i="14" s="1"/>
  <c r="Z28" i="14" s="1" a="1"/>
  <c r="Z28" i="14" s="1"/>
  <c r="A27" i="14"/>
  <c r="O27" i="14" s="1" a="1"/>
  <c r="O27" i="14" s="1"/>
  <c r="A26" i="14"/>
  <c r="C26" i="14" s="1" a="1"/>
  <c r="C26" i="14" s="1"/>
  <c r="A25" i="14"/>
  <c r="U25" i="14" s="1" a="1"/>
  <c r="U25" i="14" s="1"/>
  <c r="V25" i="14" s="1" a="1"/>
  <c r="V25" i="14" s="1"/>
  <c r="A24" i="14"/>
  <c r="Y24" i="14" s="1" a="1"/>
  <c r="Y24" i="14" s="1"/>
  <c r="Z24" i="14" s="1" a="1"/>
  <c r="Z24" i="14" s="1"/>
  <c r="A23" i="14"/>
  <c r="W23" i="14" s="1" a="1"/>
  <c r="W23" i="14" s="1"/>
  <c r="X23" i="14" s="1" a="1"/>
  <c r="X23" i="14" s="1"/>
  <c r="A22" i="14"/>
  <c r="O22" i="14" s="1" a="1"/>
  <c r="O22" i="14" s="1"/>
  <c r="P22" i="14" s="1" a="1"/>
  <c r="P22" i="14" s="1"/>
  <c r="A21" i="14"/>
  <c r="O21" i="14" s="1" a="1"/>
  <c r="O21" i="14" s="1"/>
  <c r="P21" i="14" s="1" a="1"/>
  <c r="P21" i="14" s="1"/>
  <c r="W20" i="14" a="1"/>
  <c r="W20" i="14" s="1"/>
  <c r="X20" i="14" s="1" a="1"/>
  <c r="X20" i="14" s="1"/>
  <c r="A20" i="14"/>
  <c r="Y20" i="14" s="1" a="1"/>
  <c r="Y20" i="14" s="1"/>
  <c r="Z20" i="14" s="1" a="1"/>
  <c r="Z20" i="14" s="1"/>
  <c r="A19" i="14"/>
  <c r="C19" i="14" s="1" a="1"/>
  <c r="C19" i="14" s="1"/>
  <c r="E19" i="14" s="1" a="1"/>
  <c r="E19" i="14" s="1"/>
  <c r="A18" i="14"/>
  <c r="O18" i="14" s="1" a="1"/>
  <c r="O18" i="14" s="1"/>
  <c r="A17" i="14"/>
  <c r="I17" i="14" s="1" a="1"/>
  <c r="I17" i="14" s="1"/>
  <c r="A16" i="14"/>
  <c r="Y16" i="14" s="1" a="1"/>
  <c r="Y16" i="14" s="1"/>
  <c r="Z16" i="14" s="1" a="1"/>
  <c r="Z16" i="14" s="1"/>
  <c r="A15" i="14"/>
  <c r="Y15" i="14" s="1" a="1"/>
  <c r="Y15" i="14" s="1"/>
  <c r="Z15" i="14" s="1" a="1"/>
  <c r="Z15" i="14" s="1"/>
  <c r="A14" i="14"/>
  <c r="A13" i="14"/>
  <c r="B13" i="14" s="1" a="1"/>
  <c r="B13" i="14" s="1"/>
  <c r="A12" i="14"/>
  <c r="Y12" i="14" s="1" a="1"/>
  <c r="Y12" i="14" s="1"/>
  <c r="Z12" i="14" s="1" a="1"/>
  <c r="Z12" i="14" s="1"/>
  <c r="A11" i="14"/>
  <c r="B11" i="14" s="1" a="1"/>
  <c r="B11" i="14" s="1"/>
  <c r="A10" i="14"/>
  <c r="Y10" i="14" s="1" a="1"/>
  <c r="Y10" i="14" s="1"/>
  <c r="Z10" i="14" s="1" a="1"/>
  <c r="Z10" i="14" s="1"/>
  <c r="A9" i="14"/>
  <c r="O9" i="14" s="1" a="1"/>
  <c r="O9" i="14" s="1"/>
  <c r="A8" i="14"/>
  <c r="Y8" i="14" s="1" a="1"/>
  <c r="Y8" i="14" s="1"/>
  <c r="Z8" i="14" s="1" a="1"/>
  <c r="Z8" i="14" s="1"/>
  <c r="A7" i="14"/>
  <c r="W7" i="14" s="1" a="1"/>
  <c r="W7" i="14" s="1"/>
  <c r="X7" i="14" s="1" a="1"/>
  <c r="X7" i="14" s="1"/>
  <c r="W6" i="14" a="1"/>
  <c r="W6" i="14" s="1"/>
  <c r="X6" i="14" s="1" a="1"/>
  <c r="X6" i="14" s="1"/>
  <c r="A6" i="14"/>
  <c r="B6" i="14" s="1" a="1"/>
  <c r="B6" i="14" s="1"/>
  <c r="A5" i="14"/>
  <c r="U5" i="14" s="1" a="1"/>
  <c r="U5" i="14" s="1"/>
  <c r="V5" i="14" s="1" a="1"/>
  <c r="V5" i="14" s="1"/>
  <c r="A4" i="14"/>
  <c r="U4" i="14" s="1" a="1"/>
  <c r="U4" i="14" s="1"/>
  <c r="V4" i="14" s="1" a="1"/>
  <c r="V4" i="14" s="1"/>
  <c r="A3" i="14"/>
  <c r="U2" i="14" a="1"/>
  <c r="U2" i="14" s="1"/>
  <c r="V2" i="14" s="1" a="1"/>
  <c r="V2" i="14" s="1"/>
  <c r="A2" i="14"/>
  <c r="B2" i="14" s="1" a="1"/>
  <c r="B2" i="14" s="1"/>
  <c r="J55" i="13"/>
  <c r="E55" i="13" a="1"/>
  <c r="E55" i="13" s="1"/>
  <c r="F55" i="13" s="1"/>
  <c r="C55" i="13"/>
  <c r="J54" i="13"/>
  <c r="H54" i="13" a="1"/>
  <c r="H54" i="13"/>
  <c r="E54" i="13" a="1"/>
  <c r="E54" i="13"/>
  <c r="F54" i="13" s="1"/>
  <c r="C54" i="13"/>
  <c r="J53" i="13"/>
  <c r="H53" i="13" a="1"/>
  <c r="H53" i="13"/>
  <c r="E53" i="13" a="1"/>
  <c r="E53" i="13" s="1"/>
  <c r="F53" i="13" s="1"/>
  <c r="C53" i="13"/>
  <c r="J52" i="13"/>
  <c r="H52" i="13" a="1"/>
  <c r="H52" i="13"/>
  <c r="E52" i="13" a="1"/>
  <c r="E52" i="13" s="1"/>
  <c r="F52" i="13" s="1"/>
  <c r="C52" i="13"/>
  <c r="J51" i="13"/>
  <c r="H51" i="13" a="1"/>
  <c r="H51" i="13" s="1"/>
  <c r="E51" i="13" a="1"/>
  <c r="E51" i="13"/>
  <c r="F51" i="13" s="1"/>
  <c r="C51" i="13"/>
  <c r="J50" i="13"/>
  <c r="H50" i="13" a="1"/>
  <c r="H50" i="13"/>
  <c r="E50" i="13" a="1"/>
  <c r="E50" i="13"/>
  <c r="F50" i="13" s="1"/>
  <c r="C50" i="13"/>
  <c r="J49" i="13"/>
  <c r="E49" i="13" a="1"/>
  <c r="E49" i="13"/>
  <c r="F49" i="13" s="1"/>
  <c r="C49" i="13"/>
  <c r="J48" i="13"/>
  <c r="H48" i="13" a="1"/>
  <c r="H48" i="13"/>
  <c r="E48" i="13" a="1"/>
  <c r="E48" i="13" s="1"/>
  <c r="F48" i="13" s="1"/>
  <c r="C48" i="13"/>
  <c r="J47" i="13"/>
  <c r="H47" i="13" a="1"/>
  <c r="H47" i="13"/>
  <c r="E47" i="13" a="1"/>
  <c r="E47" i="13"/>
  <c r="F47" i="13" s="1"/>
  <c r="C47" i="13"/>
  <c r="J46" i="13"/>
  <c r="H46" i="13" a="1"/>
  <c r="H46" i="13"/>
  <c r="E46" i="13" a="1"/>
  <c r="E46" i="13"/>
  <c r="F46" i="13" s="1"/>
  <c r="C46" i="13"/>
  <c r="J45" i="13"/>
  <c r="H45" i="13" a="1"/>
  <c r="H45" i="13"/>
  <c r="E45" i="13" a="1"/>
  <c r="E45" i="13"/>
  <c r="F45" i="13" s="1"/>
  <c r="C45" i="13"/>
  <c r="J44" i="13"/>
  <c r="H44" i="13" a="1"/>
  <c r="H44" i="13" s="1"/>
  <c r="E44" i="13" a="1"/>
  <c r="E44" i="13"/>
  <c r="F44" i="13" s="1"/>
  <c r="C44" i="13"/>
  <c r="J43" i="13"/>
  <c r="E43" i="13" a="1"/>
  <c r="E43" i="13"/>
  <c r="F43" i="13" s="1"/>
  <c r="C43" i="13"/>
  <c r="J42" i="13"/>
  <c r="H42" i="13" a="1"/>
  <c r="H42" i="13" s="1"/>
  <c r="E42" i="13" a="1"/>
  <c r="E42" i="13"/>
  <c r="F42" i="13" s="1"/>
  <c r="C42" i="13"/>
  <c r="J41" i="13"/>
  <c r="H41" i="13" a="1"/>
  <c r="H41" i="13"/>
  <c r="F41" i="13"/>
  <c r="E41" i="13" a="1"/>
  <c r="E41" i="13"/>
  <c r="C41" i="13"/>
  <c r="J40" i="13"/>
  <c r="H40" i="13" a="1"/>
  <c r="H40" i="13" s="1"/>
  <c r="E40" i="13" a="1"/>
  <c r="E40" i="13"/>
  <c r="F40" i="13" s="1"/>
  <c r="C40" i="13"/>
  <c r="J39" i="13"/>
  <c r="H39" i="13" a="1"/>
  <c r="H39" i="13" s="1"/>
  <c r="E39" i="13" a="1"/>
  <c r="E39" i="13" s="1"/>
  <c r="F39" i="13" s="1"/>
  <c r="C39" i="13"/>
  <c r="J38" i="13"/>
  <c r="H38" i="13" a="1"/>
  <c r="H38" i="13"/>
  <c r="E38" i="13" a="1"/>
  <c r="E38" i="13"/>
  <c r="F38" i="13" s="1"/>
  <c r="C38" i="13"/>
  <c r="J37" i="13"/>
  <c r="E37" i="13" a="1"/>
  <c r="E37" i="13" s="1"/>
  <c r="F37" i="13" s="1"/>
  <c r="C37" i="13"/>
  <c r="J36" i="13"/>
  <c r="H36" i="13" a="1"/>
  <c r="H36" i="13"/>
  <c r="E36" i="13" a="1"/>
  <c r="E36" i="13"/>
  <c r="F36" i="13" s="1"/>
  <c r="C36" i="13"/>
  <c r="J35" i="13"/>
  <c r="H35" i="13" a="1"/>
  <c r="H35" i="13"/>
  <c r="E35" i="13" a="1"/>
  <c r="E35" i="13" s="1"/>
  <c r="F35" i="13" s="1"/>
  <c r="C35" i="13"/>
  <c r="J34" i="13"/>
  <c r="H34" i="13" a="1"/>
  <c r="H34" i="13"/>
  <c r="E34" i="13" a="1"/>
  <c r="E34" i="13" s="1"/>
  <c r="F34" i="13" s="1"/>
  <c r="C34" i="13"/>
  <c r="J33" i="13"/>
  <c r="H33" i="13" a="1"/>
  <c r="H33" i="13"/>
  <c r="E33" i="13" a="1"/>
  <c r="E33" i="13"/>
  <c r="F33" i="13" s="1"/>
  <c r="C33" i="13"/>
  <c r="J32" i="13"/>
  <c r="H32" i="13" a="1"/>
  <c r="H32" i="13"/>
  <c r="E32" i="13" a="1"/>
  <c r="E32" i="13"/>
  <c r="F32" i="13" s="1"/>
  <c r="C32" i="13"/>
  <c r="J31" i="13"/>
  <c r="E31" i="13" a="1"/>
  <c r="E31" i="13"/>
  <c r="F31" i="13" s="1"/>
  <c r="C31" i="13"/>
  <c r="J30" i="13"/>
  <c r="H30" i="13" a="1"/>
  <c r="H30" i="13"/>
  <c r="E30" i="13" a="1"/>
  <c r="E30" i="13"/>
  <c r="F30" i="13" s="1"/>
  <c r="C30" i="13"/>
  <c r="J29" i="13"/>
  <c r="H29" i="13" a="1"/>
  <c r="H29" i="13"/>
  <c r="E29" i="13" a="1"/>
  <c r="E29" i="13"/>
  <c r="F29" i="13" s="1"/>
  <c r="C29" i="13"/>
  <c r="J28" i="13"/>
  <c r="H28" i="13" a="1"/>
  <c r="H28" i="13"/>
  <c r="F28" i="13"/>
  <c r="E28" i="13" a="1"/>
  <c r="E28" i="13"/>
  <c r="C28" i="13"/>
  <c r="J27" i="13"/>
  <c r="H27" i="13" a="1"/>
  <c r="H27" i="13"/>
  <c r="E27" i="13" a="1"/>
  <c r="E27" i="13"/>
  <c r="F27" i="13" s="1"/>
  <c r="C27" i="13"/>
  <c r="J26" i="13"/>
  <c r="H26" i="13" a="1"/>
  <c r="H26" i="13" s="1"/>
  <c r="E26" i="13" a="1"/>
  <c r="E26" i="13"/>
  <c r="F26" i="13" s="1"/>
  <c r="C26" i="13"/>
  <c r="J25" i="13"/>
  <c r="E25" i="13" a="1"/>
  <c r="E25" i="13"/>
  <c r="F25" i="13" s="1"/>
  <c r="C25" i="13"/>
  <c r="J24" i="13"/>
  <c r="H24" i="13" a="1"/>
  <c r="H24" i="13" s="1"/>
  <c r="E24" i="13" a="1"/>
  <c r="E24" i="13"/>
  <c r="F24" i="13" s="1"/>
  <c r="C24" i="13"/>
  <c r="J23" i="13"/>
  <c r="H23" i="13" a="1"/>
  <c r="H23" i="13"/>
  <c r="F23" i="13"/>
  <c r="E23" i="13" a="1"/>
  <c r="E23" i="13"/>
  <c r="C23" i="13"/>
  <c r="J22" i="13"/>
  <c r="H22" i="13" a="1"/>
  <c r="H22" i="13" s="1"/>
  <c r="E22" i="13" a="1"/>
  <c r="E22" i="13"/>
  <c r="F22" i="13" s="1"/>
  <c r="C22" i="13"/>
  <c r="J21" i="13"/>
  <c r="H21" i="13" a="1"/>
  <c r="H21" i="13" s="1"/>
  <c r="E21" i="13" a="1"/>
  <c r="E21" i="13" s="1"/>
  <c r="F21" i="13" s="1"/>
  <c r="C21" i="13"/>
  <c r="J20" i="13"/>
  <c r="H20" i="13" a="1"/>
  <c r="H20" i="13"/>
  <c r="E20" i="13" a="1"/>
  <c r="E20" i="13"/>
  <c r="F20" i="13" s="1"/>
  <c r="C20" i="13"/>
  <c r="J19" i="13"/>
  <c r="E19" i="13" a="1"/>
  <c r="E19" i="13" s="1"/>
  <c r="F19" i="13" s="1"/>
  <c r="C19" i="13"/>
  <c r="J18" i="13"/>
  <c r="H18" i="13" a="1"/>
  <c r="H18" i="13"/>
  <c r="E18" i="13" a="1"/>
  <c r="E18" i="13"/>
  <c r="F18" i="13" s="1"/>
  <c r="C18" i="13"/>
  <c r="J17" i="13"/>
  <c r="H17" i="13" a="1"/>
  <c r="H17" i="13"/>
  <c r="E17" i="13" a="1"/>
  <c r="E17" i="13" s="1"/>
  <c r="F17" i="13" s="1"/>
  <c r="C17" i="13"/>
  <c r="J16" i="13"/>
  <c r="H16" i="13" a="1"/>
  <c r="H16" i="13"/>
  <c r="E16" i="13" a="1"/>
  <c r="E16" i="13" s="1"/>
  <c r="F16" i="13" s="1"/>
  <c r="C16" i="13"/>
  <c r="J15" i="13"/>
  <c r="H15" i="13" a="1"/>
  <c r="H15" i="13"/>
  <c r="E15" i="13" a="1"/>
  <c r="E15" i="13"/>
  <c r="F15" i="13" s="1"/>
  <c r="C15" i="13"/>
  <c r="J14" i="13"/>
  <c r="H14" i="13" a="1"/>
  <c r="H14" i="13"/>
  <c r="E14" i="13" a="1"/>
  <c r="E14" i="13"/>
  <c r="F14" i="13" s="1"/>
  <c r="C14" i="13"/>
  <c r="J13" i="13"/>
  <c r="E13" i="13" a="1"/>
  <c r="E13" i="13"/>
  <c r="F13" i="13" s="1"/>
  <c r="C13" i="13"/>
  <c r="J12" i="13"/>
  <c r="H12" i="13" a="1"/>
  <c r="H12" i="13"/>
  <c r="E12" i="13" a="1"/>
  <c r="E12" i="13"/>
  <c r="F12" i="13" s="1"/>
  <c r="C12" i="13"/>
  <c r="J11" i="13"/>
  <c r="H11" i="13" a="1"/>
  <c r="H11" i="13"/>
  <c r="E11" i="13" a="1"/>
  <c r="E11" i="13"/>
  <c r="F11" i="13" s="1"/>
  <c r="C11" i="13"/>
  <c r="J10" i="13"/>
  <c r="H10" i="13" a="1"/>
  <c r="H10" i="13"/>
  <c r="F10" i="13"/>
  <c r="E10" i="13" a="1"/>
  <c r="E10" i="13"/>
  <c r="C10" i="13"/>
  <c r="J9" i="13"/>
  <c r="H9" i="13" a="1"/>
  <c r="H9" i="13"/>
  <c r="E9" i="13" a="1"/>
  <c r="E9" i="13"/>
  <c r="F9" i="13" s="1"/>
  <c r="C9" i="13"/>
  <c r="J8" i="13"/>
  <c r="H8" i="13" a="1"/>
  <c r="H8" i="13" s="1"/>
  <c r="E8" i="13" a="1"/>
  <c r="E8" i="13"/>
  <c r="F8" i="13" s="1"/>
  <c r="C8" i="13"/>
  <c r="J7" i="13"/>
  <c r="E7" i="13" a="1"/>
  <c r="E7" i="13"/>
  <c r="F7" i="13" s="1"/>
  <c r="C7" i="13"/>
  <c r="J6" i="13"/>
  <c r="H6" i="13" a="1"/>
  <c r="H6" i="13" s="1"/>
  <c r="E6" i="13" a="1"/>
  <c r="E6" i="13"/>
  <c r="F6" i="13" s="1"/>
  <c r="C6" i="13"/>
  <c r="J5" i="13"/>
  <c r="H5" i="13" a="1"/>
  <c r="H5" i="13"/>
  <c r="F5" i="13"/>
  <c r="E5" i="13" a="1"/>
  <c r="E5" i="13"/>
  <c r="C5" i="13"/>
  <c r="J4" i="13"/>
  <c r="H4" i="13" a="1"/>
  <c r="H4" i="13" s="1"/>
  <c r="E4" i="13" a="1"/>
  <c r="E4" i="13"/>
  <c r="F4" i="13" s="1"/>
  <c r="C4" i="13"/>
  <c r="J3" i="13"/>
  <c r="H3" i="13" a="1"/>
  <c r="H3" i="13" s="1"/>
  <c r="E3" i="13" a="1"/>
  <c r="E3" i="13" s="1"/>
  <c r="F3" i="13" s="1"/>
  <c r="C3" i="13"/>
  <c r="J2" i="13"/>
  <c r="H2" i="13" a="1"/>
  <c r="H2" i="13"/>
  <c r="E2" i="13" a="1"/>
  <c r="E2" i="13"/>
  <c r="F2" i="13" s="1"/>
  <c r="C2" i="13"/>
  <c r="AC6" i="12"/>
  <c r="AC7" i="12"/>
  <c r="AC8" i="12"/>
  <c r="AC9" i="12"/>
  <c r="AC10" i="12"/>
  <c r="AC11" i="12"/>
  <c r="AC12" i="12"/>
  <c r="AC13" i="12"/>
  <c r="AC17" i="12"/>
  <c r="AC18" i="12"/>
  <c r="AC19" i="12"/>
  <c r="AC14" i="12"/>
  <c r="AC15" i="12"/>
  <c r="AC16" i="12"/>
  <c r="AC21" i="12"/>
  <c r="AC22" i="12"/>
  <c r="AC23" i="12"/>
  <c r="AC24" i="12"/>
  <c r="AC25" i="12"/>
  <c r="AC26" i="12"/>
  <c r="AC5" i="12"/>
  <c r="AC20" i="12"/>
  <c r="G5" i="12" a="1"/>
  <c r="G5" i="12" s="1"/>
  <c r="G6" i="12" a="1"/>
  <c r="G6" i="12" s="1"/>
  <c r="G8" i="12" a="1"/>
  <c r="G8" i="12" s="1"/>
  <c r="G9" i="12" a="1"/>
  <c r="G9" i="12" s="1"/>
  <c r="G11" i="12" a="1"/>
  <c r="G11" i="12" s="1"/>
  <c r="G12" i="12" a="1"/>
  <c r="G12" i="12" s="1"/>
  <c r="G14" i="12" a="1"/>
  <c r="G14" i="12" s="1"/>
  <c r="G15" i="12" a="1"/>
  <c r="G15" i="12" s="1"/>
  <c r="G17" i="12" a="1"/>
  <c r="G17" i="12" s="1"/>
  <c r="G18" i="12" a="1"/>
  <c r="G18" i="12" s="1"/>
  <c r="G20" i="12" a="1"/>
  <c r="G20" i="12" s="1"/>
  <c r="G21" i="12" a="1"/>
  <c r="G21" i="12" s="1"/>
  <c r="G23" i="12" a="1"/>
  <c r="G23" i="12" s="1"/>
  <c r="G27" i="12" a="1"/>
  <c r="G27" i="12" s="1"/>
  <c r="G29" i="12" a="1"/>
  <c r="G29" i="12" s="1"/>
  <c r="G33" i="12" a="1"/>
  <c r="G33" i="12" s="1"/>
  <c r="G35" i="12" a="1"/>
  <c r="G35" i="12" s="1"/>
  <c r="G39" i="12" a="1"/>
  <c r="G39" i="12" s="1"/>
  <c r="G41" i="12" a="1"/>
  <c r="G41" i="12" s="1"/>
  <c r="G45" i="12" a="1"/>
  <c r="G45" i="12" s="1"/>
  <c r="G47" i="12" a="1"/>
  <c r="G47" i="12" s="1"/>
  <c r="G51" i="12" a="1"/>
  <c r="G51" i="12" s="1"/>
  <c r="G53" i="12" a="1"/>
  <c r="G53" i="12" s="1"/>
  <c r="G57" i="12" a="1"/>
  <c r="G57" i="12" s="1"/>
  <c r="I26" i="14" l="1" a="1"/>
  <c r="I26" i="14" s="1"/>
  <c r="O34" i="14" a="1"/>
  <c r="O34" i="14" s="1"/>
  <c r="U27" i="14" a="1"/>
  <c r="U27" i="14" s="1"/>
  <c r="V27" i="14" s="1" a="1"/>
  <c r="V27" i="14" s="1"/>
  <c r="B50" i="14" a="1"/>
  <c r="B50" i="14" s="1"/>
  <c r="Y11" i="14" a="1"/>
  <c r="Y11" i="14" s="1"/>
  <c r="Z11" i="14" s="1" a="1"/>
  <c r="Z11" i="14" s="1"/>
  <c r="I20" i="14" a="1"/>
  <c r="I20" i="14" s="1"/>
  <c r="K20" i="14" s="1" a="1"/>
  <c r="K20" i="14" s="1"/>
  <c r="W27" i="14" a="1"/>
  <c r="W27" i="14" s="1"/>
  <c r="X27" i="14" s="1" a="1"/>
  <c r="X27" i="14" s="1"/>
  <c r="U36" i="14" a="1"/>
  <c r="U36" i="14" s="1"/>
  <c r="V36" i="14" s="1" a="1"/>
  <c r="V36" i="14" s="1"/>
  <c r="O43" i="14" a="1"/>
  <c r="O43" i="14" s="1"/>
  <c r="U17" i="14" a="1"/>
  <c r="U17" i="14" s="1"/>
  <c r="V17" i="14" s="1" a="1"/>
  <c r="V17" i="14" s="1"/>
  <c r="B46" i="14" a="1"/>
  <c r="B46" i="14" s="1"/>
  <c r="C16" i="14" a="1"/>
  <c r="C16" i="14" s="1"/>
  <c r="E16" i="14" s="1" a="1"/>
  <c r="E16" i="14" s="1"/>
  <c r="O20" i="14" a="1"/>
  <c r="O20" i="14" s="1"/>
  <c r="B32" i="14" a="1"/>
  <c r="B32" i="14" s="1"/>
  <c r="I7" i="14" a="1"/>
  <c r="I7" i="14" s="1"/>
  <c r="K7" i="14" s="1" a="1"/>
  <c r="K7" i="14" s="1"/>
  <c r="I12" i="14" a="1"/>
  <c r="I12" i="14" s="1"/>
  <c r="I32" i="14" a="1"/>
  <c r="I32" i="14" s="1"/>
  <c r="I36" i="14" a="1"/>
  <c r="I36" i="14" s="1"/>
  <c r="U45" i="14" a="1"/>
  <c r="U45" i="14" s="1"/>
  <c r="V45" i="14" s="1" a="1"/>
  <c r="V45" i="14" s="1"/>
  <c r="U32" i="14" a="1"/>
  <c r="U32" i="14" s="1"/>
  <c r="V32" i="14" s="1" a="1"/>
  <c r="V32" i="14" s="1"/>
  <c r="W32" i="14" a="1"/>
  <c r="W32" i="14" s="1"/>
  <c r="X32" i="14" s="1" a="1"/>
  <c r="X32" i="14" s="1"/>
  <c r="I5" i="14" a="1"/>
  <c r="I5" i="14" s="1"/>
  <c r="K5" i="14" s="1" a="1"/>
  <c r="K5" i="14" s="1"/>
  <c r="O13" i="14" a="1"/>
  <c r="O13" i="14" s="1"/>
  <c r="U22" i="14" a="1"/>
  <c r="U22" i="14" s="1"/>
  <c r="V22" i="14" s="1" a="1"/>
  <c r="V22" i="14" s="1"/>
  <c r="I28" i="14" a="1"/>
  <c r="I28" i="14" s="1"/>
  <c r="I37" i="14" a="1"/>
  <c r="I37" i="14" s="1"/>
  <c r="J43" i="14" a="1"/>
  <c r="J43" i="14" s="1"/>
  <c r="O46" i="14" a="1"/>
  <c r="O46" i="14" s="1"/>
  <c r="Q46" i="14" s="1" a="1"/>
  <c r="Q46" i="14" s="1"/>
  <c r="C13" i="14" a="1"/>
  <c r="C13" i="14" s="1"/>
  <c r="C11" i="14" a="1"/>
  <c r="C11" i="14" s="1"/>
  <c r="E11" i="14" s="1" a="1"/>
  <c r="E11" i="14" s="1"/>
  <c r="G11" i="14" s="1" a="1"/>
  <c r="G11" i="14" s="1"/>
  <c r="H11" i="14" s="1" a="1"/>
  <c r="H11" i="14" s="1"/>
  <c r="B20" i="14" a="1"/>
  <c r="B20" i="14" s="1"/>
  <c r="B33" i="14" a="1"/>
  <c r="B33" i="14" s="1"/>
  <c r="W43" i="14" a="1"/>
  <c r="W43" i="14" s="1"/>
  <c r="X43" i="14" s="1" a="1"/>
  <c r="X43" i="14" s="1"/>
  <c r="C47" i="14" a="1"/>
  <c r="C47" i="14" s="1"/>
  <c r="E47" i="14" s="1" a="1"/>
  <c r="E47" i="14" s="1"/>
  <c r="Y9" i="14" a="1"/>
  <c r="Y9" i="14" s="1"/>
  <c r="Z9" i="14" s="1" a="1"/>
  <c r="Z9" i="14" s="1"/>
  <c r="O33" i="14" a="1"/>
  <c r="O33" i="14" s="1"/>
  <c r="Q33" i="14" s="1" a="1"/>
  <c r="Q33" i="14" s="1"/>
  <c r="I47" i="14" a="1"/>
  <c r="I47" i="14" s="1"/>
  <c r="U28" i="14" a="1"/>
  <c r="U28" i="14" s="1"/>
  <c r="V28" i="14" s="1" a="1"/>
  <c r="V28" i="14" s="1"/>
  <c r="O11" i="14" a="1"/>
  <c r="O11" i="14" s="1"/>
  <c r="P11" i="14" s="1" a="1"/>
  <c r="P11" i="14" s="1"/>
  <c r="W13" i="14" a="1"/>
  <c r="W13" i="14" s="1"/>
  <c r="X13" i="14" s="1" a="1"/>
  <c r="X13" i="14" s="1"/>
  <c r="I6" i="14" a="1"/>
  <c r="I6" i="14" s="1"/>
  <c r="K6" i="14" s="1" a="1"/>
  <c r="K6" i="14" s="1"/>
  <c r="L6" i="14" s="1" a="1"/>
  <c r="L6" i="14" s="1"/>
  <c r="U11" i="14" a="1"/>
  <c r="U11" i="14" s="1"/>
  <c r="V11" i="14" s="1" a="1"/>
  <c r="V11" i="14" s="1"/>
  <c r="C20" i="14" a="1"/>
  <c r="C20" i="14" s="1"/>
  <c r="O30" i="14" a="1"/>
  <c r="O30" i="14" s="1"/>
  <c r="Q30" i="14" s="1" a="1"/>
  <c r="Q30" i="14" s="1"/>
  <c r="W38" i="14" a="1"/>
  <c r="W38" i="14" s="1"/>
  <c r="X38" i="14" s="1" a="1"/>
  <c r="X38" i="14" s="1"/>
  <c r="B44" i="14" a="1"/>
  <c r="B44" i="14" s="1"/>
  <c r="W47" i="14" a="1"/>
  <c r="W47" i="14" s="1"/>
  <c r="X47" i="14" s="1" a="1"/>
  <c r="X47" i="14" s="1"/>
  <c r="O6" i="14" a="1"/>
  <c r="O6" i="14" s="1"/>
  <c r="Q6" i="14" s="1" a="1"/>
  <c r="Q6" i="14" s="1"/>
  <c r="R6" i="14" s="1" a="1"/>
  <c r="R6" i="14" s="1"/>
  <c r="O44" i="14" a="1"/>
  <c r="O44" i="14" s="1"/>
  <c r="Y47" i="14" a="1"/>
  <c r="Y47" i="14" s="1"/>
  <c r="Z47" i="14" s="1" a="1"/>
  <c r="Z47" i="14" s="1"/>
  <c r="J28" i="14" a="1"/>
  <c r="J28" i="14" s="1"/>
  <c r="K28" i="14" a="1"/>
  <c r="K28" i="14" s="1"/>
  <c r="P36" i="14" a="1"/>
  <c r="P36" i="14" s="1"/>
  <c r="Q36" i="14" a="1"/>
  <c r="Q36" i="14" s="1"/>
  <c r="J34" i="14" a="1"/>
  <c r="J34" i="14" s="1"/>
  <c r="K34" i="14" a="1"/>
  <c r="K34" i="14" s="1"/>
  <c r="L34" i="14" s="1" a="1"/>
  <c r="L34" i="14" s="1"/>
  <c r="Q44" i="14" a="1"/>
  <c r="Q44" i="14" s="1"/>
  <c r="R44" i="14" s="1" a="1"/>
  <c r="R44" i="14" s="1"/>
  <c r="P44" i="14" a="1"/>
  <c r="P44" i="14" s="1"/>
  <c r="B21" i="14" a="1"/>
  <c r="B21" i="14" s="1"/>
  <c r="I16" i="14" a="1"/>
  <c r="I16" i="14" s="1"/>
  <c r="B22" i="14" a="1"/>
  <c r="B22" i="14" s="1"/>
  <c r="B24" i="14" a="1"/>
  <c r="B24" i="14" s="1"/>
  <c r="U18" i="14" a="1"/>
  <c r="U18" i="14" s="1"/>
  <c r="V18" i="14" s="1" a="1"/>
  <c r="V18" i="14" s="1"/>
  <c r="J20" i="14" a="1"/>
  <c r="J20" i="14" s="1"/>
  <c r="C21" i="14" a="1"/>
  <c r="C21" i="14" s="1"/>
  <c r="C25" i="14" a="1"/>
  <c r="C25" i="14" s="1"/>
  <c r="Y30" i="14" a="1"/>
  <c r="Y30" i="14" s="1"/>
  <c r="Z30" i="14" s="1" a="1"/>
  <c r="Z30" i="14" s="1"/>
  <c r="W36" i="14" a="1"/>
  <c r="W36" i="14" s="1"/>
  <c r="X36" i="14" s="1" a="1"/>
  <c r="X36" i="14" s="1"/>
  <c r="Y37" i="14" a="1"/>
  <c r="Y37" i="14" s="1"/>
  <c r="Z37" i="14" s="1" a="1"/>
  <c r="Z37" i="14" s="1"/>
  <c r="I40" i="14" a="1"/>
  <c r="I40" i="14" s="1"/>
  <c r="Y45" i="14" a="1"/>
  <c r="Y45" i="14" s="1"/>
  <c r="Z45" i="14" s="1" a="1"/>
  <c r="Z45" i="14" s="1"/>
  <c r="U46" i="14" a="1"/>
  <c r="U46" i="14" s="1"/>
  <c r="V46" i="14" s="1" a="1"/>
  <c r="V46" i="14" s="1"/>
  <c r="U52" i="14" a="1"/>
  <c r="U52" i="14" s="1"/>
  <c r="V52" i="14" s="1" a="1"/>
  <c r="V52" i="14" s="1"/>
  <c r="W2" i="14" a="1"/>
  <c r="W2" i="14" s="1"/>
  <c r="X2" i="14" s="1" a="1"/>
  <c r="X2" i="14" s="1"/>
  <c r="O5" i="14" a="1"/>
  <c r="O5" i="14" s="1"/>
  <c r="Q5" i="14" s="1" a="1"/>
  <c r="Q5" i="14" s="1"/>
  <c r="R5" i="14" s="1" a="1"/>
  <c r="R5" i="14" s="1"/>
  <c r="O10" i="14" a="1"/>
  <c r="O10" i="14" s="1"/>
  <c r="Y2" i="14" a="1"/>
  <c r="Y2" i="14" s="1"/>
  <c r="Z2" i="14" s="1" a="1"/>
  <c r="Z2" i="14" s="1"/>
  <c r="I8" i="14" a="1"/>
  <c r="I8" i="14" s="1"/>
  <c r="J8" i="14" s="1" a="1"/>
  <c r="J8" i="14" s="1"/>
  <c r="B12" i="14" a="1"/>
  <c r="B12" i="14" s="1"/>
  <c r="U12" i="14" a="1"/>
  <c r="U12" i="14" s="1"/>
  <c r="V12" i="14" s="1" a="1"/>
  <c r="V12" i="14" s="1"/>
  <c r="O16" i="14" a="1"/>
  <c r="O16" i="14" s="1"/>
  <c r="P16" i="14" s="1" a="1"/>
  <c r="P16" i="14" s="1"/>
  <c r="C22" i="14" a="1"/>
  <c r="C22" i="14" s="1"/>
  <c r="D22" i="14" s="1" a="1"/>
  <c r="D22" i="14" s="1"/>
  <c r="C24" i="14" a="1"/>
  <c r="C24" i="14" s="1"/>
  <c r="E24" i="14" s="1" a="1"/>
  <c r="E24" i="14" s="1"/>
  <c r="I51" i="14" a="1"/>
  <c r="I51" i="14" s="1"/>
  <c r="K51" i="14" s="1" a="1"/>
  <c r="K51" i="14" s="1"/>
  <c r="W52" i="14" a="1"/>
  <c r="W52" i="14" s="1"/>
  <c r="X52" i="14" s="1" a="1"/>
  <c r="X52" i="14" s="1"/>
  <c r="O8" i="14" a="1"/>
  <c r="O8" i="14" s="1"/>
  <c r="Q8" i="14" s="1" a="1"/>
  <c r="Q8" i="14" s="1"/>
  <c r="W12" i="14" a="1"/>
  <c r="W12" i="14" s="1"/>
  <c r="X12" i="14" s="1" a="1"/>
  <c r="X12" i="14" s="1"/>
  <c r="I15" i="14" a="1"/>
  <c r="I15" i="14" s="1"/>
  <c r="O19" i="14" a="1"/>
  <c r="O19" i="14" s="1"/>
  <c r="I21" i="14" a="1"/>
  <c r="I21" i="14" s="1"/>
  <c r="K21" i="14" s="1" a="1"/>
  <c r="K21" i="14" s="1"/>
  <c r="I24" i="14" a="1"/>
  <c r="I24" i="14" s="1"/>
  <c r="B28" i="14" a="1"/>
  <c r="B28" i="14" s="1"/>
  <c r="O28" i="14" a="1"/>
  <c r="O28" i="14" s="1"/>
  <c r="P28" i="14" s="1" a="1"/>
  <c r="P28" i="14" s="1"/>
  <c r="I33" i="14" a="1"/>
  <c r="I33" i="14" s="1"/>
  <c r="K33" i="14" s="1" a="1"/>
  <c r="K33" i="14" s="1"/>
  <c r="B36" i="14" a="1"/>
  <c r="B36" i="14" s="1"/>
  <c r="W46" i="14" a="1"/>
  <c r="W46" i="14" s="1"/>
  <c r="X46" i="14" s="1" a="1"/>
  <c r="X46" i="14" s="1"/>
  <c r="Y52" i="14" a="1"/>
  <c r="Y52" i="14" s="1"/>
  <c r="Z52" i="14" s="1" a="1"/>
  <c r="Z52" i="14" s="1"/>
  <c r="C8" i="14" a="1"/>
  <c r="C8" i="14" s="1"/>
  <c r="I22" i="14" a="1"/>
  <c r="I22" i="14" s="1"/>
  <c r="J22" i="14" s="1" a="1"/>
  <c r="J22" i="14" s="1"/>
  <c r="M6" i="14" a="1"/>
  <c r="M6" i="14" s="1"/>
  <c r="N6" i="14" s="1" a="1"/>
  <c r="N6" i="14" s="1"/>
  <c r="C12" i="14" a="1"/>
  <c r="C12" i="14" s="1"/>
  <c r="U15" i="14" a="1"/>
  <c r="U15" i="14" s="1"/>
  <c r="V15" i="14" s="1" a="1"/>
  <c r="V15" i="14" s="1"/>
  <c r="U16" i="14" a="1"/>
  <c r="U16" i="14" s="1"/>
  <c r="V16" i="14" s="1" a="1"/>
  <c r="V16" i="14" s="1"/>
  <c r="Y19" i="14" a="1"/>
  <c r="Y19" i="14" s="1"/>
  <c r="Z19" i="14" s="1" a="1"/>
  <c r="Z19" i="14" s="1"/>
  <c r="Q21" i="14" a="1"/>
  <c r="Q21" i="14" s="1"/>
  <c r="S21" i="14" s="1" a="1"/>
  <c r="S21" i="14" s="1"/>
  <c r="T21" i="14" s="1" a="1"/>
  <c r="T21" i="14" s="1"/>
  <c r="U8" i="14" a="1"/>
  <c r="U8" i="14" s="1"/>
  <c r="V8" i="14" s="1" a="1"/>
  <c r="V8" i="14" s="1"/>
  <c r="W16" i="14" a="1"/>
  <c r="W16" i="14" s="1"/>
  <c r="X16" i="14" s="1" a="1"/>
  <c r="X16" i="14" s="1"/>
  <c r="O24" i="14" a="1"/>
  <c r="O24" i="14" s="1"/>
  <c r="P24" i="14" s="1" a="1"/>
  <c r="P24" i="14" s="1"/>
  <c r="C28" i="14" a="1"/>
  <c r="C28" i="14" s="1"/>
  <c r="W28" i="14" a="1"/>
  <c r="W28" i="14" s="1"/>
  <c r="X28" i="14" s="1" a="1"/>
  <c r="X28" i="14" s="1"/>
  <c r="C32" i="14" a="1"/>
  <c r="C32" i="14" s="1"/>
  <c r="E32" i="14" s="1" a="1"/>
  <c r="E32" i="14" s="1"/>
  <c r="U33" i="14" a="1"/>
  <c r="U33" i="14" s="1"/>
  <c r="V33" i="14" s="1" a="1"/>
  <c r="V33" i="14" s="1"/>
  <c r="B37" i="14" a="1"/>
  <c r="B37" i="14" s="1"/>
  <c r="B52" i="14" a="1"/>
  <c r="B52" i="14" s="1"/>
  <c r="B53" i="14" a="1"/>
  <c r="B53" i="14" s="1"/>
  <c r="Y25" i="14" a="1"/>
  <c r="Y25" i="14" s="1"/>
  <c r="Z25" i="14" s="1" a="1"/>
  <c r="Z25" i="14" s="1"/>
  <c r="C36" i="14" a="1"/>
  <c r="C36" i="14" s="1"/>
  <c r="E36" i="14" s="1" a="1"/>
  <c r="E36" i="14" s="1"/>
  <c r="C6" i="14" a="1"/>
  <c r="C6" i="14" s="1"/>
  <c r="E6" i="14" s="1" a="1"/>
  <c r="E6" i="14" s="1"/>
  <c r="U7" i="14" a="1"/>
  <c r="U7" i="14" s="1"/>
  <c r="V7" i="14" s="1" a="1"/>
  <c r="V7" i="14" s="1"/>
  <c r="D11" i="14" a="1"/>
  <c r="D11" i="14" s="1"/>
  <c r="U20" i="14" a="1"/>
  <c r="U20" i="14" s="1"/>
  <c r="V20" i="14" s="1" a="1"/>
  <c r="V20" i="14" s="1"/>
  <c r="U21" i="14" a="1"/>
  <c r="U21" i="14" s="1"/>
  <c r="V21" i="14" s="1" a="1"/>
  <c r="V21" i="14" s="1"/>
  <c r="U24" i="14" a="1"/>
  <c r="U24" i="14" s="1"/>
  <c r="V24" i="14" s="1" a="1"/>
  <c r="V24" i="14" s="1"/>
  <c r="C37" i="14" a="1"/>
  <c r="C37" i="14" s="1"/>
  <c r="K38" i="14" a="1"/>
  <c r="K38" i="14" s="1"/>
  <c r="W44" i="14" a="1"/>
  <c r="W44" i="14" s="1"/>
  <c r="X44" i="14" s="1" a="1"/>
  <c r="X44" i="14" s="1"/>
  <c r="C46" i="14" a="1"/>
  <c r="C46" i="14" s="1"/>
  <c r="E46" i="14" s="1" a="1"/>
  <c r="E46" i="14" s="1"/>
  <c r="B49" i="14" a="1"/>
  <c r="B49" i="14" s="1"/>
  <c r="O53" i="14" a="1"/>
  <c r="O53" i="14" s="1"/>
  <c r="Q53" i="14" s="1" a="1"/>
  <c r="Q53" i="14" s="1"/>
  <c r="W21" i="14" a="1"/>
  <c r="W21" i="14" s="1"/>
  <c r="X21" i="14" s="1" a="1"/>
  <c r="X21" i="14" s="1"/>
  <c r="C52" i="14" a="1"/>
  <c r="C52" i="14" s="1"/>
  <c r="E52" i="14" s="1" a="1"/>
  <c r="E52" i="14" s="1"/>
  <c r="W8" i="14" a="1"/>
  <c r="W8" i="14" s="1"/>
  <c r="X8" i="14" s="1" a="1"/>
  <c r="X8" i="14" s="1"/>
  <c r="Q11" i="14" a="1"/>
  <c r="Q11" i="14" s="1"/>
  <c r="S11" i="14" s="1" a="1"/>
  <c r="S11" i="14" s="1"/>
  <c r="T11" i="14" s="1" a="1"/>
  <c r="T11" i="14" s="1"/>
  <c r="B16" i="14" a="1"/>
  <c r="B16" i="14" s="1"/>
  <c r="W22" i="14" a="1"/>
  <c r="W22" i="14" s="1"/>
  <c r="X22" i="14" s="1" a="1"/>
  <c r="X22" i="14" s="1"/>
  <c r="W24" i="14" a="1"/>
  <c r="W24" i="14" s="1"/>
  <c r="X24" i="14" s="1" a="1"/>
  <c r="X24" i="14" s="1"/>
  <c r="I52" i="14" a="1"/>
  <c r="I52" i="14" s="1"/>
  <c r="J6" i="14" a="1"/>
  <c r="J6" i="14" s="1"/>
  <c r="B8" i="14" a="1"/>
  <c r="B8" i="14" s="1"/>
  <c r="U9" i="14" a="1"/>
  <c r="U9" i="14" s="1"/>
  <c r="V9" i="14" s="1" a="1"/>
  <c r="V9" i="14" s="1"/>
  <c r="O12" i="14" a="1"/>
  <c r="O12" i="14" s="1"/>
  <c r="B17" i="14" a="1"/>
  <c r="B17" i="14" s="1"/>
  <c r="Y21" i="14" a="1"/>
  <c r="Y21" i="14" s="1"/>
  <c r="Z21" i="14" s="1" a="1"/>
  <c r="Z21" i="14" s="1"/>
  <c r="Y22" i="14" a="1"/>
  <c r="Y22" i="14" s="1"/>
  <c r="Z22" i="14" s="1" a="1"/>
  <c r="Z22" i="14" s="1"/>
  <c r="O37" i="14" a="1"/>
  <c r="O37" i="14" s="1"/>
  <c r="Q37" i="14" s="1" a="1"/>
  <c r="Q37" i="14" s="1"/>
  <c r="S37" i="14" s="1" a="1"/>
  <c r="S37" i="14" s="1"/>
  <c r="T37" i="14" s="1" a="1"/>
  <c r="T37" i="14" s="1"/>
  <c r="O45" i="14" a="1"/>
  <c r="O45" i="14" s="1"/>
  <c r="M7" i="14" a="1"/>
  <c r="M7" i="14" s="1"/>
  <c r="N7" i="14" s="1" a="1"/>
  <c r="N7" i="14" s="1"/>
  <c r="L7" i="14" a="1"/>
  <c r="L7" i="14" s="1"/>
  <c r="G19" i="14" a="1"/>
  <c r="G19" i="14" s="1"/>
  <c r="H19" i="14" s="1" a="1"/>
  <c r="H19" i="14" s="1"/>
  <c r="F19" i="14" a="1"/>
  <c r="F19" i="14" s="1"/>
  <c r="P18" i="14" a="1"/>
  <c r="P18" i="14" s="1"/>
  <c r="Q18" i="14" a="1"/>
  <c r="Q18" i="14" s="1"/>
  <c r="D26" i="14" a="1"/>
  <c r="D26" i="14" s="1"/>
  <c r="E26" i="14" a="1"/>
  <c r="E26" i="14" s="1"/>
  <c r="S6" i="14" a="1"/>
  <c r="S6" i="14" s="1"/>
  <c r="T6" i="14" s="1" a="1"/>
  <c r="T6" i="14" s="1"/>
  <c r="P10" i="14" a="1"/>
  <c r="P10" i="14" s="1"/>
  <c r="Q10" i="14" a="1"/>
  <c r="Q10" i="14" s="1"/>
  <c r="K12" i="14" a="1"/>
  <c r="K12" i="14" s="1"/>
  <c r="J12" i="14" a="1"/>
  <c r="J12" i="14" s="1"/>
  <c r="Q9" i="14" a="1"/>
  <c r="Q9" i="14" s="1"/>
  <c r="P9" i="14" a="1"/>
  <c r="P9" i="14" s="1"/>
  <c r="W3" i="14" a="1"/>
  <c r="W3" i="14" s="1"/>
  <c r="X3" i="14" s="1" a="1"/>
  <c r="X3" i="14" s="1"/>
  <c r="C3" i="14" a="1"/>
  <c r="C3" i="14" s="1"/>
  <c r="O3" i="14" a="1"/>
  <c r="O3" i="14" s="1"/>
  <c r="B3" i="14" a="1"/>
  <c r="B3" i="14" s="1"/>
  <c r="I3" i="14" a="1"/>
  <c r="I3" i="14" s="1"/>
  <c r="D16" i="14" a="1"/>
  <c r="D16" i="14" s="1"/>
  <c r="J17" i="14" a="1"/>
  <c r="J17" i="14" s="1"/>
  <c r="K17" i="14" a="1"/>
  <c r="K17" i="14" s="1"/>
  <c r="D19" i="14" a="1"/>
  <c r="D19" i="14" s="1"/>
  <c r="O14" i="14" a="1"/>
  <c r="O14" i="14" s="1"/>
  <c r="B14" i="14" a="1"/>
  <c r="B14" i="14" s="1"/>
  <c r="W14" i="14" a="1"/>
  <c r="W14" i="14" s="1"/>
  <c r="X14" i="14" s="1" a="1"/>
  <c r="X14" i="14" s="1"/>
  <c r="C14" i="14" a="1"/>
  <c r="C14" i="14" s="1"/>
  <c r="K24" i="14" a="1"/>
  <c r="K24" i="14" s="1"/>
  <c r="J24" i="14" a="1"/>
  <c r="J24" i="14" s="1"/>
  <c r="P20" i="14" a="1"/>
  <c r="P20" i="14" s="1"/>
  <c r="Q20" i="14" a="1"/>
  <c r="Q20" i="14" s="1"/>
  <c r="E21" i="14" a="1"/>
  <c r="E21" i="14" s="1"/>
  <c r="D21" i="14" a="1"/>
  <c r="D21" i="14" s="1"/>
  <c r="W31" i="14" a="1"/>
  <c r="W31" i="14" s="1"/>
  <c r="X31" i="14" s="1" a="1"/>
  <c r="X31" i="14" s="1"/>
  <c r="U31" i="14" a="1"/>
  <c r="U31" i="14" s="1"/>
  <c r="V31" i="14" s="1" a="1"/>
  <c r="V31" i="14" s="1"/>
  <c r="C31" i="14" a="1"/>
  <c r="C31" i="14" s="1"/>
  <c r="I31" i="14" a="1"/>
  <c r="I31" i="14" s="1"/>
  <c r="O31" i="14" a="1"/>
  <c r="O31" i="14" s="1"/>
  <c r="Y31" i="14" a="1"/>
  <c r="Y31" i="14" s="1"/>
  <c r="Z31" i="14" s="1" a="1"/>
  <c r="Z31" i="14" s="1"/>
  <c r="B31" i="14" a="1"/>
  <c r="B31" i="14" s="1"/>
  <c r="S36" i="14" a="1"/>
  <c r="S36" i="14" s="1"/>
  <c r="T36" i="14" s="1" a="1"/>
  <c r="T36" i="14" s="1"/>
  <c r="R36" i="14" a="1"/>
  <c r="R36" i="14" s="1"/>
  <c r="P33" i="14" a="1"/>
  <c r="P33" i="14" s="1"/>
  <c r="J21" i="14" a="1"/>
  <c r="J21" i="14" s="1"/>
  <c r="J7" i="14" a="1"/>
  <c r="J7" i="14" s="1"/>
  <c r="Y14" i="14" a="1"/>
  <c r="Y14" i="14" s="1"/>
  <c r="Z14" i="14" s="1" a="1"/>
  <c r="Z14" i="14" s="1"/>
  <c r="K8" i="14" a="1"/>
  <c r="K8" i="14" s="1"/>
  <c r="I10" i="14" a="1"/>
  <c r="I10" i="14" s="1"/>
  <c r="B10" i="14" a="1"/>
  <c r="B10" i="14" s="1"/>
  <c r="W10" i="14" a="1"/>
  <c r="W10" i="14" s="1"/>
  <c r="X10" i="14" s="1" a="1"/>
  <c r="X10" i="14" s="1"/>
  <c r="P27" i="14" a="1"/>
  <c r="P27" i="14" s="1"/>
  <c r="Q27" i="14" a="1"/>
  <c r="Q27" i="14" s="1"/>
  <c r="M38" i="14" a="1"/>
  <c r="M38" i="14" s="1"/>
  <c r="N38" i="14" s="1" a="1"/>
  <c r="N38" i="14" s="1"/>
  <c r="L38" i="14" a="1"/>
  <c r="L38" i="14" s="1"/>
  <c r="P5" i="14" a="1"/>
  <c r="P5" i="14" s="1"/>
  <c r="Y3" i="14" a="1"/>
  <c r="Y3" i="14" s="1"/>
  <c r="Z3" i="14" s="1" a="1"/>
  <c r="Z3" i="14" s="1"/>
  <c r="W4" i="14" a="1"/>
  <c r="W4" i="14" s="1"/>
  <c r="X4" i="14" s="1" a="1"/>
  <c r="X4" i="14" s="1"/>
  <c r="C4" i="14" a="1"/>
  <c r="C4" i="14" s="1"/>
  <c r="I4" i="14" a="1"/>
  <c r="I4" i="14" s="1"/>
  <c r="J5" i="14" a="1"/>
  <c r="J5" i="14" s="1"/>
  <c r="Y4" i="14" a="1"/>
  <c r="Y4" i="14" s="1"/>
  <c r="Z4" i="14" s="1" a="1"/>
  <c r="Z4" i="14" s="1"/>
  <c r="S8" i="14" a="1"/>
  <c r="S8" i="14" s="1"/>
  <c r="T8" i="14" s="1" a="1"/>
  <c r="T8" i="14" s="1"/>
  <c r="R8" i="14" a="1"/>
  <c r="R8" i="14" s="1"/>
  <c r="P19" i="14" a="1"/>
  <c r="P19" i="14" s="1"/>
  <c r="Q19" i="14" a="1"/>
  <c r="Q19" i="14" s="1"/>
  <c r="F11" i="14" a="1"/>
  <c r="F11" i="14" s="1"/>
  <c r="Y18" i="14" a="1"/>
  <c r="Y18" i="14" s="1"/>
  <c r="Z18" i="14" s="1" a="1"/>
  <c r="Z18" i="14" s="1"/>
  <c r="C18" i="14" a="1"/>
  <c r="C18" i="14" s="1"/>
  <c r="I18" i="14" a="1"/>
  <c r="I18" i="14" s="1"/>
  <c r="W18" i="14" a="1"/>
  <c r="W18" i="14" s="1"/>
  <c r="X18" i="14" s="1" a="1"/>
  <c r="X18" i="14" s="1"/>
  <c r="K36" i="14" a="1"/>
  <c r="K36" i="14" s="1"/>
  <c r="J36" i="14" a="1"/>
  <c r="J36" i="14" s="1"/>
  <c r="U14" i="14" a="1"/>
  <c r="U14" i="14" s="1"/>
  <c r="V14" i="14" s="1" a="1"/>
  <c r="V14" i="14" s="1"/>
  <c r="S5" i="14" a="1"/>
  <c r="S5" i="14" s="1"/>
  <c r="T5" i="14" s="1" a="1"/>
  <c r="T5" i="14" s="1"/>
  <c r="Y7" i="14" a="1"/>
  <c r="Y7" i="14" s="1"/>
  <c r="Z7" i="14" s="1" a="1"/>
  <c r="Z7" i="14" s="1"/>
  <c r="O7" i="14" a="1"/>
  <c r="O7" i="14" s="1"/>
  <c r="B7" i="14" a="1"/>
  <c r="B7" i="14" s="1"/>
  <c r="C7" i="14" a="1"/>
  <c r="C7" i="14" s="1"/>
  <c r="B4" i="14" a="1"/>
  <c r="B4" i="14" s="1"/>
  <c r="C10" i="14" a="1"/>
  <c r="C10" i="14" s="1"/>
  <c r="E13" i="14" a="1"/>
  <c r="E13" i="14" s="1"/>
  <c r="D13" i="14" a="1"/>
  <c r="D13" i="14" s="1"/>
  <c r="I14" i="14" a="1"/>
  <c r="I14" i="14" s="1"/>
  <c r="P8" i="14" a="1"/>
  <c r="P8" i="14" s="1"/>
  <c r="U10" i="14" a="1"/>
  <c r="U10" i="14" s="1"/>
  <c r="V10" i="14" s="1" a="1"/>
  <c r="V10" i="14" s="1"/>
  <c r="M28" i="14" a="1"/>
  <c r="M28" i="14" s="1"/>
  <c r="N28" i="14" s="1" a="1"/>
  <c r="N28" i="14" s="1"/>
  <c r="L28" i="14" a="1"/>
  <c r="L28" i="14" s="1"/>
  <c r="J15" i="14" a="1"/>
  <c r="J15" i="14" s="1"/>
  <c r="K15" i="14" a="1"/>
  <c r="K15" i="14" s="1"/>
  <c r="Y23" i="14" a="1"/>
  <c r="Y23" i="14" s="1"/>
  <c r="Z23" i="14" s="1" a="1"/>
  <c r="Z23" i="14" s="1"/>
  <c r="C23" i="14" a="1"/>
  <c r="C23" i="14" s="1"/>
  <c r="U23" i="14" a="1"/>
  <c r="U23" i="14" s="1"/>
  <c r="V23" i="14" s="1" a="1"/>
  <c r="V23" i="14" s="1"/>
  <c r="I23" i="14" a="1"/>
  <c r="I23" i="14" s="1"/>
  <c r="B23" i="14" a="1"/>
  <c r="B23" i="14" s="1"/>
  <c r="O23" i="14" a="1"/>
  <c r="O23" i="14" s="1"/>
  <c r="U3" i="14" a="1"/>
  <c r="U3" i="14" s="1"/>
  <c r="V3" i="14" s="1" a="1"/>
  <c r="V3" i="14" s="1"/>
  <c r="J30" i="14" a="1"/>
  <c r="J30" i="14" s="1"/>
  <c r="K30" i="14" a="1"/>
  <c r="K30" i="14" s="1"/>
  <c r="K32" i="14" a="1"/>
  <c r="K32" i="14" s="1"/>
  <c r="J32" i="14" a="1"/>
  <c r="J32" i="14" s="1"/>
  <c r="I35" i="14" a="1"/>
  <c r="I35" i="14" s="1"/>
  <c r="Y35" i="14" a="1"/>
  <c r="Y35" i="14" s="1"/>
  <c r="Z35" i="14" s="1" a="1"/>
  <c r="Z35" i="14" s="1"/>
  <c r="C35" i="14" a="1"/>
  <c r="C35" i="14" s="1"/>
  <c r="B35" i="14" a="1"/>
  <c r="B35" i="14" s="1"/>
  <c r="O35" i="14" a="1"/>
  <c r="O35" i="14" s="1"/>
  <c r="W35" i="14" a="1"/>
  <c r="W35" i="14" s="1"/>
  <c r="X35" i="14" s="1" a="1"/>
  <c r="X35" i="14" s="1"/>
  <c r="C5" i="14" a="1"/>
  <c r="C5" i="14" s="1"/>
  <c r="W5" i="14" a="1"/>
  <c r="W5" i="14" s="1"/>
  <c r="X5" i="14" s="1" a="1"/>
  <c r="X5" i="14" s="1"/>
  <c r="C9" i="14" a="1"/>
  <c r="C9" i="14" s="1"/>
  <c r="I9" i="14" a="1"/>
  <c r="I9" i="14" s="1"/>
  <c r="B9" i="14" a="1"/>
  <c r="B9" i="14" s="1"/>
  <c r="W9" i="14" a="1"/>
  <c r="W9" i="14" s="1"/>
  <c r="X9" i="14" s="1" a="1"/>
  <c r="X9" i="14" s="1"/>
  <c r="O4" i="14" a="1"/>
  <c r="O4" i="14" s="1"/>
  <c r="Y5" i="14" a="1"/>
  <c r="Y5" i="14" s="1"/>
  <c r="Z5" i="14" s="1" a="1"/>
  <c r="Z5" i="14" s="1"/>
  <c r="B5" i="14" a="1"/>
  <c r="B5" i="14" s="1"/>
  <c r="B18" i="14" a="1"/>
  <c r="B18" i="14" s="1"/>
  <c r="F38" i="14" a="1"/>
  <c r="F38" i="14" s="1"/>
  <c r="G38" i="14" a="1"/>
  <c r="G38" i="14" s="1"/>
  <c r="H38" i="14" s="1" a="1"/>
  <c r="H38" i="14" s="1"/>
  <c r="U6" i="14" a="1"/>
  <c r="U6" i="14" s="1"/>
  <c r="V6" i="14" s="1" a="1"/>
  <c r="V6" i="14" s="1"/>
  <c r="C15" i="14" a="1"/>
  <c r="C15" i="14" s="1"/>
  <c r="B15" i="14" a="1"/>
  <c r="B15" i="14" s="1"/>
  <c r="Q22" i="14" a="1"/>
  <c r="Q22" i="14" s="1"/>
  <c r="W17" i="14" a="1"/>
  <c r="W17" i="14" s="1"/>
  <c r="X17" i="14" s="1" a="1"/>
  <c r="X17" i="14" s="1"/>
  <c r="Y17" i="14" a="1"/>
  <c r="Y17" i="14" s="1"/>
  <c r="Z17" i="14" s="1" a="1"/>
  <c r="Z17" i="14" s="1"/>
  <c r="C17" i="14" a="1"/>
  <c r="C17" i="14" s="1"/>
  <c r="W29" i="14" a="1"/>
  <c r="W29" i="14" s="1"/>
  <c r="X29" i="14" s="1" a="1"/>
  <c r="X29" i="14" s="1"/>
  <c r="C29" i="14" a="1"/>
  <c r="C29" i="14" s="1"/>
  <c r="I29" i="14" a="1"/>
  <c r="I29" i="14" s="1"/>
  <c r="U29" i="14" a="1"/>
  <c r="U29" i="14" s="1"/>
  <c r="V29" i="14" s="1" a="1"/>
  <c r="V29" i="14" s="1"/>
  <c r="B29" i="14" a="1"/>
  <c r="B29" i="14" s="1"/>
  <c r="Y29" i="14" a="1"/>
  <c r="Y29" i="14" s="1"/>
  <c r="Z29" i="14" s="1" a="1"/>
  <c r="Z29" i="14" s="1"/>
  <c r="O29" i="14" a="1"/>
  <c r="O29" i="14" s="1"/>
  <c r="M34" i="14" a="1"/>
  <c r="M34" i="14" s="1"/>
  <c r="N34" i="14" s="1" a="1"/>
  <c r="N34" i="14" s="1"/>
  <c r="Q32" i="14" a="1"/>
  <c r="Q32" i="14" s="1"/>
  <c r="P32" i="14" a="1"/>
  <c r="P32" i="14" s="1"/>
  <c r="P34" i="14" a="1"/>
  <c r="P34" i="14" s="1"/>
  <c r="Q34" i="14" a="1"/>
  <c r="Q34" i="14" s="1"/>
  <c r="J26" i="14" a="1"/>
  <c r="J26" i="14" s="1"/>
  <c r="K26" i="14" a="1"/>
  <c r="K26" i="14" s="1"/>
  <c r="Q43" i="14" a="1"/>
  <c r="Q43" i="14" s="1"/>
  <c r="P43" i="14" a="1"/>
  <c r="P43" i="14" s="1"/>
  <c r="E20" i="14" a="1"/>
  <c r="E20" i="14" s="1"/>
  <c r="D20" i="14" a="1"/>
  <c r="D20" i="14" s="1"/>
  <c r="K41" i="14" a="1"/>
  <c r="K41" i="14" s="1"/>
  <c r="J41" i="14" a="1"/>
  <c r="J41" i="14" s="1"/>
  <c r="M20" i="14" a="1"/>
  <c r="M20" i="14" s="1"/>
  <c r="N20" i="14" s="1" a="1"/>
  <c r="N20" i="14" s="1"/>
  <c r="L20" i="14" a="1"/>
  <c r="L20" i="14" s="1"/>
  <c r="O2" i="14" a="1"/>
  <c r="O2" i="14" s="1"/>
  <c r="W30" i="14" a="1"/>
  <c r="W30" i="14" s="1"/>
  <c r="X30" i="14" s="1" a="1"/>
  <c r="X30" i="14" s="1"/>
  <c r="C30" i="14" a="1"/>
  <c r="C30" i="14" s="1"/>
  <c r="U30" i="14" a="1"/>
  <c r="U30" i="14" s="1"/>
  <c r="V30" i="14" s="1" a="1"/>
  <c r="V30" i="14" s="1"/>
  <c r="B30" i="14" a="1"/>
  <c r="B30" i="14" s="1"/>
  <c r="I11" i="14" a="1"/>
  <c r="I11" i="14" s="1"/>
  <c r="W11" i="14" a="1"/>
  <c r="W11" i="14" s="1"/>
  <c r="X11" i="14" s="1" a="1"/>
  <c r="X11" i="14" s="1"/>
  <c r="O15" i="14" a="1"/>
  <c r="O15" i="14" s="1"/>
  <c r="O17" i="14" a="1"/>
  <c r="O17" i="14" s="1"/>
  <c r="D32" i="14" a="1"/>
  <c r="D32" i="14" s="1"/>
  <c r="Y34" i="14" a="1"/>
  <c r="Y34" i="14" s="1"/>
  <c r="Z34" i="14" s="1" a="1"/>
  <c r="Z34" i="14" s="1"/>
  <c r="W34" i="14" a="1"/>
  <c r="W34" i="14" s="1"/>
  <c r="X34" i="14" s="1" a="1"/>
  <c r="X34" i="14" s="1"/>
  <c r="C34" i="14" a="1"/>
  <c r="C34" i="14" s="1"/>
  <c r="B34" i="14" a="1"/>
  <c r="B34" i="14" s="1"/>
  <c r="D38" i="14" a="1"/>
  <c r="D38" i="14" s="1"/>
  <c r="S46" i="14" a="1"/>
  <c r="S46" i="14" s="1"/>
  <c r="T46" i="14" s="1" a="1"/>
  <c r="T46" i="14" s="1"/>
  <c r="R46" i="14" a="1"/>
  <c r="R46" i="14" s="1"/>
  <c r="W15" i="14" a="1"/>
  <c r="W15" i="14" s="1"/>
  <c r="X15" i="14" s="1" a="1"/>
  <c r="X15" i="14" s="1"/>
  <c r="U19" i="14" a="1"/>
  <c r="U19" i="14" s="1"/>
  <c r="V19" i="14" s="1" a="1"/>
  <c r="V19" i="14" s="1"/>
  <c r="B19" i="14" a="1"/>
  <c r="B19" i="14" s="1"/>
  <c r="W19" i="14" a="1"/>
  <c r="W19" i="14" s="1"/>
  <c r="X19" i="14" s="1" a="1"/>
  <c r="X19" i="14" s="1"/>
  <c r="I19" i="14" a="1"/>
  <c r="I19" i="14" s="1"/>
  <c r="I2" i="14" a="1"/>
  <c r="I2" i="14" s="1"/>
  <c r="C2" i="14" a="1"/>
  <c r="C2" i="14" s="1"/>
  <c r="Y6" i="14" a="1"/>
  <c r="Y6" i="14" s="1"/>
  <c r="Z6" i="14" s="1" a="1"/>
  <c r="Z6" i="14" s="1"/>
  <c r="U13" i="14" a="1"/>
  <c r="U13" i="14" s="1"/>
  <c r="V13" i="14" s="1" a="1"/>
  <c r="V13" i="14" s="1"/>
  <c r="Y13" i="14" a="1"/>
  <c r="Y13" i="14" s="1"/>
  <c r="Z13" i="14" s="1" a="1"/>
  <c r="Z13" i="14" s="1"/>
  <c r="I13" i="14" a="1"/>
  <c r="I13" i="14" s="1"/>
  <c r="O26" i="14" a="1"/>
  <c r="O26" i="14" s="1"/>
  <c r="B26" i="14" a="1"/>
  <c r="B26" i="14" s="1"/>
  <c r="U26" i="14" a="1"/>
  <c r="U26" i="14" s="1"/>
  <c r="V26" i="14" s="1" a="1"/>
  <c r="V26" i="14" s="1"/>
  <c r="W26" i="14" a="1"/>
  <c r="W26" i="14" s="1"/>
  <c r="X26" i="14" s="1" a="1"/>
  <c r="X26" i="14" s="1"/>
  <c r="Y26" i="14" a="1"/>
  <c r="Y26" i="14" s="1"/>
  <c r="Z26" i="14" s="1" a="1"/>
  <c r="Z26" i="14" s="1"/>
  <c r="U34" i="14" a="1"/>
  <c r="U34" i="14" s="1"/>
  <c r="V34" i="14" s="1" a="1"/>
  <c r="V34" i="14" s="1"/>
  <c r="K55" i="14" a="1"/>
  <c r="K55" i="14" s="1"/>
  <c r="J55" i="14" a="1"/>
  <c r="J55" i="14" s="1"/>
  <c r="B42" i="14" a="1"/>
  <c r="B42" i="14" s="1"/>
  <c r="Y42" i="14" a="1"/>
  <c r="Y42" i="14" s="1"/>
  <c r="Z42" i="14" s="1" a="1"/>
  <c r="Z42" i="14" s="1"/>
  <c r="O42" i="14" a="1"/>
  <c r="O42" i="14" s="1"/>
  <c r="C42" i="14" a="1"/>
  <c r="C42" i="14" s="1"/>
  <c r="U42" i="14" a="1"/>
  <c r="U42" i="14" s="1"/>
  <c r="V42" i="14" s="1" a="1"/>
  <c r="V42" i="14" s="1"/>
  <c r="K46" i="14" a="1"/>
  <c r="K46" i="14" s="1"/>
  <c r="J46" i="14" a="1"/>
  <c r="J46" i="14" s="1"/>
  <c r="K37" i="14" a="1"/>
  <c r="K37" i="14" s="1"/>
  <c r="J37" i="14" a="1"/>
  <c r="J37" i="14" s="1"/>
  <c r="E45" i="14" a="1"/>
  <c r="E45" i="14" s="1"/>
  <c r="D45" i="14" a="1"/>
  <c r="D45" i="14" s="1"/>
  <c r="W49" i="14" a="1"/>
  <c r="W49" i="14" s="1"/>
  <c r="X49" i="14" s="1" a="1"/>
  <c r="X49" i="14" s="1"/>
  <c r="I49" i="14" a="1"/>
  <c r="I49" i="14" s="1"/>
  <c r="Y49" i="14" a="1"/>
  <c r="Y49" i="14" s="1"/>
  <c r="Z49" i="14" s="1" a="1"/>
  <c r="Z49" i="14" s="1"/>
  <c r="O49" i="14" a="1"/>
  <c r="O49" i="14" s="1"/>
  <c r="C49" i="14" a="1"/>
  <c r="C49" i="14" s="1"/>
  <c r="W42" i="14" a="1"/>
  <c r="W42" i="14" s="1"/>
  <c r="X42" i="14" s="1" a="1"/>
  <c r="X42" i="14" s="1"/>
  <c r="Q52" i="14" a="1"/>
  <c r="Q52" i="14" s="1"/>
  <c r="P52" i="14" a="1"/>
  <c r="P52" i="14" s="1"/>
  <c r="W41" i="14" a="1"/>
  <c r="W41" i="14" s="1"/>
  <c r="X41" i="14" s="1" a="1"/>
  <c r="X41" i="14" s="1"/>
  <c r="C41" i="14" a="1"/>
  <c r="C41" i="14" s="1"/>
  <c r="B41" i="14" a="1"/>
  <c r="B41" i="14" s="1"/>
  <c r="Y41" i="14" a="1"/>
  <c r="Y41" i="14" s="1"/>
  <c r="Z41" i="14" s="1" a="1"/>
  <c r="Z41" i="14" s="1"/>
  <c r="O41" i="14" a="1"/>
  <c r="O41" i="14" s="1"/>
  <c r="L43" i="14" a="1"/>
  <c r="L43" i="14" s="1"/>
  <c r="M43" i="14" a="1"/>
  <c r="M43" i="14" s="1"/>
  <c r="N43" i="14" s="1" a="1"/>
  <c r="N43" i="14" s="1"/>
  <c r="I42" i="14" a="1"/>
  <c r="I42" i="14" s="1"/>
  <c r="U54" i="14" a="1"/>
  <c r="U54" i="14" s="1"/>
  <c r="V54" i="14" s="1" a="1"/>
  <c r="V54" i="14" s="1"/>
  <c r="O54" i="14" a="1"/>
  <c r="O54" i="14" s="1"/>
  <c r="I54" i="14" a="1"/>
  <c r="I54" i="14" s="1"/>
  <c r="C54" i="14" a="1"/>
  <c r="C54" i="14" s="1"/>
  <c r="Y54" i="14" a="1"/>
  <c r="Y54" i="14" s="1"/>
  <c r="Z54" i="14" s="1" a="1"/>
  <c r="Z54" i="14" s="1"/>
  <c r="O25" i="14" a="1"/>
  <c r="O25" i="14" s="1"/>
  <c r="K47" i="14" a="1"/>
  <c r="K47" i="14" s="1"/>
  <c r="J47" i="14" a="1"/>
  <c r="J47" i="14" s="1"/>
  <c r="U41" i="14" a="1"/>
  <c r="U41" i="14" s="1"/>
  <c r="V41" i="14" s="1" a="1"/>
  <c r="V41" i="14" s="1"/>
  <c r="B54" i="14" a="1"/>
  <c r="B54" i="14" s="1"/>
  <c r="P40" i="14" a="1"/>
  <c r="P40" i="14" s="1"/>
  <c r="Q40" i="14" a="1"/>
  <c r="Q40" i="14" s="1"/>
  <c r="B25" i="14" a="1"/>
  <c r="B25" i="14" s="1"/>
  <c r="I25" i="14" a="1"/>
  <c r="I25" i="14" s="1"/>
  <c r="W25" i="14" a="1"/>
  <c r="W25" i="14" s="1"/>
  <c r="X25" i="14" s="1" a="1"/>
  <c r="X25" i="14" s="1"/>
  <c r="C27" i="14" a="1"/>
  <c r="C27" i="14" s="1"/>
  <c r="I27" i="14" a="1"/>
  <c r="I27" i="14" s="1"/>
  <c r="B27" i="14" a="1"/>
  <c r="B27" i="14" s="1"/>
  <c r="Y27" i="14" a="1"/>
  <c r="Y27" i="14" s="1"/>
  <c r="Z27" i="14" s="1" a="1"/>
  <c r="Z27" i="14" s="1"/>
  <c r="Y33" i="14" a="1"/>
  <c r="Y33" i="14" s="1"/>
  <c r="Z33" i="14" s="1" a="1"/>
  <c r="Z33" i="14" s="1"/>
  <c r="C33" i="14" a="1"/>
  <c r="C33" i="14" s="1"/>
  <c r="B39" i="14" a="1"/>
  <c r="B39" i="14" s="1"/>
  <c r="C39" i="14" a="1"/>
  <c r="C39" i="14" s="1"/>
  <c r="I39" i="14" a="1"/>
  <c r="I39" i="14" s="1"/>
  <c r="O39" i="14" a="1"/>
  <c r="O39" i="14" s="1"/>
  <c r="W39" i="14" a="1"/>
  <c r="W39" i="14" s="1"/>
  <c r="X39" i="14" s="1" a="1"/>
  <c r="X39" i="14" s="1"/>
  <c r="W40" i="14" a="1"/>
  <c r="W40" i="14" s="1"/>
  <c r="X40" i="14" s="1" a="1"/>
  <c r="X40" i="14" s="1"/>
  <c r="C40" i="14" a="1"/>
  <c r="C40" i="14" s="1"/>
  <c r="Y40" i="14" a="1"/>
  <c r="Y40" i="14" s="1"/>
  <c r="Z40" i="14" s="1" a="1"/>
  <c r="Z40" i="14" s="1"/>
  <c r="I45" i="14" a="1"/>
  <c r="I45" i="14" s="1"/>
  <c r="I44" i="14" a="1"/>
  <c r="I44" i="14" s="1"/>
  <c r="W48" i="14" a="1"/>
  <c r="W48" i="14" s="1"/>
  <c r="X48" i="14" s="1" a="1"/>
  <c r="X48" i="14" s="1"/>
  <c r="I48" i="14" a="1"/>
  <c r="I48" i="14" s="1"/>
  <c r="B48" i="14" a="1"/>
  <c r="B48" i="14" s="1"/>
  <c r="B40" i="14" a="1"/>
  <c r="B40" i="14" s="1"/>
  <c r="B45" i="14" a="1"/>
  <c r="B45" i="14" s="1"/>
  <c r="C48" i="14" a="1"/>
  <c r="C48" i="14" s="1"/>
  <c r="U48" i="14" a="1"/>
  <c r="U48" i="14" s="1"/>
  <c r="V48" i="14" s="1" a="1"/>
  <c r="V48" i="14" s="1"/>
  <c r="B51" i="14" a="1"/>
  <c r="B51" i="14" s="1"/>
  <c r="Y51" i="14" a="1"/>
  <c r="Y51" i="14" s="1"/>
  <c r="Z51" i="14" s="1" a="1"/>
  <c r="Z51" i="14" s="1"/>
  <c r="B43" i="14" a="1"/>
  <c r="B43" i="14" s="1"/>
  <c r="Y43" i="14" a="1"/>
  <c r="Y43" i="14" s="1"/>
  <c r="Z43" i="14" s="1" a="1"/>
  <c r="Z43" i="14" s="1"/>
  <c r="B55" i="14" a="1"/>
  <c r="B55" i="14" s="1"/>
  <c r="Y55" i="14" a="1"/>
  <c r="Y55" i="14" s="1"/>
  <c r="Z55" i="14" s="1" a="1"/>
  <c r="Z55" i="14" s="1"/>
  <c r="C55" i="14" a="1"/>
  <c r="C55" i="14" s="1"/>
  <c r="W55" i="14" a="1"/>
  <c r="W55" i="14" s="1"/>
  <c r="X55" i="14" s="1" a="1"/>
  <c r="X55" i="14" s="1"/>
  <c r="U55" i="14" a="1"/>
  <c r="U55" i="14" s="1"/>
  <c r="V55" i="14" s="1" a="1"/>
  <c r="V55" i="14" s="1"/>
  <c r="O55" i="14" a="1"/>
  <c r="O55" i="14" s="1"/>
  <c r="C51" i="14" a="1"/>
  <c r="C51" i="14" s="1"/>
  <c r="I53" i="14" a="1"/>
  <c r="I53" i="14" s="1"/>
  <c r="C44" i="14" a="1"/>
  <c r="C44" i="14" s="1"/>
  <c r="U44" i="14" a="1"/>
  <c r="U44" i="14" s="1"/>
  <c r="V44" i="14" s="1" a="1"/>
  <c r="V44" i="14" s="1"/>
  <c r="Y48" i="14" a="1"/>
  <c r="Y48" i="14" s="1"/>
  <c r="Z48" i="14" s="1" a="1"/>
  <c r="Z48" i="14" s="1"/>
  <c r="W51" i="14" a="1"/>
  <c r="W51" i="14" s="1"/>
  <c r="X51" i="14" s="1" a="1"/>
  <c r="X51" i="14" s="1"/>
  <c r="C43" i="14" a="1"/>
  <c r="C43" i="14" s="1"/>
  <c r="U43" i="14" a="1"/>
  <c r="U43" i="14" s="1"/>
  <c r="V43" i="14" s="1" a="1"/>
  <c r="V43" i="14" s="1"/>
  <c r="O51" i="14" a="1"/>
  <c r="O51" i="14" s="1"/>
  <c r="W53" i="14" a="1"/>
  <c r="W53" i="14" s="1"/>
  <c r="X53" i="14" s="1" a="1"/>
  <c r="X53" i="14" s="1"/>
  <c r="Y53" i="14" a="1"/>
  <c r="Y53" i="14" s="1"/>
  <c r="Z53" i="14" s="1" a="1"/>
  <c r="Z53" i="14" s="1"/>
  <c r="C53" i="14" a="1"/>
  <c r="C53" i="14" s="1"/>
  <c r="O38" i="14" a="1"/>
  <c r="O38" i="14" s="1"/>
  <c r="B38" i="14" a="1"/>
  <c r="B38" i="14" s="1"/>
  <c r="U38" i="14" a="1"/>
  <c r="U38" i="14" s="1"/>
  <c r="V38" i="14" s="1" a="1"/>
  <c r="V38" i="14" s="1"/>
  <c r="Y38" i="14" a="1"/>
  <c r="Y38" i="14" s="1"/>
  <c r="Z38" i="14" s="1" a="1"/>
  <c r="Z38" i="14" s="1"/>
  <c r="U40" i="14" a="1"/>
  <c r="U40" i="14" s="1"/>
  <c r="V40" i="14" s="1" a="1"/>
  <c r="V40" i="14" s="1"/>
  <c r="O48" i="14" a="1"/>
  <c r="O48" i="14" s="1"/>
  <c r="U47" i="14" a="1"/>
  <c r="U47" i="14" s="1"/>
  <c r="V47" i="14" s="1" a="1"/>
  <c r="V47" i="14" s="1"/>
  <c r="U50" i="14" a="1"/>
  <c r="U50" i="14" s="1"/>
  <c r="V50" i="14" s="1" a="1"/>
  <c r="V50" i="14" s="1"/>
  <c r="O50" i="14" a="1"/>
  <c r="O50" i="14" s="1"/>
  <c r="I50" i="14" a="1"/>
  <c r="I50" i="14" s="1"/>
  <c r="C50" i="14" a="1"/>
  <c r="C50" i="14" s="1"/>
  <c r="W50" i="14" a="1"/>
  <c r="W50" i="14" s="1"/>
  <c r="X50" i="14" s="1" a="1"/>
  <c r="X50" i="14" s="1"/>
  <c r="U37" i="14" a="1"/>
  <c r="U37" i="14" s="1"/>
  <c r="V37" i="14" s="1" a="1"/>
  <c r="V37" i="14" s="1"/>
  <c r="O47" i="14" a="1"/>
  <c r="O47" i="14" s="1"/>
  <c r="K22" i="14" l="1" a="1"/>
  <c r="K22" i="14" s="1"/>
  <c r="P30" i="14" a="1"/>
  <c r="P30" i="14" s="1"/>
  <c r="P6" i="14" a="1"/>
  <c r="P6" i="14" s="1"/>
  <c r="D36" i="14" a="1"/>
  <c r="D36" i="14" s="1"/>
  <c r="S44" i="14" a="1"/>
  <c r="S44" i="14" s="1"/>
  <c r="T44" i="14" s="1" a="1"/>
  <c r="T44" i="14" s="1"/>
  <c r="P13" i="14" a="1"/>
  <c r="P13" i="14" s="1"/>
  <c r="Q13" i="14" a="1"/>
  <c r="Q13" i="14" s="1"/>
  <c r="D47" i="14" a="1"/>
  <c r="D47" i="14" s="1"/>
  <c r="Q16" i="14" a="1"/>
  <c r="Q16" i="14" s="1"/>
  <c r="R16" i="14" s="1" a="1"/>
  <c r="R16" i="14" s="1"/>
  <c r="D46" i="14" a="1"/>
  <c r="D46" i="14" s="1"/>
  <c r="P46" i="14" a="1"/>
  <c r="P46" i="14" s="1"/>
  <c r="Q12" i="14" a="1"/>
  <c r="Q12" i="14" s="1"/>
  <c r="P12" i="14" a="1"/>
  <c r="P12" i="14" s="1"/>
  <c r="P37" i="14" a="1"/>
  <c r="P37" i="14" s="1"/>
  <c r="J40" i="14" a="1"/>
  <c r="J40" i="14" s="1"/>
  <c r="K40" i="14" a="1"/>
  <c r="K40" i="14" s="1"/>
  <c r="D52" i="14" a="1"/>
  <c r="D52" i="14" s="1"/>
  <c r="R21" i="14" a="1"/>
  <c r="R21" i="14" s="1"/>
  <c r="G46" i="14" a="1"/>
  <c r="G46" i="14" s="1"/>
  <c r="H46" i="14" s="1" a="1"/>
  <c r="H46" i="14" s="1"/>
  <c r="F46" i="14" a="1"/>
  <c r="F46" i="14" s="1"/>
  <c r="E28" i="14" a="1"/>
  <c r="E28" i="14" s="1"/>
  <c r="D28" i="14" a="1"/>
  <c r="D28" i="14" s="1"/>
  <c r="R11" i="14" a="1"/>
  <c r="R11" i="14" s="1"/>
  <c r="D6" i="14" a="1"/>
  <c r="D6" i="14" s="1"/>
  <c r="D25" i="14" a="1"/>
  <c r="D25" i="14" s="1"/>
  <c r="E25" i="14" a="1"/>
  <c r="E25" i="14" s="1"/>
  <c r="D24" i="14" a="1"/>
  <c r="D24" i="14" s="1"/>
  <c r="J52" i="14" a="1"/>
  <c r="J52" i="14" s="1"/>
  <c r="K52" i="14" a="1"/>
  <c r="K52" i="14" s="1"/>
  <c r="D12" i="14" a="1"/>
  <c r="D12" i="14" s="1"/>
  <c r="E12" i="14" a="1"/>
  <c r="E12" i="14" s="1"/>
  <c r="J16" i="14" a="1"/>
  <c r="J16" i="14" s="1"/>
  <c r="K16" i="14" a="1"/>
  <c r="K16" i="14" s="1"/>
  <c r="J51" i="14" a="1"/>
  <c r="J51" i="14" s="1"/>
  <c r="Q28" i="14" a="1"/>
  <c r="Q28" i="14" s="1"/>
  <c r="S28" i="14" s="1" a="1"/>
  <c r="S28" i="14" s="1"/>
  <c r="T28" i="14" s="1" a="1"/>
  <c r="T28" i="14" s="1"/>
  <c r="E37" i="14" a="1"/>
  <c r="E37" i="14" s="1"/>
  <c r="D37" i="14" a="1"/>
  <c r="D37" i="14" s="1"/>
  <c r="P53" i="14" a="1"/>
  <c r="P53" i="14" s="1"/>
  <c r="E22" i="14" a="1"/>
  <c r="E22" i="14" s="1"/>
  <c r="G22" i="14" s="1" a="1"/>
  <c r="G22" i="14" s="1"/>
  <c r="H22" i="14" s="1" a="1"/>
  <c r="H22" i="14" s="1"/>
  <c r="R37" i="14" a="1"/>
  <c r="R37" i="14" s="1"/>
  <c r="J33" i="14" a="1"/>
  <c r="J33" i="14" s="1"/>
  <c r="Q24" i="14" a="1"/>
  <c r="Q24" i="14" s="1"/>
  <c r="Q45" i="14" a="1"/>
  <c r="Q45" i="14" s="1"/>
  <c r="P45" i="14" a="1"/>
  <c r="P45" i="14" s="1"/>
  <c r="E8" i="14" a="1"/>
  <c r="E8" i="14" s="1"/>
  <c r="D8" i="14" a="1"/>
  <c r="D8" i="14" s="1"/>
  <c r="S20" i="14" a="1"/>
  <c r="S20" i="14" s="1"/>
  <c r="T20" i="14" s="1" a="1"/>
  <c r="T20" i="14" s="1"/>
  <c r="R20" i="14" a="1"/>
  <c r="R20" i="14" s="1"/>
  <c r="E44" i="14" a="1"/>
  <c r="E44" i="14" s="1"/>
  <c r="D44" i="14" a="1"/>
  <c r="D44" i="14" s="1"/>
  <c r="Q49" i="14" a="1"/>
  <c r="Q49" i="14" s="1"/>
  <c r="P49" i="14" a="1"/>
  <c r="P49" i="14" s="1"/>
  <c r="E4" i="14" a="1"/>
  <c r="E4" i="14" s="1"/>
  <c r="D4" i="14" a="1"/>
  <c r="D4" i="14" s="1"/>
  <c r="Q4" i="14" a="1"/>
  <c r="Q4" i="14" s="1"/>
  <c r="P4" i="14" a="1"/>
  <c r="P4" i="14" s="1"/>
  <c r="M8" i="14" a="1"/>
  <c r="M8" i="14" s="1"/>
  <c r="N8" i="14" s="1" a="1"/>
  <c r="N8" i="14" s="1"/>
  <c r="L8" i="14" a="1"/>
  <c r="L8" i="14" s="1"/>
  <c r="E53" i="14" a="1"/>
  <c r="E53" i="14" s="1"/>
  <c r="D53" i="14" a="1"/>
  <c r="D53" i="14" s="1"/>
  <c r="E51" i="14" a="1"/>
  <c r="E51" i="14" s="1"/>
  <c r="D51" i="14" a="1"/>
  <c r="D51" i="14" s="1"/>
  <c r="E48" i="14" a="1"/>
  <c r="E48" i="14" s="1"/>
  <c r="D48" i="14" a="1"/>
  <c r="D48" i="14" s="1"/>
  <c r="K25" i="14" a="1"/>
  <c r="K25" i="14" s="1"/>
  <c r="J25" i="14" a="1"/>
  <c r="J25" i="14" s="1"/>
  <c r="E54" i="14" a="1"/>
  <c r="E54" i="14" s="1"/>
  <c r="D54" i="14" a="1"/>
  <c r="D54" i="14" s="1"/>
  <c r="K49" i="14" a="1"/>
  <c r="K49" i="14" s="1"/>
  <c r="J49" i="14" a="1"/>
  <c r="J49" i="14" s="1"/>
  <c r="Q42" i="14" a="1"/>
  <c r="Q42" i="14" s="1"/>
  <c r="P42" i="14" a="1"/>
  <c r="P42" i="14" s="1"/>
  <c r="L41" i="14" a="1"/>
  <c r="L41" i="14" s="1"/>
  <c r="M41" i="14" a="1"/>
  <c r="M41" i="14" s="1"/>
  <c r="N41" i="14" s="1" a="1"/>
  <c r="N41" i="14" s="1"/>
  <c r="L26" i="14" a="1"/>
  <c r="L26" i="14" s="1"/>
  <c r="M26" i="14" a="1"/>
  <c r="M26" i="14" s="1"/>
  <c r="N26" i="14" s="1" a="1"/>
  <c r="N26" i="14" s="1"/>
  <c r="P29" i="14" a="1"/>
  <c r="P29" i="14" s="1"/>
  <c r="Q29" i="14" a="1"/>
  <c r="Q29" i="14" s="1"/>
  <c r="E15" i="14" a="1"/>
  <c r="E15" i="14" s="1"/>
  <c r="D15" i="14" a="1"/>
  <c r="D15" i="14" s="1"/>
  <c r="Q35" i="14" a="1"/>
  <c r="Q35" i="14" s="1"/>
  <c r="P35" i="14" a="1"/>
  <c r="P35" i="14" s="1"/>
  <c r="K23" i="14" a="1"/>
  <c r="K23" i="14" s="1"/>
  <c r="J23" i="14" a="1"/>
  <c r="J23" i="14" s="1"/>
  <c r="J14" i="14" a="1"/>
  <c r="J14" i="14" s="1"/>
  <c r="K14" i="14" a="1"/>
  <c r="K14" i="14" s="1"/>
  <c r="Q7" i="14" a="1"/>
  <c r="Q7" i="14" s="1"/>
  <c r="P7" i="14" a="1"/>
  <c r="P7" i="14" s="1"/>
  <c r="M24" i="14" a="1"/>
  <c r="M24" i="14" s="1"/>
  <c r="N24" i="14" s="1" a="1"/>
  <c r="N24" i="14" s="1"/>
  <c r="L24" i="14" a="1"/>
  <c r="L24" i="14" s="1"/>
  <c r="J3" i="14" a="1"/>
  <c r="J3" i="14" s="1"/>
  <c r="K3" i="14" a="1"/>
  <c r="K3" i="14" s="1"/>
  <c r="S53" i="14" a="1"/>
  <c r="S53" i="14" s="1"/>
  <c r="T53" i="14" s="1" a="1"/>
  <c r="T53" i="14" s="1"/>
  <c r="R53" i="14" a="1"/>
  <c r="R53" i="14" s="1"/>
  <c r="J18" i="14" a="1"/>
  <c r="J18" i="14" s="1"/>
  <c r="K18" i="14" a="1"/>
  <c r="K18" i="14" s="1"/>
  <c r="J10" i="14" a="1"/>
  <c r="J10" i="14" s="1"/>
  <c r="K10" i="14" a="1"/>
  <c r="K10" i="14" s="1"/>
  <c r="Q38" i="14" a="1"/>
  <c r="Q38" i="14" s="1"/>
  <c r="P38" i="14" a="1"/>
  <c r="P38" i="14" s="1"/>
  <c r="K13" i="14" a="1"/>
  <c r="K13" i="14" s="1"/>
  <c r="J13" i="14" a="1"/>
  <c r="J13" i="14" s="1"/>
  <c r="J11" i="14" a="1"/>
  <c r="J11" i="14" s="1"/>
  <c r="K11" i="14" a="1"/>
  <c r="K11" i="14" s="1"/>
  <c r="R19" i="14" a="1"/>
  <c r="R19" i="14" s="1"/>
  <c r="S19" i="14" a="1"/>
  <c r="S19" i="14" s="1"/>
  <c r="T19" i="14" s="1" a="1"/>
  <c r="T19" i="14" s="1"/>
  <c r="D14" i="14" a="1"/>
  <c r="D14" i="14" s="1"/>
  <c r="E14" i="14" a="1"/>
  <c r="E14" i="14" s="1"/>
  <c r="G26" i="14" a="1"/>
  <c r="G26" i="14" s="1"/>
  <c r="H26" i="14" s="1" a="1"/>
  <c r="H26" i="14" s="1"/>
  <c r="F26" i="14" a="1"/>
  <c r="F26" i="14" s="1"/>
  <c r="J27" i="14" a="1"/>
  <c r="J27" i="14" s="1"/>
  <c r="K27" i="14" a="1"/>
  <c r="K27" i="14" s="1"/>
  <c r="E27" i="14" a="1"/>
  <c r="E27" i="14" s="1"/>
  <c r="D27" i="14" a="1"/>
  <c r="D27" i="14" s="1"/>
  <c r="J54" i="14" a="1"/>
  <c r="J54" i="14" s="1"/>
  <c r="K54" i="14" a="1"/>
  <c r="K54" i="14" s="1"/>
  <c r="Q54" i="14" a="1"/>
  <c r="Q54" i="14" s="1"/>
  <c r="P54" i="14" a="1"/>
  <c r="P54" i="14" s="1"/>
  <c r="E41" i="14" a="1"/>
  <c r="E41" i="14" s="1"/>
  <c r="D41" i="14" a="1"/>
  <c r="D41" i="14" s="1"/>
  <c r="D34" i="14" a="1"/>
  <c r="D34" i="14" s="1"/>
  <c r="E34" i="14" a="1"/>
  <c r="E34" i="14" s="1"/>
  <c r="G36" i="14" a="1"/>
  <c r="G36" i="14" s="1"/>
  <c r="H36" i="14" s="1" a="1"/>
  <c r="H36" i="14" s="1"/>
  <c r="F36" i="14" a="1"/>
  <c r="F36" i="14" s="1"/>
  <c r="S34" i="14" a="1"/>
  <c r="S34" i="14" s="1"/>
  <c r="T34" i="14" s="1" a="1"/>
  <c r="T34" i="14" s="1"/>
  <c r="R34" i="14" a="1"/>
  <c r="R34" i="14" s="1"/>
  <c r="E35" i="14" a="1"/>
  <c r="E35" i="14" s="1"/>
  <c r="D35" i="14" a="1"/>
  <c r="D35" i="14" s="1"/>
  <c r="D23" i="14" a="1"/>
  <c r="D23" i="14" s="1"/>
  <c r="E23" i="14" a="1"/>
  <c r="E23" i="14" s="1"/>
  <c r="G13" i="14" a="1"/>
  <c r="G13" i="14" s="1"/>
  <c r="H13" i="14" s="1" a="1"/>
  <c r="H13" i="14" s="1"/>
  <c r="F13" i="14" a="1"/>
  <c r="F13" i="14" s="1"/>
  <c r="M22" i="14" a="1"/>
  <c r="M22" i="14" s="1"/>
  <c r="N22" i="14" s="1" a="1"/>
  <c r="N22" i="14" s="1"/>
  <c r="L22" i="14" a="1"/>
  <c r="L22" i="14" s="1"/>
  <c r="Q31" i="14" a="1"/>
  <c r="Q31" i="14" s="1"/>
  <c r="P31" i="14" a="1"/>
  <c r="P31" i="14" s="1"/>
  <c r="P3" i="14" a="1"/>
  <c r="P3" i="14" s="1"/>
  <c r="Q3" i="14" a="1"/>
  <c r="Q3" i="14" s="1"/>
  <c r="E49" i="14" a="1"/>
  <c r="E49" i="14" s="1"/>
  <c r="D49" i="14" a="1"/>
  <c r="D49" i="14" s="1"/>
  <c r="Q23" i="14" a="1"/>
  <c r="Q23" i="14" s="1"/>
  <c r="P23" i="14" a="1"/>
  <c r="P23" i="14" s="1"/>
  <c r="G16" i="14" a="1"/>
  <c r="G16" i="14" s="1"/>
  <c r="H16" i="14" s="1" a="1"/>
  <c r="H16" i="14" s="1"/>
  <c r="F16" i="14" a="1"/>
  <c r="F16" i="14" s="1"/>
  <c r="Q41" i="14" a="1"/>
  <c r="Q41" i="14" s="1"/>
  <c r="P41" i="14" a="1"/>
  <c r="P41" i="14" s="1"/>
  <c r="Q55" i="14" a="1"/>
  <c r="Q55" i="14" s="1"/>
  <c r="P55" i="14" a="1"/>
  <c r="P55" i="14" s="1"/>
  <c r="K50" i="14" a="1"/>
  <c r="K50" i="14" s="1"/>
  <c r="J50" i="14" a="1"/>
  <c r="J50" i="14" s="1"/>
  <c r="E2" i="14" a="1"/>
  <c r="E2" i="14" s="1"/>
  <c r="D2" i="14" a="1"/>
  <c r="D2" i="14" s="1"/>
  <c r="K31" i="14" a="1"/>
  <c r="K31" i="14" s="1"/>
  <c r="J31" i="14" a="1"/>
  <c r="J31" i="14" s="1"/>
  <c r="D3" i="14" a="1"/>
  <c r="D3" i="14" s="1"/>
  <c r="E3" i="14" a="1"/>
  <c r="E3" i="14" s="1"/>
  <c r="R18" i="14" a="1"/>
  <c r="R18" i="14" s="1"/>
  <c r="S18" i="14" a="1"/>
  <c r="S18" i="14" s="1"/>
  <c r="T18" i="14" s="1" a="1"/>
  <c r="T18" i="14" s="1"/>
  <c r="P47" i="14" a="1"/>
  <c r="P47" i="14" s="1"/>
  <c r="Q47" i="14" a="1"/>
  <c r="Q47" i="14" s="1"/>
  <c r="E50" i="14" a="1"/>
  <c r="E50" i="14" s="1"/>
  <c r="D50" i="14" a="1"/>
  <c r="D50" i="14" s="1"/>
  <c r="R40" i="14" a="1"/>
  <c r="R40" i="14" s="1"/>
  <c r="S40" i="14" a="1"/>
  <c r="S40" i="14" s="1"/>
  <c r="T40" i="14" s="1" a="1"/>
  <c r="T40" i="14" s="1"/>
  <c r="M55" i="14" a="1"/>
  <c r="M55" i="14" s="1"/>
  <c r="N55" i="14" s="1" a="1"/>
  <c r="N55" i="14" s="1"/>
  <c r="L55" i="14" a="1"/>
  <c r="L55" i="14" s="1"/>
  <c r="K2" i="14" a="1"/>
  <c r="K2" i="14" s="1"/>
  <c r="J2" i="14" a="1"/>
  <c r="J2" i="14" s="1"/>
  <c r="D30" i="14" a="1"/>
  <c r="D30" i="14" s="1"/>
  <c r="E30" i="14" a="1"/>
  <c r="E30" i="14" s="1"/>
  <c r="G20" i="14" a="1"/>
  <c r="G20" i="14" s="1"/>
  <c r="H20" i="14" s="1" a="1"/>
  <c r="H20" i="14" s="1"/>
  <c r="F20" i="14" a="1"/>
  <c r="F20" i="14" s="1"/>
  <c r="J29" i="14" a="1"/>
  <c r="J29" i="14" s="1"/>
  <c r="K29" i="14" a="1"/>
  <c r="K29" i="14" s="1"/>
  <c r="J9" i="14" a="1"/>
  <c r="J9" i="14" s="1"/>
  <c r="K9" i="14" a="1"/>
  <c r="K9" i="14" s="1"/>
  <c r="K35" i="14" a="1"/>
  <c r="K35" i="14" s="1"/>
  <c r="J35" i="14" a="1"/>
  <c r="J35" i="14" s="1"/>
  <c r="M15" i="14" a="1"/>
  <c r="M15" i="14" s="1"/>
  <c r="N15" i="14" s="1" a="1"/>
  <c r="N15" i="14" s="1"/>
  <c r="L15" i="14" a="1"/>
  <c r="L15" i="14" s="1"/>
  <c r="E31" i="14" a="1"/>
  <c r="E31" i="14" s="1"/>
  <c r="D31" i="14" a="1"/>
  <c r="D31" i="14" s="1"/>
  <c r="P14" i="14" a="1"/>
  <c r="P14" i="14" s="1"/>
  <c r="Q14" i="14" a="1"/>
  <c r="Q14" i="14" s="1"/>
  <c r="K4" i="14" a="1"/>
  <c r="K4" i="14" s="1"/>
  <c r="J4" i="14" a="1"/>
  <c r="J4" i="14" s="1"/>
  <c r="E40" i="14" a="1"/>
  <c r="E40" i="14" s="1"/>
  <c r="D40" i="14" a="1"/>
  <c r="D40" i="14" s="1"/>
  <c r="P39" i="14" a="1"/>
  <c r="P39" i="14" s="1"/>
  <c r="Q39" i="14" a="1"/>
  <c r="Q39" i="14" s="1"/>
  <c r="G47" i="14" a="1"/>
  <c r="G47" i="14" s="1"/>
  <c r="H47" i="14" s="1" a="1"/>
  <c r="H47" i="14" s="1"/>
  <c r="F47" i="14" a="1"/>
  <c r="F47" i="14" s="1"/>
  <c r="E43" i="14" a="1"/>
  <c r="E43" i="14" s="1"/>
  <c r="D43" i="14" a="1"/>
  <c r="D43" i="14" s="1"/>
  <c r="S32" i="14" a="1"/>
  <c r="S32" i="14" s="1"/>
  <c r="T32" i="14" s="1" a="1"/>
  <c r="T32" i="14" s="1"/>
  <c r="R32" i="14" a="1"/>
  <c r="R32" i="14" s="1"/>
  <c r="D29" i="14" a="1"/>
  <c r="D29" i="14" s="1"/>
  <c r="E29" i="14" a="1"/>
  <c r="E29" i="14" s="1"/>
  <c r="E9" i="14" a="1"/>
  <c r="E9" i="14" s="1"/>
  <c r="D9" i="14" a="1"/>
  <c r="D9" i="14" s="1"/>
  <c r="M36" i="14" a="1"/>
  <c r="M36" i="14" s="1"/>
  <c r="N36" i="14" s="1" a="1"/>
  <c r="N36" i="14" s="1"/>
  <c r="L36" i="14" a="1"/>
  <c r="L36" i="14" s="1"/>
  <c r="L21" i="14" a="1"/>
  <c r="L21" i="14" s="1"/>
  <c r="M21" i="14" a="1"/>
  <c r="M21" i="14" s="1"/>
  <c r="N21" i="14" s="1" a="1"/>
  <c r="N21" i="14" s="1"/>
  <c r="M47" i="14" a="1"/>
  <c r="M47" i="14" s="1"/>
  <c r="N47" i="14" s="1" a="1"/>
  <c r="N47" i="14" s="1"/>
  <c r="L47" i="14" a="1"/>
  <c r="L47" i="14" s="1"/>
  <c r="P25" i="14" a="1"/>
  <c r="P25" i="14" s="1"/>
  <c r="Q25" i="14" a="1"/>
  <c r="Q25" i="14" s="1"/>
  <c r="S16" i="14" a="1"/>
  <c r="S16" i="14" s="1"/>
  <c r="T16" i="14" s="1" a="1"/>
  <c r="T16" i="14" s="1"/>
  <c r="R43" i="14" a="1"/>
  <c r="R43" i="14" s="1"/>
  <c r="S43" i="14" a="1"/>
  <c r="S43" i="14" s="1"/>
  <c r="T43" i="14" s="1" a="1"/>
  <c r="T43" i="14" s="1"/>
  <c r="P50" i="14" a="1"/>
  <c r="P50" i="14" s="1"/>
  <c r="Q50" i="14" a="1"/>
  <c r="Q50" i="14" s="1"/>
  <c r="K48" i="14" a="1"/>
  <c r="K48" i="14" s="1"/>
  <c r="J48" i="14" a="1"/>
  <c r="J48" i="14" s="1"/>
  <c r="F52" i="14" a="1"/>
  <c r="F52" i="14" s="1"/>
  <c r="G52" i="14" a="1"/>
  <c r="G52" i="14" s="1"/>
  <c r="H52" i="14" s="1" a="1"/>
  <c r="H52" i="14" s="1"/>
  <c r="M32" i="14" a="1"/>
  <c r="M32" i="14" s="1"/>
  <c r="N32" i="14" s="1" a="1"/>
  <c r="N32" i="14" s="1"/>
  <c r="L32" i="14" a="1"/>
  <c r="L32" i="14" s="1"/>
  <c r="D10" i="14" a="1"/>
  <c r="D10" i="14" s="1"/>
  <c r="E10" i="14" a="1"/>
  <c r="E10" i="14" s="1"/>
  <c r="S27" i="14" a="1"/>
  <c r="S27" i="14" s="1"/>
  <c r="T27" i="14" s="1" a="1"/>
  <c r="T27" i="14" s="1"/>
  <c r="R27" i="14" a="1"/>
  <c r="R27" i="14" s="1"/>
  <c r="S33" i="14" a="1"/>
  <c r="S33" i="14" s="1"/>
  <c r="T33" i="14" s="1" a="1"/>
  <c r="T33" i="14" s="1"/>
  <c r="R33" i="14" a="1"/>
  <c r="R33" i="14" s="1"/>
  <c r="G6" i="14" a="1"/>
  <c r="G6" i="14" s="1"/>
  <c r="H6" i="14" s="1" a="1"/>
  <c r="H6" i="14" s="1"/>
  <c r="F6" i="14" a="1"/>
  <c r="F6" i="14" s="1"/>
  <c r="S9" i="14" a="1"/>
  <c r="S9" i="14" s="1"/>
  <c r="T9" i="14" s="1" a="1"/>
  <c r="T9" i="14" s="1"/>
  <c r="R9" i="14" a="1"/>
  <c r="R9" i="14" s="1"/>
  <c r="M46" i="14" a="1"/>
  <c r="M46" i="14" s="1"/>
  <c r="N46" i="14" s="1" a="1"/>
  <c r="N46" i="14" s="1"/>
  <c r="L46" i="14" a="1"/>
  <c r="L46" i="14" s="1"/>
  <c r="S24" i="14" a="1"/>
  <c r="S24" i="14" s="1"/>
  <c r="T24" i="14" s="1" a="1"/>
  <c r="T24" i="14" s="1"/>
  <c r="R24" i="14" a="1"/>
  <c r="R24" i="14" s="1"/>
  <c r="S10" i="14" a="1"/>
  <c r="S10" i="14" s="1"/>
  <c r="T10" i="14" s="1" a="1"/>
  <c r="T10" i="14" s="1"/>
  <c r="R10" i="14" a="1"/>
  <c r="R10" i="14" s="1"/>
  <c r="P26" i="14" a="1"/>
  <c r="P26" i="14" s="1"/>
  <c r="Q26" i="14" a="1"/>
  <c r="Q26" i="14" s="1"/>
  <c r="Q17" i="14" a="1"/>
  <c r="Q17" i="14" s="1"/>
  <c r="P17" i="14" a="1"/>
  <c r="P17" i="14" s="1"/>
  <c r="E7" i="14" a="1"/>
  <c r="E7" i="14" s="1"/>
  <c r="D7" i="14" a="1"/>
  <c r="D7" i="14" s="1"/>
  <c r="K53" i="14" a="1"/>
  <c r="K53" i="14" s="1"/>
  <c r="J53" i="14" a="1"/>
  <c r="J53" i="14" s="1"/>
  <c r="E42" i="14" a="1"/>
  <c r="E42" i="14" s="1"/>
  <c r="D42" i="14" a="1"/>
  <c r="D42" i="14" s="1"/>
  <c r="P15" i="14" a="1"/>
  <c r="P15" i="14" s="1"/>
  <c r="Q15" i="14" a="1"/>
  <c r="Q15" i="14" s="1"/>
  <c r="D55" i="14" a="1"/>
  <c r="D55" i="14" s="1"/>
  <c r="E55" i="14" a="1"/>
  <c r="E55" i="14" s="1"/>
  <c r="G45" i="14" a="1"/>
  <c r="G45" i="14" s="1"/>
  <c r="H45" i="14" s="1" a="1"/>
  <c r="H45" i="14" s="1"/>
  <c r="F45" i="14" a="1"/>
  <c r="F45" i="14" s="1"/>
  <c r="K42" i="14" a="1"/>
  <c r="K42" i="14" s="1"/>
  <c r="J42" i="14" a="1"/>
  <c r="J42" i="14" s="1"/>
  <c r="P2" i="14" a="1"/>
  <c r="P2" i="14" s="1"/>
  <c r="Q2" i="14" a="1"/>
  <c r="Q2" i="14" s="1"/>
  <c r="R30" i="14" a="1"/>
  <c r="R30" i="14" s="1"/>
  <c r="S30" i="14" a="1"/>
  <c r="S30" i="14" s="1"/>
  <c r="T30" i="14" s="1" a="1"/>
  <c r="T30" i="14" s="1"/>
  <c r="K44" i="14" a="1"/>
  <c r="K44" i="14" s="1"/>
  <c r="J44" i="14" a="1"/>
  <c r="J44" i="14" s="1"/>
  <c r="R52" i="14" a="1"/>
  <c r="R52" i="14" s="1"/>
  <c r="S52" i="14" a="1"/>
  <c r="S52" i="14" s="1"/>
  <c r="T52" i="14" s="1" a="1"/>
  <c r="T52" i="14" s="1"/>
  <c r="M37" i="14" a="1"/>
  <c r="M37" i="14" s="1"/>
  <c r="N37" i="14" s="1" a="1"/>
  <c r="N37" i="14" s="1"/>
  <c r="L37" i="14" a="1"/>
  <c r="L37" i="14" s="1"/>
  <c r="E17" i="14" a="1"/>
  <c r="E17" i="14" s="1"/>
  <c r="D17" i="14" a="1"/>
  <c r="D17" i="14" s="1"/>
  <c r="E5" i="14" a="1"/>
  <c r="E5" i="14" s="1"/>
  <c r="D5" i="14" a="1"/>
  <c r="D5" i="14" s="1"/>
  <c r="M30" i="14" a="1"/>
  <c r="M30" i="14" s="1"/>
  <c r="N30" i="14" s="1" a="1"/>
  <c r="N30" i="14" s="1"/>
  <c r="L30" i="14" a="1"/>
  <c r="L30" i="14" s="1"/>
  <c r="G24" i="14" a="1"/>
  <c r="G24" i="14" s="1"/>
  <c r="H24" i="14" s="1" a="1"/>
  <c r="H24" i="14" s="1"/>
  <c r="F24" i="14" a="1"/>
  <c r="F24" i="14" s="1"/>
  <c r="R22" i="14" a="1"/>
  <c r="R22" i="14" s="1"/>
  <c r="S22" i="14" a="1"/>
  <c r="S22" i="14" s="1"/>
  <c r="T22" i="14" s="1" a="1"/>
  <c r="T22" i="14" s="1"/>
  <c r="D18" i="14" a="1"/>
  <c r="D18" i="14" s="1"/>
  <c r="E18" i="14" a="1"/>
  <c r="E18" i="14" s="1"/>
  <c r="K39" i="14" a="1"/>
  <c r="K39" i="14" s="1"/>
  <c r="J39" i="14" a="1"/>
  <c r="J39" i="14" s="1"/>
  <c r="Q51" i="14" a="1"/>
  <c r="Q51" i="14" s="1"/>
  <c r="P51" i="14" a="1"/>
  <c r="P51" i="14" s="1"/>
  <c r="E39" i="14" a="1"/>
  <c r="E39" i="14" s="1"/>
  <c r="D39" i="14" a="1"/>
  <c r="D39" i="14" s="1"/>
  <c r="E33" i="14" a="1"/>
  <c r="E33" i="14" s="1"/>
  <c r="D33" i="14" a="1"/>
  <c r="D33" i="14" s="1"/>
  <c r="K19" i="14" a="1"/>
  <c r="K19" i="14" s="1"/>
  <c r="J19" i="14" a="1"/>
  <c r="J19" i="14" s="1"/>
  <c r="P48" i="14" a="1"/>
  <c r="P48" i="14" s="1"/>
  <c r="Q48" i="14" a="1"/>
  <c r="Q48" i="14" s="1"/>
  <c r="L51" i="14" a="1"/>
  <c r="L51" i="14" s="1"/>
  <c r="M51" i="14" a="1"/>
  <c r="M51" i="14" s="1"/>
  <c r="N51" i="14" s="1" a="1"/>
  <c r="N51" i="14" s="1"/>
  <c r="L33" i="14" a="1"/>
  <c r="L33" i="14" s="1"/>
  <c r="M33" i="14" a="1"/>
  <c r="M33" i="14" s="1"/>
  <c r="N33" i="14" s="1" a="1"/>
  <c r="N33" i="14" s="1"/>
  <c r="K45" i="14" a="1"/>
  <c r="K45" i="14" s="1"/>
  <c r="J45" i="14" a="1"/>
  <c r="J45" i="14" s="1"/>
  <c r="G32" i="14" a="1"/>
  <c r="G32" i="14" s="1"/>
  <c r="H32" i="14" s="1" a="1"/>
  <c r="H32" i="14" s="1"/>
  <c r="F32" i="14" a="1"/>
  <c r="F32" i="14" s="1"/>
  <c r="M5" i="14" a="1"/>
  <c r="M5" i="14" s="1"/>
  <c r="N5" i="14" s="1" a="1"/>
  <c r="N5" i="14" s="1"/>
  <c r="L5" i="14" a="1"/>
  <c r="L5" i="14" s="1"/>
  <c r="F21" i="14" a="1"/>
  <c r="F21" i="14" s="1"/>
  <c r="G21" i="14" a="1"/>
  <c r="G21" i="14" s="1"/>
  <c r="H21" i="14" s="1" a="1"/>
  <c r="H21" i="14" s="1"/>
  <c r="L17" i="14" a="1"/>
  <c r="L17" i="14" s="1"/>
  <c r="M17" i="14" a="1"/>
  <c r="M17" i="14" s="1"/>
  <c r="N17" i="14" s="1" a="1"/>
  <c r="N17" i="14" s="1"/>
  <c r="M12" i="14" a="1"/>
  <c r="M12" i="14" s="1"/>
  <c r="N12" i="14" s="1" a="1"/>
  <c r="N12" i="14" s="1"/>
  <c r="L12" i="14" a="1"/>
  <c r="L12" i="14" s="1"/>
  <c r="F22" i="14" l="1" a="1"/>
  <c r="F22" i="14" s="1"/>
  <c r="R13" i="14" a="1"/>
  <c r="R13" i="14" s="1"/>
  <c r="S13" i="14" a="1"/>
  <c r="S13" i="14" s="1"/>
  <c r="T13" i="14" s="1" a="1"/>
  <c r="T13" i="14" s="1"/>
  <c r="G8" i="14" a="1"/>
  <c r="G8" i="14" s="1"/>
  <c r="H8" i="14" s="1" a="1"/>
  <c r="H8" i="14" s="1"/>
  <c r="F8" i="14" a="1"/>
  <c r="F8" i="14" s="1"/>
  <c r="R45" i="14" a="1"/>
  <c r="R45" i="14" s="1"/>
  <c r="S45" i="14" a="1"/>
  <c r="S45" i="14" s="1"/>
  <c r="T45" i="14" s="1" a="1"/>
  <c r="T45" i="14" s="1"/>
  <c r="G12" i="14" a="1"/>
  <c r="G12" i="14" s="1"/>
  <c r="H12" i="14" s="1" a="1"/>
  <c r="H12" i="14" s="1"/>
  <c r="F12" i="14" a="1"/>
  <c r="F12" i="14" s="1"/>
  <c r="G28" i="14" a="1"/>
  <c r="G28" i="14" s="1"/>
  <c r="H28" i="14" s="1" a="1"/>
  <c r="H28" i="14" s="1"/>
  <c r="F28" i="14" a="1"/>
  <c r="F28" i="14" s="1"/>
  <c r="R28" i="14" a="1"/>
  <c r="R28" i="14" s="1"/>
  <c r="M16" i="14" a="1"/>
  <c r="M16" i="14" s="1"/>
  <c r="N16" i="14" s="1" a="1"/>
  <c r="N16" i="14" s="1"/>
  <c r="L16" i="14" a="1"/>
  <c r="L16" i="14" s="1"/>
  <c r="L52" i="14" a="1"/>
  <c r="L52" i="14" s="1"/>
  <c r="M52" i="14" a="1"/>
  <c r="M52" i="14" s="1"/>
  <c r="N52" i="14" s="1" a="1"/>
  <c r="N52" i="14" s="1"/>
  <c r="M40" i="14" a="1"/>
  <c r="M40" i="14" s="1"/>
  <c r="N40" i="14" s="1" a="1"/>
  <c r="N40" i="14" s="1"/>
  <c r="L40" i="14" a="1"/>
  <c r="L40" i="14" s="1"/>
  <c r="G25" i="14" a="1"/>
  <c r="G25" i="14" s="1"/>
  <c r="H25" i="14" s="1" a="1"/>
  <c r="H25" i="14" s="1"/>
  <c r="F25" i="14" a="1"/>
  <c r="F25" i="14" s="1"/>
  <c r="G37" i="14" a="1"/>
  <c r="G37" i="14" s="1"/>
  <c r="H37" i="14" s="1" a="1"/>
  <c r="H37" i="14" s="1"/>
  <c r="F37" i="14" a="1"/>
  <c r="F37" i="14" s="1"/>
  <c r="S12" i="14" a="1"/>
  <c r="S12" i="14" s="1"/>
  <c r="T12" i="14" s="1" a="1"/>
  <c r="T12" i="14" s="1"/>
  <c r="R12" i="14" a="1"/>
  <c r="R12" i="14" s="1"/>
  <c r="S50" i="14" a="1"/>
  <c r="S50" i="14" s="1"/>
  <c r="T50" i="14" s="1" a="1"/>
  <c r="T50" i="14" s="1"/>
  <c r="R50" i="14" a="1"/>
  <c r="R50" i="14" s="1"/>
  <c r="M54" i="14" a="1"/>
  <c r="M54" i="14" s="1"/>
  <c r="N54" i="14" s="1" a="1"/>
  <c r="N54" i="14" s="1"/>
  <c r="L54" i="14" a="1"/>
  <c r="L54" i="14" s="1"/>
  <c r="L11" i="14" a="1"/>
  <c r="L11" i="14" s="1"/>
  <c r="M11" i="14" a="1"/>
  <c r="M11" i="14" s="1"/>
  <c r="N11" i="14" s="1" a="1"/>
  <c r="N11" i="14" s="1"/>
  <c r="L3" i="14" a="1"/>
  <c r="L3" i="14" s="1"/>
  <c r="M3" i="14" a="1"/>
  <c r="M3" i="14" s="1"/>
  <c r="N3" i="14" s="1" a="1"/>
  <c r="N3" i="14" s="1"/>
  <c r="M45" i="14" a="1"/>
  <c r="M45" i="14" s="1"/>
  <c r="N45" i="14" s="1" a="1"/>
  <c r="N45" i="14" s="1"/>
  <c r="L45" i="14" a="1"/>
  <c r="L45" i="14" s="1"/>
  <c r="F33" i="14" a="1"/>
  <c r="F33" i="14" s="1"/>
  <c r="G33" i="14" a="1"/>
  <c r="G33" i="14" s="1"/>
  <c r="H33" i="14" s="1" a="1"/>
  <c r="H33" i="14" s="1"/>
  <c r="M44" i="14" a="1"/>
  <c r="M44" i="14" s="1"/>
  <c r="N44" i="14" s="1" a="1"/>
  <c r="N44" i="14" s="1"/>
  <c r="L44" i="14" a="1"/>
  <c r="L44" i="14" s="1"/>
  <c r="F9" i="14" a="1"/>
  <c r="F9" i="14" s="1"/>
  <c r="G9" i="14" a="1"/>
  <c r="G9" i="14" s="1"/>
  <c r="H9" i="14" s="1" a="1"/>
  <c r="H9" i="14" s="1"/>
  <c r="G40" i="14" a="1"/>
  <c r="G40" i="14" s="1"/>
  <c r="H40" i="14" s="1" a="1"/>
  <c r="H40" i="14" s="1"/>
  <c r="F40" i="14" a="1"/>
  <c r="F40" i="14" s="1"/>
  <c r="F2" i="14" a="1"/>
  <c r="F2" i="14" s="1"/>
  <c r="G2" i="14" a="1"/>
  <c r="G2" i="14" s="1"/>
  <c r="H2" i="14" s="1" a="1"/>
  <c r="H2" i="14" s="1"/>
  <c r="F49" i="14" a="1"/>
  <c r="F49" i="14" s="1"/>
  <c r="G49" i="14" a="1"/>
  <c r="G49" i="14" s="1"/>
  <c r="H49" i="14" s="1" a="1"/>
  <c r="H49" i="14" s="1"/>
  <c r="G35" i="14" a="1"/>
  <c r="G35" i="14" s="1"/>
  <c r="H35" i="14" s="1" a="1"/>
  <c r="H35" i="14" s="1"/>
  <c r="F35" i="14" a="1"/>
  <c r="F35" i="14" s="1"/>
  <c r="G15" i="14" a="1"/>
  <c r="G15" i="14" s="1"/>
  <c r="H15" i="14" s="1" a="1"/>
  <c r="H15" i="14" s="1"/>
  <c r="F15" i="14" a="1"/>
  <c r="F15" i="14" s="1"/>
  <c r="G54" i="14" a="1"/>
  <c r="G54" i="14" s="1"/>
  <c r="H54" i="14" s="1" a="1"/>
  <c r="H54" i="14" s="1"/>
  <c r="F54" i="14" a="1"/>
  <c r="F54" i="14" s="1"/>
  <c r="R4" i="14" a="1"/>
  <c r="R4" i="14" s="1"/>
  <c r="S4" i="14" a="1"/>
  <c r="S4" i="14" s="1"/>
  <c r="T4" i="14" s="1" a="1"/>
  <c r="T4" i="14" s="1"/>
  <c r="F55" i="14" a="1"/>
  <c r="F55" i="14" s="1"/>
  <c r="G55" i="14" a="1"/>
  <c r="G55" i="14" s="1"/>
  <c r="H55" i="14" s="1" a="1"/>
  <c r="H55" i="14" s="1"/>
  <c r="M35" i="14" a="1"/>
  <c r="M35" i="14" s="1"/>
  <c r="N35" i="14" s="1" a="1"/>
  <c r="N35" i="14" s="1"/>
  <c r="L35" i="14" a="1"/>
  <c r="L35" i="14" s="1"/>
  <c r="F10" i="14" a="1"/>
  <c r="F10" i="14" s="1"/>
  <c r="G10" i="14" a="1"/>
  <c r="G10" i="14" s="1"/>
  <c r="H10" i="14" s="1" a="1"/>
  <c r="H10" i="14" s="1"/>
  <c r="G29" i="14" a="1"/>
  <c r="G29" i="14" s="1"/>
  <c r="H29" i="14" s="1" a="1"/>
  <c r="H29" i="14" s="1"/>
  <c r="F29" i="14" a="1"/>
  <c r="F29" i="14" s="1"/>
  <c r="M29" i="14" a="1"/>
  <c r="M29" i="14" s="1"/>
  <c r="N29" i="14" s="1" a="1"/>
  <c r="N29" i="14" s="1"/>
  <c r="L29" i="14" a="1"/>
  <c r="L29" i="14" s="1"/>
  <c r="S3" i="14" a="1"/>
  <c r="S3" i="14" s="1"/>
  <c r="T3" i="14" s="1" a="1"/>
  <c r="T3" i="14" s="1"/>
  <c r="R3" i="14" a="1"/>
  <c r="R3" i="14" s="1"/>
  <c r="S29" i="14" a="1"/>
  <c r="S29" i="14" s="1"/>
  <c r="T29" i="14" s="1" a="1"/>
  <c r="T29" i="14" s="1"/>
  <c r="R29" i="14" a="1"/>
  <c r="R29" i="14" s="1"/>
  <c r="S39" i="14" a="1"/>
  <c r="S39" i="14" s="1"/>
  <c r="T39" i="14" s="1" a="1"/>
  <c r="T39" i="14" s="1"/>
  <c r="R39" i="14" a="1"/>
  <c r="R39" i="14" s="1"/>
  <c r="M49" i="14" a="1"/>
  <c r="M49" i="14" s="1"/>
  <c r="N49" i="14" s="1" a="1"/>
  <c r="N49" i="14" s="1"/>
  <c r="L49" i="14" a="1"/>
  <c r="L49" i="14" s="1"/>
  <c r="M4" i="14" a="1"/>
  <c r="M4" i="14" s="1"/>
  <c r="N4" i="14" s="1" a="1"/>
  <c r="N4" i="14" s="1"/>
  <c r="L4" i="14" a="1"/>
  <c r="L4" i="14" s="1"/>
  <c r="G50" i="14" a="1"/>
  <c r="G50" i="14" s="1"/>
  <c r="H50" i="14" s="1" a="1"/>
  <c r="H50" i="14" s="1"/>
  <c r="F50" i="14" a="1"/>
  <c r="F50" i="14" s="1"/>
  <c r="L50" i="14" a="1"/>
  <c r="L50" i="14" s="1"/>
  <c r="M50" i="14" a="1"/>
  <c r="M50" i="14" s="1"/>
  <c r="N50" i="14" s="1" a="1"/>
  <c r="N50" i="14" s="1"/>
  <c r="G27" i="14" a="1"/>
  <c r="G27" i="14" s="1"/>
  <c r="H27" i="14" s="1" a="1"/>
  <c r="H27" i="14" s="1"/>
  <c r="F27" i="14" a="1"/>
  <c r="F27" i="14" s="1"/>
  <c r="M13" i="14" a="1"/>
  <c r="M13" i="14" s="1"/>
  <c r="N13" i="14" s="1" a="1"/>
  <c r="N13" i="14" s="1"/>
  <c r="L13" i="14" a="1"/>
  <c r="L13" i="14" s="1"/>
  <c r="L25" i="14" a="1"/>
  <c r="L25" i="14" s="1"/>
  <c r="M25" i="14" a="1"/>
  <c r="M25" i="14" s="1"/>
  <c r="N25" i="14" s="1" a="1"/>
  <c r="N25" i="14" s="1"/>
  <c r="F4" i="14" a="1"/>
  <c r="F4" i="14" s="1"/>
  <c r="G4" i="14" a="1"/>
  <c r="G4" i="14" s="1"/>
  <c r="H4" i="14" s="1" a="1"/>
  <c r="H4" i="14" s="1"/>
  <c r="S15" i="14" a="1"/>
  <c r="S15" i="14" s="1"/>
  <c r="T15" i="14" s="1" a="1"/>
  <c r="T15" i="14" s="1"/>
  <c r="R15" i="14" a="1"/>
  <c r="R15" i="14" s="1"/>
  <c r="G42" i="14" a="1"/>
  <c r="G42" i="14" s="1"/>
  <c r="H42" i="14" s="1" a="1"/>
  <c r="H42" i="14" s="1"/>
  <c r="F42" i="14" a="1"/>
  <c r="F42" i="14" s="1"/>
  <c r="S25" i="14" a="1"/>
  <c r="S25" i="14" s="1"/>
  <c r="T25" i="14" s="1" a="1"/>
  <c r="T25" i="14" s="1"/>
  <c r="R25" i="14" a="1"/>
  <c r="R25" i="14" s="1"/>
  <c r="S14" i="14" a="1"/>
  <c r="S14" i="14" s="1"/>
  <c r="T14" i="14" s="1" a="1"/>
  <c r="T14" i="14" s="1"/>
  <c r="R14" i="14" a="1"/>
  <c r="R14" i="14" s="1"/>
  <c r="S47" i="14" a="1"/>
  <c r="S47" i="14" s="1"/>
  <c r="T47" i="14" s="1" a="1"/>
  <c r="T47" i="14" s="1"/>
  <c r="R47" i="14" a="1"/>
  <c r="R47" i="14" s="1"/>
  <c r="L27" i="14" a="1"/>
  <c r="L27" i="14" s="1"/>
  <c r="M27" i="14" a="1"/>
  <c r="M27" i="14" s="1"/>
  <c r="N27" i="14" s="1" a="1"/>
  <c r="N27" i="14" s="1"/>
  <c r="L19" i="14" a="1"/>
  <c r="L19" i="14" s="1"/>
  <c r="M19" i="14" a="1"/>
  <c r="M19" i="14" s="1"/>
  <c r="N19" i="14" s="1" a="1"/>
  <c r="N19" i="14" s="1"/>
  <c r="M9" i="14" a="1"/>
  <c r="M9" i="14" s="1"/>
  <c r="N9" i="14" s="1" a="1"/>
  <c r="N9" i="14" s="1"/>
  <c r="L9" i="14" a="1"/>
  <c r="L9" i="14" s="1"/>
  <c r="R55" i="14" a="1"/>
  <c r="R55" i="14" s="1"/>
  <c r="S55" i="14" a="1"/>
  <c r="S55" i="14" s="1"/>
  <c r="T55" i="14" s="1" a="1"/>
  <c r="T55" i="14" s="1"/>
  <c r="R31" i="14" a="1"/>
  <c r="R31" i="14" s="1"/>
  <c r="S31" i="14" a="1"/>
  <c r="S31" i="14" s="1"/>
  <c r="T31" i="14" s="1" a="1"/>
  <c r="T31" i="14" s="1"/>
  <c r="S38" i="14" a="1"/>
  <c r="S38" i="14" s="1"/>
  <c r="T38" i="14" s="1" a="1"/>
  <c r="T38" i="14" s="1"/>
  <c r="R38" i="14" a="1"/>
  <c r="R38" i="14" s="1"/>
  <c r="S7" i="14" a="1"/>
  <c r="S7" i="14" s="1"/>
  <c r="T7" i="14" s="1" a="1"/>
  <c r="T7" i="14" s="1"/>
  <c r="R7" i="14" a="1"/>
  <c r="R7" i="14" s="1"/>
  <c r="F48" i="14" a="1"/>
  <c r="F48" i="14" s="1"/>
  <c r="G48" i="14" a="1"/>
  <c r="G48" i="14" s="1"/>
  <c r="H48" i="14" s="1" a="1"/>
  <c r="H48" i="14" s="1"/>
  <c r="S49" i="14" a="1"/>
  <c r="S49" i="14" s="1"/>
  <c r="T49" i="14" s="1" a="1"/>
  <c r="T49" i="14" s="1"/>
  <c r="R49" i="14" a="1"/>
  <c r="R49" i="14" s="1"/>
  <c r="R23" i="14" a="1"/>
  <c r="R23" i="14" s="1"/>
  <c r="S23" i="14" a="1"/>
  <c r="S23" i="14" s="1"/>
  <c r="T23" i="14" s="1" a="1"/>
  <c r="T23" i="14" s="1"/>
  <c r="L53" i="14" a="1"/>
  <c r="L53" i="14" s="1"/>
  <c r="M53" i="14" a="1"/>
  <c r="M53" i="14" s="1"/>
  <c r="N53" i="14" s="1" a="1"/>
  <c r="N53" i="14" s="1"/>
  <c r="F30" i="14" a="1"/>
  <c r="F30" i="14" s="1"/>
  <c r="G30" i="14" a="1"/>
  <c r="G30" i="14" s="1"/>
  <c r="H30" i="14" s="1" a="1"/>
  <c r="H30" i="14" s="1"/>
  <c r="F34" i="14" a="1"/>
  <c r="F34" i="14" s="1"/>
  <c r="G34" i="14" a="1"/>
  <c r="G34" i="14" s="1"/>
  <c r="H34" i="14" s="1" a="1"/>
  <c r="H34" i="14" s="1"/>
  <c r="M10" i="14" a="1"/>
  <c r="M10" i="14" s="1"/>
  <c r="N10" i="14" s="1" a="1"/>
  <c r="N10" i="14" s="1"/>
  <c r="L10" i="14" a="1"/>
  <c r="L10" i="14" s="1"/>
  <c r="M14" i="14" a="1"/>
  <c r="M14" i="14" s="1"/>
  <c r="N14" i="14" s="1" a="1"/>
  <c r="N14" i="14" s="1"/>
  <c r="L14" i="14" a="1"/>
  <c r="L14" i="14" s="1"/>
  <c r="S54" i="14" a="1"/>
  <c r="S54" i="14" s="1"/>
  <c r="T54" i="14" s="1" a="1"/>
  <c r="T54" i="14" s="1"/>
  <c r="R54" i="14" a="1"/>
  <c r="R54" i="14" s="1"/>
  <c r="G39" i="14" a="1"/>
  <c r="G39" i="14" s="1"/>
  <c r="H39" i="14" s="1" a="1"/>
  <c r="H39" i="14" s="1"/>
  <c r="F39" i="14" a="1"/>
  <c r="F39" i="14" s="1"/>
  <c r="R2" i="14" a="1"/>
  <c r="R2" i="14" s="1"/>
  <c r="S2" i="14" a="1"/>
  <c r="S2" i="14" s="1"/>
  <c r="T2" i="14" s="1" a="1"/>
  <c r="T2" i="14" s="1"/>
  <c r="F51" i="14" a="1"/>
  <c r="F51" i="14" s="1"/>
  <c r="G51" i="14" a="1"/>
  <c r="G51" i="14" s="1"/>
  <c r="H51" i="14" s="1" a="1"/>
  <c r="H51" i="14" s="1"/>
  <c r="F44" i="14" a="1"/>
  <c r="F44" i="14" s="1"/>
  <c r="G44" i="14" a="1"/>
  <c r="G44" i="14" s="1"/>
  <c r="H44" i="14" s="1" a="1"/>
  <c r="H44" i="14" s="1"/>
  <c r="G23" i="14" a="1"/>
  <c r="G23" i="14" s="1"/>
  <c r="H23" i="14" s="1" a="1"/>
  <c r="H23" i="14" s="1"/>
  <c r="F23" i="14" a="1"/>
  <c r="F23" i="14" s="1"/>
  <c r="M31" i="14" a="1"/>
  <c r="M31" i="14" s="1"/>
  <c r="N31" i="14" s="1" a="1"/>
  <c r="N31" i="14" s="1"/>
  <c r="L31" i="14" a="1"/>
  <c r="L31" i="14" s="1"/>
  <c r="S35" i="14" a="1"/>
  <c r="S35" i="14" s="1"/>
  <c r="T35" i="14" s="1" a="1"/>
  <c r="T35" i="14" s="1"/>
  <c r="R35" i="14" a="1"/>
  <c r="R35" i="14" s="1"/>
  <c r="S51" i="14" a="1"/>
  <c r="S51" i="14" s="1"/>
  <c r="T51" i="14" s="1" a="1"/>
  <c r="T51" i="14" s="1"/>
  <c r="R51" i="14" a="1"/>
  <c r="R51" i="14" s="1"/>
  <c r="G5" i="14" a="1"/>
  <c r="G5" i="14" s="1"/>
  <c r="H5" i="14" s="1" a="1"/>
  <c r="H5" i="14" s="1"/>
  <c r="F5" i="14" a="1"/>
  <c r="F5" i="14" s="1"/>
  <c r="F17" i="14" a="1"/>
  <c r="F17" i="14" s="1"/>
  <c r="G17" i="14" a="1"/>
  <c r="G17" i="14" s="1"/>
  <c r="H17" i="14" s="1" a="1"/>
  <c r="H17" i="14" s="1"/>
  <c r="F43" i="14" a="1"/>
  <c r="F43" i="14" s="1"/>
  <c r="G43" i="14" a="1"/>
  <c r="G43" i="14" s="1"/>
  <c r="H43" i="14" s="1" a="1"/>
  <c r="H43" i="14" s="1"/>
  <c r="S41" i="14" a="1"/>
  <c r="S41" i="14" s="1"/>
  <c r="T41" i="14" s="1" a="1"/>
  <c r="T41" i="14" s="1"/>
  <c r="R41" i="14" a="1"/>
  <c r="R41" i="14" s="1"/>
  <c r="R48" i="14" a="1"/>
  <c r="R48" i="14" s="1"/>
  <c r="S48" i="14" a="1"/>
  <c r="S48" i="14" s="1"/>
  <c r="T48" i="14" s="1" a="1"/>
  <c r="T48" i="14" s="1"/>
  <c r="F18" i="14" a="1"/>
  <c r="F18" i="14" s="1"/>
  <c r="G18" i="14" a="1"/>
  <c r="G18" i="14" s="1"/>
  <c r="H18" i="14" s="1" a="1"/>
  <c r="H18" i="14" s="1"/>
  <c r="G3" i="14" a="1"/>
  <c r="G3" i="14" s="1"/>
  <c r="H3" i="14" s="1" a="1"/>
  <c r="H3" i="14" s="1"/>
  <c r="F3" i="14" a="1"/>
  <c r="F3" i="14" s="1"/>
  <c r="G14" i="14" a="1"/>
  <c r="G14" i="14" s="1"/>
  <c r="H14" i="14" s="1" a="1"/>
  <c r="H14" i="14" s="1"/>
  <c r="F14" i="14" a="1"/>
  <c r="F14" i="14" s="1"/>
  <c r="M18" i="14" a="1"/>
  <c r="M18" i="14" s="1"/>
  <c r="N18" i="14" s="1" a="1"/>
  <c r="N18" i="14" s="1"/>
  <c r="L18" i="14" a="1"/>
  <c r="L18" i="14" s="1"/>
  <c r="S26" i="14" a="1"/>
  <c r="S26" i="14" s="1"/>
  <c r="T26" i="14" s="1" a="1"/>
  <c r="T26" i="14" s="1"/>
  <c r="R26" i="14" a="1"/>
  <c r="R26" i="14" s="1"/>
  <c r="L39" i="14" a="1"/>
  <c r="L39" i="14" s="1"/>
  <c r="M39" i="14" a="1"/>
  <c r="M39" i="14" s="1"/>
  <c r="N39" i="14" s="1" a="1"/>
  <c r="N39" i="14" s="1"/>
  <c r="L42" i="14" a="1"/>
  <c r="L42" i="14" s="1"/>
  <c r="M42" i="14" a="1"/>
  <c r="M42" i="14" s="1"/>
  <c r="N42" i="14" s="1" a="1"/>
  <c r="N42" i="14" s="1"/>
  <c r="F7" i="14" a="1"/>
  <c r="F7" i="14" s="1"/>
  <c r="G7" i="14" a="1"/>
  <c r="G7" i="14" s="1"/>
  <c r="H7" i="14" s="1" a="1"/>
  <c r="H7" i="14" s="1"/>
  <c r="F31" i="14" a="1"/>
  <c r="F31" i="14" s="1"/>
  <c r="G31" i="14" a="1"/>
  <c r="G31" i="14" s="1"/>
  <c r="H31" i="14" s="1" a="1"/>
  <c r="H31" i="14" s="1"/>
  <c r="R17" i="14" a="1"/>
  <c r="R17" i="14" s="1"/>
  <c r="S17" i="14" a="1"/>
  <c r="S17" i="14" s="1"/>
  <c r="T17" i="14" s="1" a="1"/>
  <c r="T17" i="14" s="1"/>
  <c r="L48" i="14" a="1"/>
  <c r="L48" i="14" s="1"/>
  <c r="M48" i="14" a="1"/>
  <c r="M48" i="14" s="1"/>
  <c r="N48" i="14" s="1" a="1"/>
  <c r="N48" i="14" s="1"/>
  <c r="M2" i="14" a="1"/>
  <c r="M2" i="14" s="1"/>
  <c r="N2" i="14" s="1" a="1"/>
  <c r="N2" i="14" s="1"/>
  <c r="L2" i="14" a="1"/>
  <c r="L2" i="14" s="1"/>
  <c r="G41" i="14" a="1"/>
  <c r="G41" i="14" s="1"/>
  <c r="H41" i="14" s="1" a="1"/>
  <c r="H41" i="14" s="1"/>
  <c r="F41" i="14" a="1"/>
  <c r="F41" i="14" s="1"/>
  <c r="M23" i="14" a="1"/>
  <c r="M23" i="14" s="1"/>
  <c r="N23" i="14" s="1" a="1"/>
  <c r="N23" i="14" s="1"/>
  <c r="L23" i="14" a="1"/>
  <c r="L23" i="14" s="1"/>
  <c r="R42" i="14" a="1"/>
  <c r="R42" i="14" s="1"/>
  <c r="S42" i="14" a="1"/>
  <c r="S42" i="14" s="1"/>
  <c r="T42" i="14" s="1" a="1"/>
  <c r="T42" i="14" s="1"/>
  <c r="G53" i="14" a="1"/>
  <c r="G53" i="14" s="1"/>
  <c r="H53" i="14" s="1" a="1"/>
  <c r="H53" i="14" s="1"/>
  <c r="F53" i="14" a="1"/>
  <c r="F53" i="1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<sst xmlns="http://schemas.openxmlformats.org/spreadsheetml/2006/main" count="1844" uniqueCount="304">
  <si>
    <t>The lock password is "password"</t>
  </si>
  <si>
    <t xml:space="preserve"> </t>
  </si>
  <si>
    <t>X</t>
  </si>
  <si>
    <t>X'</t>
  </si>
  <si>
    <t>X2</t>
  </si>
  <si>
    <t>Y</t>
  </si>
  <si>
    <t>Y'</t>
  </si>
  <si>
    <t>Y2</t>
  </si>
  <si>
    <t>Z</t>
  </si>
  <si>
    <t>Z'</t>
  </si>
  <si>
    <t>Z2</t>
  </si>
  <si>
    <t>X2 Y</t>
  </si>
  <si>
    <t>X2 Y'</t>
  </si>
  <si>
    <t>Y2 Z</t>
  </si>
  <si>
    <t>Y2 Z'</t>
  </si>
  <si>
    <t>Z2 X</t>
  </si>
  <si>
    <t>Z2 X'</t>
  </si>
  <si>
    <t>T-reflection</t>
  </si>
  <si>
    <t>R</t>
  </si>
  <si>
    <t>L'</t>
  </si>
  <si>
    <t>R'</t>
  </si>
  <si>
    <t>L</t>
  </si>
  <si>
    <t>R2</t>
  </si>
  <si>
    <t>L2</t>
  </si>
  <si>
    <t>a</t>
  </si>
  <si>
    <t>b</t>
  </si>
  <si>
    <t>c</t>
  </si>
  <si>
    <t>d</t>
  </si>
  <si>
    <t>Group</t>
  </si>
  <si>
    <t>A</t>
  </si>
  <si>
    <t>B</t>
  </si>
  <si>
    <t>C</t>
  </si>
  <si>
    <t>D</t>
  </si>
  <si>
    <t>Still available for ascii chars: o, =, |</t>
  </si>
  <si>
    <t>orig</t>
  </si>
  <si>
    <t>char</t>
  </si>
  <si>
    <t>code</t>
  </si>
  <si>
    <t>inverse</t>
  </si>
  <si>
    <t>inv char</t>
  </si>
  <si>
    <t>inv code</t>
  </si>
  <si>
    <t>Complement</t>
  </si>
  <si>
    <t>CompChar</t>
  </si>
  <si>
    <t>Rotation Direction</t>
  </si>
  <si>
    <t>orig + &lt;space&gt;</t>
  </si>
  <si>
    <t>(X)</t>
  </si>
  <si>
    <t>(Y)</t>
  </si>
  <si>
    <t>(Z)</t>
  </si>
  <si>
    <t>(T-reflection)</t>
  </si>
  <si>
    <t>(H-reflection)</t>
  </si>
  <si>
    <t>(S-reflection)</t>
  </si>
  <si>
    <t>orig char</t>
  </si>
  <si>
    <t>X char</t>
  </si>
  <si>
    <t>X2 char</t>
  </si>
  <si>
    <t>X' char</t>
  </si>
  <si>
    <t>Y char</t>
  </si>
  <si>
    <t>Y2 char</t>
  </si>
  <si>
    <t>Y' char</t>
  </si>
  <si>
    <t>Z char</t>
  </si>
  <si>
    <t>Z2 char</t>
  </si>
  <si>
    <t>Z' char</t>
  </si>
  <si>
    <t>T-refl char</t>
  </si>
  <si>
    <t>H-reflection</t>
  </si>
  <si>
    <t>H-refl char</t>
  </si>
  <si>
    <t>S-reflection</t>
  </si>
  <si>
    <t>S-refl char</t>
  </si>
  <si>
    <t>l</t>
  </si>
  <si>
    <t>F</t>
  </si>
  <si>
    <t>r</t>
  </si>
  <si>
    <t>r'</t>
  </si>
  <si>
    <t>f</t>
  </si>
  <si>
    <t>l'</t>
  </si>
  <si>
    <t>T</t>
  </si>
  <si>
    <t>T'</t>
  </si>
  <si>
    <t>R'L</t>
  </si>
  <si>
    <t>S</t>
  </si>
  <si>
    <t>H'</t>
  </si>
  <si>
    <t>u</t>
  </si>
  <si>
    <t>U</t>
  </si>
  <si>
    <t>F'</t>
  </si>
  <si>
    <t>D'</t>
  </si>
  <si>
    <t>f'</t>
  </si>
  <si>
    <t>d'</t>
  </si>
  <si>
    <t>RL'</t>
  </si>
  <si>
    <t>S'</t>
  </si>
  <si>
    <t>H</t>
  </si>
  <si>
    <t>g</t>
  </si>
  <si>
    <t>b'</t>
  </si>
  <si>
    <t>u'</t>
  </si>
  <si>
    <t>G</t>
  </si>
  <si>
    <t>B'</t>
  </si>
  <si>
    <t>U'</t>
  </si>
  <si>
    <t>!</t>
  </si>
  <si>
    <t>J</t>
  </si>
  <si>
    <t>l2</t>
  </si>
  <si>
    <t>F2</t>
  </si>
  <si>
    <t>D2</t>
  </si>
  <si>
    <t>r2</t>
  </si>
  <si>
    <t>j</t>
  </si>
  <si>
    <t>f2</t>
  </si>
  <si>
    <t>d2</t>
  </si>
  <si>
    <t>T2</t>
  </si>
  <si>
    <t>K</t>
  </si>
  <si>
    <t>R2L2</t>
  </si>
  <si>
    <t>S2</t>
  </si>
  <si>
    <t>H2</t>
  </si>
  <si>
    <t>n</t>
  </si>
  <si>
    <t>b2</t>
  </si>
  <si>
    <t>u2</t>
  </si>
  <si>
    <t>N</t>
  </si>
  <si>
    <t>B2</t>
  </si>
  <si>
    <t>U2</t>
  </si>
  <si>
    <t>P</t>
  </si>
  <si>
    <t>F'B</t>
  </si>
  <si>
    <t>Q</t>
  </si>
  <si>
    <t>q</t>
  </si>
  <si>
    <t>V</t>
  </si>
  <si>
    <t>FB'</t>
  </si>
  <si>
    <t>&amp;</t>
  </si>
  <si>
    <t>@</t>
  </si>
  <si>
    <t>#</t>
  </si>
  <si>
    <t>$</t>
  </si>
  <si>
    <t>?</t>
  </si>
  <si>
    <t>^</t>
  </si>
  <si>
    <t>F2B2</t>
  </si>
  <si>
    <t>~</t>
  </si>
  <si>
    <t>`</t>
  </si>
  <si>
    <t>=</t>
  </si>
  <si>
    <t>U'D</t>
  </si>
  <si>
    <t>.</t>
  </si>
  <si>
    <t>-</t>
  </si>
  <si>
    <t>+</t>
  </si>
  <si>
    <t>UD'</t>
  </si>
  <si>
    <t>k</t>
  </si>
  <si>
    <t>%</t>
  </si>
  <si>
    <t>p</t>
  </si>
  <si>
    <t>\</t>
  </si>
  <si>
    <t>v</t>
  </si>
  <si>
    <t>/</t>
  </si>
  <si>
    <t>U2D2</t>
  </si>
  <si>
    <t>_</t>
  </si>
  <si>
    <t>I</t>
  </si>
  <si>
    <t>FR</t>
  </si>
  <si>
    <t>UR</t>
  </si>
  <si>
    <t>FL</t>
  </si>
  <si>
    <t>UB</t>
  </si>
  <si>
    <t>UL</t>
  </si>
  <si>
    <t>UF</t>
  </si>
  <si>
    <t>Both face turns whose complement has a given rotation</t>
  </si>
  <si>
    <t xml:space="preserve">  -</t>
  </si>
  <si>
    <t>SeekCodes</t>
  </si>
  <si>
    <t>All Coros (Core Rotations)</t>
  </si>
  <si>
    <t>DO6 - multiple methods of identification</t>
  </si>
  <si>
    <t>Mod 4 tracker</t>
  </si>
  <si>
    <t>Rotation</t>
  </si>
  <si>
    <t>Opposite Primary</t>
  </si>
  <si>
    <t>Opposite Secondary</t>
  </si>
  <si>
    <t>Face Turn Sought</t>
  </si>
  <si>
    <t>opp Rotation</t>
  </si>
  <si>
    <t>SeekCode</t>
  </si>
  <si>
    <t>Coro</t>
  </si>
  <si>
    <t>Type</t>
  </si>
  <si>
    <t>thumb pivot</t>
  </si>
  <si>
    <t>U-F center</t>
  </si>
  <si>
    <t>180 swap</t>
  </si>
  <si>
    <t>Types</t>
  </si>
  <si>
    <t>Groups</t>
  </si>
  <si>
    <t>Thumbs</t>
  </si>
  <si>
    <t>U-F centers</t>
  </si>
  <si>
    <t>180 swaps</t>
  </si>
  <si>
    <t>RotationNum</t>
  </si>
  <si>
    <t>CompRotationNum</t>
  </si>
  <si>
    <t>Group 1</t>
  </si>
  <si>
    <t>yellow-blue</t>
  </si>
  <si>
    <t>PAPER</t>
  </si>
  <si>
    <t>MyAlg</t>
  </si>
  <si>
    <t>Y' X2</t>
  </si>
  <si>
    <t>Group 2</t>
  </si>
  <si>
    <t>yellow-green</t>
  </si>
  <si>
    <t>Z2 Y'</t>
  </si>
  <si>
    <t>Group 3</t>
  </si>
  <si>
    <t>blue-orange</t>
  </si>
  <si>
    <t>FIRE</t>
  </si>
  <si>
    <t>Y Z2</t>
  </si>
  <si>
    <t>Group 4</t>
  </si>
  <si>
    <t>green-orange</t>
  </si>
  <si>
    <t>X X Y</t>
  </si>
  <si>
    <t>Group 5</t>
  </si>
  <si>
    <t>red-white</t>
  </si>
  <si>
    <t>WATER</t>
  </si>
  <si>
    <t>X' X' Y</t>
  </si>
  <si>
    <t>Group 6</t>
  </si>
  <si>
    <t>orange-yellow</t>
  </si>
  <si>
    <t>M'</t>
  </si>
  <si>
    <t>Y' X X</t>
  </si>
  <si>
    <t>Y' X' X'</t>
  </si>
  <si>
    <t>Z Z Y'</t>
  </si>
  <si>
    <t>Z' Z' Y'</t>
  </si>
  <si>
    <t>Y Z Z</t>
  </si>
  <si>
    <t>Y Z' Z'</t>
  </si>
  <si>
    <t>X Z X</t>
  </si>
  <si>
    <t>M2</t>
  </si>
  <si>
    <t>X' Z' X'</t>
  </si>
  <si>
    <t>Z X Z</t>
  </si>
  <si>
    <t>Z' X' Z'</t>
  </si>
  <si>
    <t>X Y Z</t>
  </si>
  <si>
    <t>Z' Y' X'</t>
  </si>
  <si>
    <t>X' Y Z'</t>
  </si>
  <si>
    <t>Z Y' X</t>
  </si>
  <si>
    <t>M</t>
  </si>
  <si>
    <t>Y X2</t>
  </si>
  <si>
    <t>Z2 Y</t>
  </si>
  <si>
    <t>Y' Z2</t>
  </si>
  <si>
    <t>X X Y'</t>
  </si>
  <si>
    <t>X' X' Y'</t>
  </si>
  <si>
    <t>Y X X</t>
  </si>
  <si>
    <t>Y X' X'</t>
  </si>
  <si>
    <t>Z Z Y</t>
  </si>
  <si>
    <t>Z' Z' Y</t>
  </si>
  <si>
    <t>Y' Z Z</t>
  </si>
  <si>
    <t>Y' Z' Z'</t>
  </si>
  <si>
    <t>X Z' X</t>
  </si>
  <si>
    <t>X' Z X'</t>
  </si>
  <si>
    <t>Z X' Z</t>
  </si>
  <si>
    <t>Z' X Z'</t>
  </si>
  <si>
    <t>X Y' Z'</t>
  </si>
  <si>
    <t>Z Y X'</t>
  </si>
  <si>
    <t>X' Y' Z</t>
  </si>
  <si>
    <t>Z' Y X</t>
  </si>
  <si>
    <t>Z' Y2</t>
  </si>
  <si>
    <t>X2 Z'</t>
  </si>
  <si>
    <t>Z X2</t>
  </si>
  <si>
    <t>Y Y Z</t>
  </si>
  <si>
    <t>Y' Y' Z</t>
  </si>
  <si>
    <t>Z' Y Y</t>
  </si>
  <si>
    <t>Z' Y' Y'</t>
  </si>
  <si>
    <t>X X Z'</t>
  </si>
  <si>
    <t>X' X' Z'</t>
  </si>
  <si>
    <t>Z X X</t>
  </si>
  <si>
    <t>Z X' X'</t>
  </si>
  <si>
    <t>Y X Y</t>
  </si>
  <si>
    <t>Y' X' Y'</t>
  </si>
  <si>
    <t>X Y X</t>
  </si>
  <si>
    <t>X' Y' X'</t>
  </si>
  <si>
    <t>Y Z X</t>
  </si>
  <si>
    <t>X' Z' Y'</t>
  </si>
  <si>
    <t>Y' Z X'</t>
  </si>
  <si>
    <t>X Z' Y</t>
  </si>
  <si>
    <t>Z Y2</t>
  </si>
  <si>
    <t>X2 Z</t>
  </si>
  <si>
    <t>Z' X2</t>
  </si>
  <si>
    <t>Y Y Z'</t>
  </si>
  <si>
    <t>Y' Y' Z'</t>
  </si>
  <si>
    <t>Z Y Y</t>
  </si>
  <si>
    <t>Z Y' Y'</t>
  </si>
  <si>
    <t>X X Z</t>
  </si>
  <si>
    <t>X' X' Z</t>
  </si>
  <si>
    <t>Z' X X</t>
  </si>
  <si>
    <t>Z' X' X'</t>
  </si>
  <si>
    <t>Y X' Y</t>
  </si>
  <si>
    <t>Y' X Y'</t>
  </si>
  <si>
    <t>X Y' X</t>
  </si>
  <si>
    <t>X' Y X'</t>
  </si>
  <si>
    <t>Y Z' X'</t>
  </si>
  <si>
    <t>X Z Y'</t>
  </si>
  <si>
    <t>Y' Z' X</t>
  </si>
  <si>
    <t>X' Z Y</t>
  </si>
  <si>
    <t>X' Z2</t>
  </si>
  <si>
    <t>Y2 X'</t>
  </si>
  <si>
    <t>X Y2</t>
  </si>
  <si>
    <t>Z Z X</t>
  </si>
  <si>
    <t>Z' Z' X</t>
  </si>
  <si>
    <t>X' Z Z</t>
  </si>
  <si>
    <t>X' Z' Z'</t>
  </si>
  <si>
    <t>Y Y X'</t>
  </si>
  <si>
    <t>Y' Y' X'</t>
  </si>
  <si>
    <t>X Y Y</t>
  </si>
  <si>
    <t>X Y' Y'</t>
  </si>
  <si>
    <t>Z Y Z</t>
  </si>
  <si>
    <t>Z' Y' Z'</t>
  </si>
  <si>
    <t>Y Z Y</t>
  </si>
  <si>
    <t>Y' Z' Y'</t>
  </si>
  <si>
    <t>Z X Y</t>
  </si>
  <si>
    <t>Y' X' Z'</t>
  </si>
  <si>
    <t>Z' X Y'</t>
  </si>
  <si>
    <t>Y X' Z</t>
  </si>
  <si>
    <t>X Z2</t>
  </si>
  <si>
    <t>Y2 X</t>
  </si>
  <si>
    <t>X' Y2</t>
  </si>
  <si>
    <t>Z Z X'</t>
  </si>
  <si>
    <t>Z' Z' X'</t>
  </si>
  <si>
    <t>X Z Z</t>
  </si>
  <si>
    <t>X Z' Z'</t>
  </si>
  <si>
    <t>Y Y X</t>
  </si>
  <si>
    <t>Y' Y' X</t>
  </si>
  <si>
    <t>X' Y Y</t>
  </si>
  <si>
    <t>X' Y' Y'</t>
  </si>
  <si>
    <t>Z Y' Z</t>
  </si>
  <si>
    <t>Z' Y Z'</t>
  </si>
  <si>
    <t>Y Z' Y</t>
  </si>
  <si>
    <t>Y' Z Y'</t>
  </si>
  <si>
    <t>Z X' Y'</t>
  </si>
  <si>
    <t>Y X Z'</t>
  </si>
  <si>
    <t>Z' X' Y</t>
  </si>
  <si>
    <t>Y' X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</si>
</sst>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rial"/>
      <family val="18"/>
    </font>
    <font>
      <sz val="6"/>
      <name val="Yu Gothic"/>
      <family val="2"/>
      <charset val="128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 style="thin">
        <color rgb="FF505050"/>
      </bottom>
      <diagonal/>
    </border>
    <border>
      <left/>
      <right style="double">
        <color theme="1"/>
      </right>
      <top/>
      <bottom/>
      <diagonal/>
    </border>
    <border>
      <left/>
      <right style="double">
        <color theme="1"/>
      </right>
      <top/>
      <bottom style="thin">
        <color rgb="FF50505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3" fillId="0" borderId="0" xfId="0" applyFont="1" applyAlignment="1">
      <alignment wrapText="1" readingOrder="1"/>
    </xf>
    <xf numFmtId="0" fontId="0" fillId="0" borderId="2" xfId="0" applyBorder="1"/>
    <xf numFmtId="0" fontId="0" fillId="2" borderId="0" xfId="0" applyFill="1"/>
    <xf numFmtId="0" fontId="0" fillId="0" borderId="0" xfId="0" quotePrefix="1"/>
    <xf numFmtId="0" fontId="0" fillId="0" borderId="3" xfId="0" applyBorder="1"/>
    <xf numFmtId="0" fontId="0" fillId="0" borderId="1" xfId="0" quotePrefix="1" applyBorder="1"/>
    <xf numFmtId="0" fontId="2" fillId="0" borderId="1" xfId="0" applyFont="1" applyBorder="1"/>
    <xf numFmtId="0" fontId="3" fillId="0" borderId="5" xfId="0" applyFont="1" applyBorder="1" applyAlignment="1">
      <alignment wrapText="1" readingOrder="1"/>
    </xf>
    <xf numFmtId="0" fontId="0" fillId="0" borderId="5" xfId="0" applyBorder="1"/>
    <xf numFmtId="0" fontId="0" fillId="0" borderId="4" xfId="0" applyBorder="1"/>
    <xf numFmtId="0" fontId="3" fillId="0" borderId="6" xfId="0" applyFont="1" applyBorder="1" applyAlignment="1">
      <alignment wrapText="1" readingOrder="1"/>
    </xf>
    <xf numFmtId="0" fontId="0" fillId="0" borderId="6" xfId="0" applyBorder="1"/>
    <xf numFmtId="0" fontId="0" fillId="0" borderId="7" xfId="0" applyBorder="1"/>
    <xf numFmtId="0" fontId="5" fillId="0" borderId="5" xfId="0" applyFont="1" applyBorder="1" applyAlignment="1">
      <alignment wrapText="1" readingOrder="1"/>
    </xf>
  </cellXfs>
  <cellStyles count="1">
    <cellStyle name="Normal" xfId="0" builtinId="0"/>
  </cellStyles>
  <dxfs count="84">
    <dxf>
      <fill>
        <patternFill>
          <bgColor rgb="FF20E8ED"/>
        </patternFill>
      </fill>
    </dxf>
    <dxf>
      <fill>
        <patternFill>
          <bgColor rgb="FF92D050"/>
        </patternFill>
      </fill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sz val="1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general" vertical="bottom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numFmt numFmtId="0" formatCode="General"/>
    </dxf>
  </dxfs>
  <tableStyles count="0" defaultTableStyle="TableStyleMedium2" defaultPivotStyle="PivotStyleMedium9"/>
  <colors>
    <mruColors>
      <color rgb="FF56E8C6"/>
      <color rgb="FFF36DE9"/>
      <color rgb="FF00D2C7"/>
      <color rgb="FF20E8ED"/>
      <color rgb="FFE85A6D"/>
      <color rgb="FFFF90C7"/>
      <color rgb="FF2B2B2B"/>
      <color rgb="FF7C4A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C8717-F9C8-4F69-BEFA-7A9CFBE9E0FC}" name="Table1" displayName="Table1" ref="E4:F58" totalsRowShown="0" headerRowDxfId="83" dataDxfId="82">
  <autoFilter ref="E4:F58" xr:uid="{39DC8717-F9C8-4F69-BEFA-7A9CFBE9E0FC}"/>
  <tableColumns count="2">
    <tableColumn id="2" xr3:uid="{261FAE33-952B-4602-B772-C5B266CD69CD}" name="orig" dataDxfId="81"/>
    <tableColumn id="3" xr3:uid="{224443CF-22EE-4BA6-97C6-DBE87AE0E5AB}" name="(Y)" dataDxfId="8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45DC8B-6C42-8A4F-A431-A22A6834EB22}" name="Table4" displayName="Table4" ref="B4:C58" totalsRowShown="0" headerRowDxfId="79" dataDxfId="78" tableBorderDxfId="77">
  <autoFilter ref="B4:C58" xr:uid="{FE45DC8B-6C42-8A4F-A431-A22A6834EB22}"/>
  <tableColumns count="2">
    <tableColumn id="1" xr3:uid="{C6340FD7-0F60-764E-B209-042F7E97B32C}" name="orig" dataDxfId="76"/>
    <tableColumn id="2" xr3:uid="{320E2130-696E-0041-A459-52DE6F924494}" name="(X)" dataDxfId="7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810B22-54A4-6E4E-BF42-E89E63719305}" name="Table3" displayName="Table3" ref="H4:I58" totalsRowShown="0" headerRowDxfId="74" dataDxfId="73" tableBorderDxfId="72">
  <autoFilter ref="H4:I58" xr:uid="{3B810B22-54A4-6E4E-BF42-E89E63719305}"/>
  <tableColumns count="2">
    <tableColumn id="1" xr3:uid="{4640F449-0D6D-6040-93D0-F3F2CB213E57}" name="orig" dataDxfId="71"/>
    <tableColumn id="2" xr3:uid="{7ED22FEE-42CD-334B-A724-96967247B8AE}" name="(Z)" dataDxfId="7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6F0EB8-6E4C-D946-B118-0E8E7E2AF251}" name="Table5" displayName="Table5" ref="K4:L58" totalsRowShown="0" headerRowDxfId="69" dataDxfId="68" tableBorderDxfId="67">
  <autoFilter ref="K4:L58" xr:uid="{6B6F0EB8-6E4C-D946-B118-0E8E7E2AF251}"/>
  <tableColumns count="2">
    <tableColumn id="1" xr3:uid="{6DFF3402-A2BB-AC45-A076-9A01D15F8D9E}" name="orig" dataDxfId="66"/>
    <tableColumn id="2" xr3:uid="{FCE8A85E-7009-AB4F-893B-20D1918F78B9}" name="(T-reflection)" dataDxfId="6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6D42E3-1540-6546-875D-AB4CBA9C4B78}" name="Table6" displayName="Table6" ref="N4:O58" totalsRowShown="0" headerRowDxfId="64" dataDxfId="63" tableBorderDxfId="62">
  <autoFilter ref="N4:O58" xr:uid="{FD6D42E3-1540-6546-875D-AB4CBA9C4B78}"/>
  <tableColumns count="2">
    <tableColumn id="1" xr3:uid="{331E1CFC-0112-E740-BEB9-D98CE358E25B}" name="orig" dataDxfId="61"/>
    <tableColumn id="2" xr3:uid="{FC0EE1FC-369D-BD4F-9F7C-4A4AF4365B84}" name="(H-reflection)" dataDxfId="6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AC9367-0D38-DE4F-A57E-AB17C0ADDD69}" name="Table7" displayName="Table7" ref="Q4:R58" totalsRowShown="0" headerRowDxfId="59" dataDxfId="58" tableBorderDxfId="57">
  <autoFilter ref="Q4:R58" xr:uid="{78AC9367-0D38-DE4F-A57E-AB17C0ADDD69}"/>
  <tableColumns count="2">
    <tableColumn id="1" xr3:uid="{7E4C4427-BE99-1644-AE98-125DA80C16DC}" name="orig" dataDxfId="56"/>
    <tableColumn id="2" xr3:uid="{AE305346-7FA8-E641-BEE8-F1D2A1D47C85}" name="(S-reflection)" dataDxfId="5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5F4FEEC-D297-E84C-B2DE-86C5D909A908}" name="Table11" displayName="Table11" ref="B4:D58" totalsRowShown="0" headerRowDxfId="54">
  <autoFilter ref="B4:D58" xr:uid="{E5F4FEEC-D297-E84C-B2DE-86C5D909A908}"/>
  <tableColumns count="3">
    <tableColumn id="1" xr3:uid="{D2E4CF96-ECE3-5F48-8B34-4043D6BE457A}" name="Rotation"/>
    <tableColumn id="2" xr3:uid="{C9D37F46-F070-EF45-B6C8-67D96BC84F43}" name="Opposite Primary"/>
    <tableColumn id="3" xr3:uid="{F12F6E4D-FE66-F347-ABA5-C111265D88B4}" name="Opposite Seconda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135F4C9-1C7D-BC4F-999F-5FD072560DD7}" name="Table12" displayName="Table12" ref="F4:I58" totalsRowShown="0" headerRowDxfId="53">
  <autoFilter ref="F4:I58" xr:uid="{7135F4C9-1C7D-BC4F-999F-5FD072560DD7}"/>
  <tableColumns count="4">
    <tableColumn id="1" xr3:uid="{D2650480-6F65-5248-A8A1-E74703193DD3}" name="Face Turn Sought"/>
    <tableColumn id="2" xr3:uid="{D0ADEAD9-B8D0-6C4A-8587-6EC254AF77E8}" name="char"/>
    <tableColumn id="3" xr3:uid="{0E5FC2C9-2EC5-A34B-B4B2-72404D142FF6}" name="opp Rotation"/>
    <tableColumn id="4" xr3:uid="{3DBA90ED-5910-2C40-9E5A-63B85EF85C46}" name="SeekCod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AA058E9-C5D8-6840-99D0-CDAAF75936DA}" name="Table15" displayName="Table15" ref="L4:Q124" totalsRowShown="0">
  <autoFilter ref="L4:Q124" xr:uid="{7AA058E9-C5D8-6840-99D0-CDAAF75936DA}"/>
  <tableColumns count="6">
    <tableColumn id="1" xr3:uid="{7EF6168C-4CA7-6B42-9482-2160663272A1}" name="Coro"/>
    <tableColumn id="2" xr3:uid="{0AAAD174-C6B8-304E-8BC0-36C58B044819}" name="Type" dataDxfId="52"/>
    <tableColumn id="3" xr3:uid="{17196624-4AF9-6444-8BFD-B30CFB4A7099}" name="Group"/>
    <tableColumn id="4" xr3:uid="{31C7BA7B-0DB6-D64B-BEC0-F8C4B36F19ED}" name="thumb pivot"/>
    <tableColumn id="5" xr3:uid="{D74D199A-4D17-F949-85EB-043E9DC226B5}" name="U-F center"/>
    <tableColumn id="6" xr3:uid="{85157A08-DD55-BC49-BC65-A283730A03CF}" name="180 swap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5FBC010-C539-3A49-B472-CEB78074ED61}" name="Table17" displayName="Table17" ref="S4:W10" totalsRowShown="0" headerRowDxfId="51" dataDxfId="50" tableBorderDxfId="49">
  <autoFilter ref="S4:W10" xr:uid="{45FBC010-C539-3A49-B472-CEB78074ED61}"/>
  <tableColumns count="5">
    <tableColumn id="1" xr3:uid="{A1DEABE7-CEFF-E149-AE49-24DCA94B2423}" name="Types" dataDxfId="48"/>
    <tableColumn id="2" xr3:uid="{CFF53E1A-5317-E744-9C39-C222A1DD1142}" name="Groups" dataDxfId="47"/>
    <tableColumn id="3" xr3:uid="{371F35C8-1153-D447-B1EB-A989F413B950}" name="Thumbs" dataDxfId="46"/>
    <tableColumn id="4" xr3:uid="{1F12399E-46C3-B241-817A-EF4A9CBCB7ED}" name="U-F centers" dataDxfId="45"/>
    <tableColumn id="5" xr3:uid="{FE700833-8B7B-BA43-83A9-4E104B315659}" name="180 swaps" dataDxfId="4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3591021-B267-E847-8C49-37383BCA8F0C}" name="Table14" displayName="Table14" ref="Y4:AC26" totalsRowShown="0">
  <autoFilter ref="Y4:AC26" xr:uid="{43591021-B267-E847-8C49-37383BCA8F0C}"/>
  <tableColumns count="5">
    <tableColumn id="1" xr3:uid="{136DC061-3058-114F-A1B9-EE9D4305145F}" name="X"/>
    <tableColumn id="2" xr3:uid="{CD94FC21-7443-0144-9A70-9365970941BA}" name="Y"/>
    <tableColumn id="3" xr3:uid="{171AF67D-A22B-A245-92FB-C5AADC4C7AE7}" name="Z"/>
    <tableColumn id="4" xr3:uid="{AF3D6317-92EA-0E42-8423-B81B14786204}" name="RotationNum"/>
    <tableColumn id="5" xr3:uid="{AD4E9410-2554-C14B-9833-BFD6234D044D}" name="CompRotationNum" dataDxfId="43">
      <calculatedColumnFormula>MOD(4-Table14[[#This Row],[RotationNum]],4)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5755446-5EF2-8143-8C87-1A7ABBC21F39}" name="Table9" displayName="Table9" ref="A1:J55" totalsRowShown="0" headerRowDxfId="42" dataDxfId="41" tableBorderDxfId="40">
  <autoFilter ref="A1:J55" xr:uid="{C5755446-5EF2-8143-8C87-1A7ABBC21F39}"/>
  <tableColumns count="10">
    <tableColumn id="1" xr3:uid="{6D6CEE8D-9ABA-1D4C-80BC-0111D5EBDB36}" name="orig" dataDxfId="39"/>
    <tableColumn id="5" xr3:uid="{1662E3B9-B2C3-4C42-803C-60253799CAFC}" name="char" dataDxfId="38"/>
    <tableColumn id="2" xr3:uid="{1324CB00-79A6-2B4D-9143-6DBAC3008FAC}" name="code" dataDxfId="37">
      <calculatedColumnFormula>CODE(Table9[[#This Row],[char]])</calculatedColumnFormula>
    </tableColumn>
    <tableColumn id="3" xr3:uid="{051D478E-0904-4B06-9033-9E911DE61016}" name="inverse" dataDxfId="36"/>
    <tableColumn id="4" xr3:uid="{392433D2-6BE2-4850-929B-7095C5837F30}" name="inv char" dataDxfId="35">
      <calculatedColumnFormula array="1">_xlfn.XLOOKUP(TRUE, EXACT(Table9[[#This Row],[inverse]], Table9[orig]), Table9[char])</calculatedColumnFormula>
    </tableColumn>
    <tableColumn id="6" xr3:uid="{B13605D8-41AC-4125-9F70-B4643E0BA6CD}" name="inv code" dataDxfId="34">
      <calculatedColumnFormula>CODE(Table9[[#This Row],[inv char]])</calculatedColumnFormula>
    </tableColumn>
    <tableColumn id="11" xr3:uid="{B435DF90-3F4A-0D44-B7C7-981F4EA63919}" name="Complement" dataDxfId="33"/>
    <tableColumn id="7" xr3:uid="{5ECCA94A-4BB1-0B49-AAD0-FD03A72963DD}" name="CompChar" dataDxfId="32">
      <calculatedColumnFormula array="1">_xlfn.XLOOKUP(TRUE, EXACT(Table9[[#This Row],[Complement]], Table9[orig]), Table9[char])</calculatedColumnFormula>
    </tableColumn>
    <tableColumn id="10" xr3:uid="{1C37F64A-F270-DF44-B8D4-BC724CBAFEB0}" name="Rotation Direction" dataDxfId="31"/>
    <tableColumn id="8" xr3:uid="{EE48057C-B7A2-9F47-8D32-A7037F92D06D}" name="orig + &lt;space&gt;" dataDxfId="30">
      <calculatedColumnFormula>Table9[[#This Row],[orig]] &amp; " "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2989BD-C98E-9A41-B671-F66D33543D5A}" name="Table2" displayName="Table2" ref="A1:Z55" totalsRowShown="0" headerRowDxfId="29" dataDxfId="28">
  <autoFilter ref="A1:Z55" xr:uid="{BD2989BD-C98E-9A41-B671-F66D33543D5A}"/>
  <tableColumns count="26">
    <tableColumn id="1" xr3:uid="{D84713D4-EBFB-F741-89E9-DF0DE975DCB4}" name="orig" dataDxfId="27">
      <calculatedColumnFormula>Tables!E5</calculatedColumnFormula>
    </tableColumn>
    <tableColumn id="14" xr3:uid="{8979610E-48A5-4A4D-8022-29B6F81CF6FF}" name="orig char" dataDxfId="26">
      <calculatedColumnFormula array="1">_xlfn.XLOOKUP(TRUE, EXACT(Table2[[#This Row],[orig]], Table9[orig]), Table9[char])</calculatedColumnFormula>
    </tableColumn>
    <tableColumn id="7" xr3:uid="{E90E5CA9-DCC9-A34E-862E-3A065DC3B0EB}" name="X" dataDxfId="25">
      <calculatedColumnFormula array="1">_xlfn.XLOOKUP(TRUE, EXACT(Table2[[#This Row],[orig]], Table4[orig]), Table4[(X)])</calculatedColumnFormula>
    </tableColumn>
    <tableColumn id="15" xr3:uid="{C4C4C34D-87E0-6649-B4D7-06A4880069C7}" name="X char" dataDxfId="24">
      <calculatedColumnFormula array="1">_xlfn.XLOOKUP(TRUE, EXACT(Table2[[#This Row],[X]], Table9[orig]), Table9[char])</calculatedColumnFormula>
    </tableColumn>
    <tableColumn id="6" xr3:uid="{575DDDB4-7687-FC47-8C90-00126ED99A10}" name="X2" dataDxfId="23">
      <calculatedColumnFormula array="1">_xlfn.XLOOKUP(TRUE, EXACT(C2, Table4[orig]), Table4[(X)])</calculatedColumnFormula>
    </tableColumn>
    <tableColumn id="16" xr3:uid="{0A65829D-4B59-754F-8377-8AF879A07925}" name="X2 char" dataDxfId="22">
      <calculatedColumnFormula array="1">_xlfn.XLOOKUP(TRUE, EXACT(Table2[[#This Row],[X2]], Table9[orig]), Table9[char])</calculatedColumnFormula>
    </tableColumn>
    <tableColumn id="5" xr3:uid="{5EF59DDD-4B53-DE42-B6BD-7FD3D37998AA}" name="X'" dataDxfId="21">
      <calculatedColumnFormula array="1">_xlfn.XLOOKUP(TRUE, EXACT(E2, Table4[orig]), Table4[(X)])</calculatedColumnFormula>
    </tableColumn>
    <tableColumn id="17" xr3:uid="{818E8773-AB65-B04C-9675-0D23015988F5}" name="X' char" dataDxfId="20">
      <calculatedColumnFormula array="1">_xlfn.XLOOKUP(TRUE, EXACT(Table2[[#This Row],[X'']], Table9[orig]), Table9[char])</calculatedColumnFormula>
    </tableColumn>
    <tableColumn id="2" xr3:uid="{2BDA21B0-DDFA-A943-9AE3-2002F487E936}" name="Y" dataDxfId="19">
      <calculatedColumnFormula array="1">_xlfn.XLOOKUP(TRUE, EXACT(A2, Table1[orig]), Table1[(Y)])</calculatedColumnFormula>
    </tableColumn>
    <tableColumn id="18" xr3:uid="{EFA1CCA7-6B16-C74C-B7A7-0C0FA29CEAE8}" name="Y char" dataDxfId="18">
      <calculatedColumnFormula array="1">_xlfn.XLOOKUP(TRUE, EXACT(Table2[[#This Row],[Y]], Table9[orig]), Table9[char])</calculatedColumnFormula>
    </tableColumn>
    <tableColumn id="3" xr3:uid="{6F2E5D26-C57A-C544-B6C7-D582616ADE53}" name="Y2" dataDxfId="17">
      <calculatedColumnFormula array="1">_xlfn.XLOOKUP(TRUE, EXACT(I2, Table1[orig]), Table1[(Y)])</calculatedColumnFormula>
    </tableColumn>
    <tableColumn id="19" xr3:uid="{50818589-CBDD-A041-AE51-0296FFB30A16}" name="Y2 char" dataDxfId="16">
      <calculatedColumnFormula array="1">_xlfn.XLOOKUP(TRUE, EXACT(Table2[[#This Row],[Y2]], Table9[orig]), Table9[char])</calculatedColumnFormula>
    </tableColumn>
    <tableColumn id="4" xr3:uid="{AF4715C6-E998-8347-9945-E4CECCAC0DF5}" name="Y'" dataDxfId="15">
      <calculatedColumnFormula array="1">_xlfn.XLOOKUP(TRUE, EXACT(K2, Table1[orig]), Table1[(Y)])</calculatedColumnFormula>
    </tableColumn>
    <tableColumn id="20" xr3:uid="{8F499C74-9B16-CF40-A14F-06070CC8A8BC}" name="Y' char" dataDxfId="14">
      <calculatedColumnFormula array="1">_xlfn.XLOOKUP(TRUE, EXACT(Table2[[#This Row],[Y'']], Table9[orig]), Table9[char])</calculatedColumnFormula>
    </tableColumn>
    <tableColumn id="13" xr3:uid="{B6211330-7C2D-6846-9131-5A50C0C80D28}" name="Z" dataDxfId="13">
      <calculatedColumnFormula array="1">_xlfn.XLOOKUP(TRUE, EXACT(Table2[[#This Row],[orig]], Table3[orig]), Table3[(Z)])</calculatedColumnFormula>
    </tableColumn>
    <tableColumn id="21" xr3:uid="{4FE36AE0-8285-EE4E-A3EC-733D443BE06F}" name="Z char" dataDxfId="12">
      <calculatedColumnFormula array="1">_xlfn.XLOOKUP(TRUE, EXACT(Table2[[#This Row],[Z]], Table9[orig]), Table9[char])</calculatedColumnFormula>
    </tableColumn>
    <tableColumn id="12" xr3:uid="{5337B581-3138-E343-A346-D938E5793A56}" name="Z2" dataDxfId="11">
      <calculatedColumnFormula array="1">_xlfn.XLOOKUP(TRUE, EXACT(O2, Table3[orig]), Table3[(Z)])</calculatedColumnFormula>
    </tableColumn>
    <tableColumn id="22" xr3:uid="{9BA24DAA-3B18-1341-A4D6-0BE9BF8787C7}" name="Z2 char" dataDxfId="10">
      <calculatedColumnFormula array="1">_xlfn.XLOOKUP(TRUE, EXACT(Table2[[#This Row],[Z2]], Table9[orig]), Table9[char])</calculatedColumnFormula>
    </tableColumn>
    <tableColumn id="11" xr3:uid="{7BB96A9A-0D83-DA47-BC99-B547A51EEB37}" name="Z'" dataDxfId="9">
      <calculatedColumnFormula array="1">_xlfn.XLOOKUP(TRUE, EXACT(Q2, Table3[orig]), Table3[(Z)])</calculatedColumnFormula>
    </tableColumn>
    <tableColumn id="23" xr3:uid="{5527AE26-B48B-F541-A020-540955335CA2}" name="Z' char" dataDxfId="8">
      <calculatedColumnFormula array="1">_xlfn.XLOOKUP(TRUE, EXACT(Table2[[#This Row],[Z'']], Table9[orig]), Table9[char])</calculatedColumnFormula>
    </tableColumn>
    <tableColumn id="10" xr3:uid="{6E619BEB-3249-F647-8EA6-670CD967F369}" name="T-reflection" dataDxfId="7">
      <calculatedColumnFormula array="1">_xlfn.XLOOKUP(TRUE, EXACT(Table2[[#This Row],[orig]], Table5[orig]), Table5[(T-reflection)])</calculatedColumnFormula>
    </tableColumn>
    <tableColumn id="24" xr3:uid="{CFB1CF44-B3C7-5542-B043-C9D251C54D07}" name="T-refl char" dataDxfId="6">
      <calculatedColumnFormula array="1">_xlfn.XLOOKUP(TRUE, EXACT(Table2[[#This Row],[T-reflection]], Table9[orig]), Table9[char])</calculatedColumnFormula>
    </tableColumn>
    <tableColumn id="9" xr3:uid="{345D2781-29F7-BC49-B9CA-B635C564ED1D}" name="H-reflection" dataDxfId="5">
      <calculatedColumnFormula array="1">_xlfn.XLOOKUP(TRUE, EXACT(Table2[[#This Row],[orig]], Table6[orig]), Table6[(H-reflection)])</calculatedColumnFormula>
    </tableColumn>
    <tableColumn id="25" xr3:uid="{BA911CBA-825B-AB45-88AB-4A907A66134A}" name="H-refl char" dataDxfId="4">
      <calculatedColumnFormula array="1">_xlfn.XLOOKUP(TRUE, EXACT(Table2[[#This Row],[H-reflection]], Table9[orig]), Table9[char])</calculatedColumnFormula>
    </tableColumn>
    <tableColumn id="8" xr3:uid="{425EF2DE-6131-C243-9903-CE2FE2C7566D}" name="S-reflection" dataDxfId="3">
      <calculatedColumnFormula array="1">_xlfn.XLOOKUP(TRUE, EXACT(Table2[[#This Row],[orig]], Table7[orig]), Table7[(S-reflection)])</calculatedColumnFormula>
    </tableColumn>
    <tableColumn id="26" xr3:uid="{A5EEEAE9-DA9D-CC4D-B85E-A4F9FDC54187}" name="S-refl char" dataDxfId="2">
      <calculatedColumnFormula array="1">_xlfn.XLOOKUP(TRUE, EXACT(Table2[[#This Row],[S-reflection]], Table9[orig]), Table9[char])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789F-1937-4698-9481-F1740E941C05}">
  <sheetPr>
    <tabColor theme="8"/>
  </sheetPr>
  <dimension ref="A2:AE58"/>
  <sheetViews>
    <sheetView tabSelected="1" topLeftCell="A2" workbookViewId="0">
      <selection activeCell="T7" sqref="T7"/>
    </sheetView>
  </sheetViews>
  <sheetFormatPr baseColWidth="10" defaultColWidth="9.1640625" defaultRowHeight="15" x14ac:dyDescent="0.2"/>
  <cols>
    <col min="1" max="1" width="3.33203125" customWidth="1"/>
    <col min="2" max="3" width="7.1640625" customWidth="1"/>
    <col min="4" max="5" width="8" customWidth="1"/>
    <col min="6" max="6" width="6.1640625" customWidth="1"/>
    <col min="7" max="7" width="8" customWidth="1"/>
    <col min="9" max="10" width="7.1640625" customWidth="1"/>
    <col min="11" max="11" width="11.33203125" customWidth="1"/>
    <col min="12" max="12" width="7" customWidth="1"/>
    <col min="14" max="14" width="6.6640625" customWidth="1"/>
    <col min="15" max="15" width="4.5" customWidth="1"/>
    <col min="16" max="16" width="7.1640625" customWidth="1"/>
    <col min="17" max="17" width="7.33203125" customWidth="1"/>
    <col min="18" max="18" width="4.33203125" customWidth="1"/>
    <col min="19" max="19" width="7.1640625" customWidth="1"/>
    <col min="20" max="20" width="8.33203125" customWidth="1"/>
    <col min="21" max="21" width="4" customWidth="1"/>
    <col min="22" max="22" width="7.1640625" customWidth="1"/>
    <col min="23" max="23" width="7.83203125" customWidth="1"/>
    <col min="24" max="24" width="4" customWidth="1"/>
    <col min="25" max="25" width="7.1640625" customWidth="1"/>
    <col min="26" max="26" width="7" customWidth="1"/>
    <col min="27" max="27" width="7.6640625" customWidth="1"/>
    <col min="28" max="30" width="7.1640625" customWidth="1"/>
    <col min="31" max="31" width="6.1640625" customWidth="1"/>
  </cols>
  <sheetData>
    <row r="2" spans="1:31" x14ac:dyDescent="0.2">
      <c r="B2" t="s">
        <v>0</v>
      </c>
      <c r="F2" t="s">
        <v>33</v>
      </c>
    </row>
    <row r="4" spans="1:31" s="2" customFormat="1" x14ac:dyDescent="0.2">
      <c r="B4" s="2" t="s">
        <v>34</v>
      </c>
      <c r="C4" s="2" t="s">
        <v>44</v>
      </c>
      <c r="E4" s="2" t="s">
        <v>34</v>
      </c>
      <c r="F4" s="2" t="s">
        <v>45</v>
      </c>
      <c r="H4" s="2" t="s">
        <v>34</v>
      </c>
      <c r="I4" s="2" t="s">
        <v>46</v>
      </c>
      <c r="K4" s="2" t="s">
        <v>34</v>
      </c>
      <c r="L4" s="2" t="s">
        <v>47</v>
      </c>
      <c r="N4" s="2" t="s">
        <v>34</v>
      </c>
      <c r="O4" s="2" t="s">
        <v>48</v>
      </c>
      <c r="Q4" s="2" t="s">
        <v>34</v>
      </c>
      <c r="R4" s="2" t="s">
        <v>49</v>
      </c>
    </row>
    <row r="5" spans="1:31" x14ac:dyDescent="0.2">
      <c r="B5" t="s">
        <v>18</v>
      </c>
      <c r="C5" t="s">
        <v>18</v>
      </c>
      <c r="E5" t="s">
        <v>18</v>
      </c>
      <c r="F5" t="s">
        <v>66</v>
      </c>
      <c r="H5" t="s">
        <v>18</v>
      </c>
      <c r="I5" t="s">
        <v>32</v>
      </c>
      <c r="K5" t="s">
        <v>18</v>
      </c>
      <c r="L5" t="s">
        <v>19</v>
      </c>
      <c r="N5" t="s">
        <v>18</v>
      </c>
      <c r="O5" t="s">
        <v>20</v>
      </c>
      <c r="Q5" t="s">
        <v>18</v>
      </c>
      <c r="R5" t="s">
        <v>20</v>
      </c>
    </row>
    <row r="6" spans="1:31" x14ac:dyDescent="0.2">
      <c r="B6" t="s">
        <v>67</v>
      </c>
      <c r="C6" t="s">
        <v>67</v>
      </c>
      <c r="E6" s="7" t="s">
        <v>67</v>
      </c>
      <c r="F6" t="s">
        <v>69</v>
      </c>
      <c r="H6" t="s">
        <v>67</v>
      </c>
      <c r="I6" t="s">
        <v>27</v>
      </c>
      <c r="K6" t="s">
        <v>67</v>
      </c>
      <c r="L6" t="s">
        <v>70</v>
      </c>
      <c r="N6" t="s">
        <v>67</v>
      </c>
      <c r="O6" t="s">
        <v>68</v>
      </c>
      <c r="Q6" t="s">
        <v>67</v>
      </c>
      <c r="R6" t="s">
        <v>68</v>
      </c>
    </row>
    <row r="7" spans="1:31" x14ac:dyDescent="0.2">
      <c r="B7" t="s">
        <v>71</v>
      </c>
      <c r="C7" t="s">
        <v>71</v>
      </c>
      <c r="E7" t="s">
        <v>71</v>
      </c>
      <c r="F7" t="s">
        <v>74</v>
      </c>
      <c r="H7" t="s">
        <v>71</v>
      </c>
      <c r="I7" t="s">
        <v>75</v>
      </c>
      <c r="K7" t="s">
        <v>71</v>
      </c>
      <c r="L7" t="s">
        <v>71</v>
      </c>
      <c r="N7" t="s">
        <v>71</v>
      </c>
      <c r="O7" t="s">
        <v>72</v>
      </c>
      <c r="Q7" t="s">
        <v>71</v>
      </c>
      <c r="R7" t="s">
        <v>72</v>
      </c>
    </row>
    <row r="8" spans="1:31" x14ac:dyDescent="0.2">
      <c r="B8" t="s">
        <v>65</v>
      </c>
      <c r="C8" t="s">
        <v>65</v>
      </c>
      <c r="E8" t="s">
        <v>65</v>
      </c>
      <c r="F8" t="s">
        <v>25</v>
      </c>
      <c r="H8" t="s">
        <v>65</v>
      </c>
      <c r="I8" t="s">
        <v>76</v>
      </c>
      <c r="K8" t="s">
        <v>65</v>
      </c>
      <c r="L8" t="s">
        <v>68</v>
      </c>
      <c r="N8" t="s">
        <v>65</v>
      </c>
      <c r="O8" t="s">
        <v>70</v>
      </c>
      <c r="Q8" t="s">
        <v>65</v>
      </c>
      <c r="R8" t="s">
        <v>70</v>
      </c>
    </row>
    <row r="9" spans="1:31" x14ac:dyDescent="0.2">
      <c r="B9" t="s">
        <v>21</v>
      </c>
      <c r="C9" t="s">
        <v>21</v>
      </c>
      <c r="E9" t="s">
        <v>21</v>
      </c>
      <c r="F9" t="s">
        <v>30</v>
      </c>
      <c r="H9" t="s">
        <v>21</v>
      </c>
      <c r="I9" t="s">
        <v>77</v>
      </c>
      <c r="K9" t="s">
        <v>21</v>
      </c>
      <c r="L9" t="s">
        <v>20</v>
      </c>
      <c r="N9" t="s">
        <v>21</v>
      </c>
      <c r="O9" t="s">
        <v>19</v>
      </c>
      <c r="Q9" t="s">
        <v>21</v>
      </c>
      <c r="R9" t="s">
        <v>19</v>
      </c>
    </row>
    <row r="10" spans="1:31" s="3" customFormat="1" x14ac:dyDescent="0.2">
      <c r="A10"/>
      <c r="B10" s="3" t="s">
        <v>2</v>
      </c>
      <c r="C10" s="3" t="s">
        <v>2</v>
      </c>
      <c r="D10"/>
      <c r="E10" s="3" t="s">
        <v>2</v>
      </c>
      <c r="F10" s="3" t="s">
        <v>8</v>
      </c>
      <c r="G10"/>
      <c r="H10" s="3" t="s">
        <v>2</v>
      </c>
      <c r="I10" s="3" t="s">
        <v>6</v>
      </c>
      <c r="J10"/>
      <c r="K10" s="3" t="s">
        <v>2</v>
      </c>
      <c r="L10" s="3" t="s">
        <v>2</v>
      </c>
      <c r="M10"/>
      <c r="N10" s="3" t="s">
        <v>2</v>
      </c>
      <c r="O10" s="3" t="s">
        <v>3</v>
      </c>
      <c r="P10"/>
      <c r="Q10" s="3" t="s">
        <v>2</v>
      </c>
      <c r="R10" s="3" t="s">
        <v>3</v>
      </c>
      <c r="AE10"/>
    </row>
    <row r="11" spans="1:31" x14ac:dyDescent="0.2">
      <c r="B11" t="s">
        <v>20</v>
      </c>
      <c r="C11" t="s">
        <v>20</v>
      </c>
      <c r="E11" t="s">
        <v>20</v>
      </c>
      <c r="F11" t="s">
        <v>78</v>
      </c>
      <c r="H11" t="s">
        <v>20</v>
      </c>
      <c r="I11" t="s">
        <v>79</v>
      </c>
      <c r="K11" t="s">
        <v>20</v>
      </c>
      <c r="L11" t="s">
        <v>21</v>
      </c>
      <c r="N11" t="s">
        <v>20</v>
      </c>
      <c r="O11" t="s">
        <v>18</v>
      </c>
      <c r="Q11" t="s">
        <v>20</v>
      </c>
      <c r="R11" t="s">
        <v>18</v>
      </c>
    </row>
    <row r="12" spans="1:31" x14ac:dyDescent="0.2">
      <c r="B12" t="s">
        <v>68</v>
      </c>
      <c r="C12" t="s">
        <v>68</v>
      </c>
      <c r="E12" t="s">
        <v>68</v>
      </c>
      <c r="F12" t="s">
        <v>80</v>
      </c>
      <c r="H12" t="s">
        <v>68</v>
      </c>
      <c r="I12" t="s">
        <v>81</v>
      </c>
      <c r="K12" t="s">
        <v>68</v>
      </c>
      <c r="L12" t="s">
        <v>65</v>
      </c>
      <c r="N12" t="s">
        <v>68</v>
      </c>
      <c r="O12" t="s">
        <v>67</v>
      </c>
      <c r="Q12" t="s">
        <v>68</v>
      </c>
      <c r="R12" t="s">
        <v>67</v>
      </c>
    </row>
    <row r="13" spans="1:31" x14ac:dyDescent="0.2">
      <c r="B13" t="s">
        <v>72</v>
      </c>
      <c r="C13" t="s">
        <v>72</v>
      </c>
      <c r="E13" t="s">
        <v>72</v>
      </c>
      <c r="F13" t="s">
        <v>83</v>
      </c>
      <c r="H13" t="s">
        <v>72</v>
      </c>
      <c r="I13" t="s">
        <v>84</v>
      </c>
      <c r="K13" t="s">
        <v>72</v>
      </c>
      <c r="L13" t="s">
        <v>72</v>
      </c>
      <c r="N13" t="s">
        <v>72</v>
      </c>
      <c r="O13" t="s">
        <v>71</v>
      </c>
      <c r="Q13" t="s">
        <v>72</v>
      </c>
      <c r="R13" t="s">
        <v>71</v>
      </c>
    </row>
    <row r="14" spans="1:31" x14ac:dyDescent="0.2">
      <c r="B14" t="s">
        <v>70</v>
      </c>
      <c r="C14" t="s">
        <v>70</v>
      </c>
      <c r="E14" t="s">
        <v>70</v>
      </c>
      <c r="F14" t="s">
        <v>86</v>
      </c>
      <c r="H14" t="s">
        <v>70</v>
      </c>
      <c r="I14" t="s">
        <v>87</v>
      </c>
      <c r="K14" t="s">
        <v>70</v>
      </c>
      <c r="L14" t="s">
        <v>67</v>
      </c>
      <c r="N14" t="s">
        <v>70</v>
      </c>
      <c r="O14" t="s">
        <v>65</v>
      </c>
      <c r="Q14" t="s">
        <v>70</v>
      </c>
      <c r="R14" t="s">
        <v>65</v>
      </c>
    </row>
    <row r="15" spans="1:31" x14ac:dyDescent="0.2">
      <c r="B15" t="s">
        <v>19</v>
      </c>
      <c r="C15" t="s">
        <v>19</v>
      </c>
      <c r="E15" t="s">
        <v>19</v>
      </c>
      <c r="F15" t="s">
        <v>89</v>
      </c>
      <c r="H15" t="s">
        <v>19</v>
      </c>
      <c r="I15" t="s">
        <v>90</v>
      </c>
      <c r="K15" t="s">
        <v>19</v>
      </c>
      <c r="L15" t="s">
        <v>18</v>
      </c>
      <c r="N15" t="s">
        <v>19</v>
      </c>
      <c r="O15" t="s">
        <v>21</v>
      </c>
      <c r="Q15" t="s">
        <v>19</v>
      </c>
      <c r="R15" t="s">
        <v>21</v>
      </c>
    </row>
    <row r="16" spans="1:31" s="3" customFormat="1" x14ac:dyDescent="0.2">
      <c r="A16"/>
      <c r="B16" s="3" t="s">
        <v>3</v>
      </c>
      <c r="C16" s="3" t="s">
        <v>3</v>
      </c>
      <c r="D16"/>
      <c r="E16" s="3" t="s">
        <v>3</v>
      </c>
      <c r="F16" s="3" t="s">
        <v>9</v>
      </c>
      <c r="G16"/>
      <c r="H16" s="3" t="s">
        <v>3</v>
      </c>
      <c r="I16" s="3" t="s">
        <v>5</v>
      </c>
      <c r="J16"/>
      <c r="K16" s="3" t="s">
        <v>3</v>
      </c>
      <c r="L16" s="3" t="s">
        <v>3</v>
      </c>
      <c r="M16"/>
      <c r="N16" s="3" t="s">
        <v>3</v>
      </c>
      <c r="O16" s="3" t="s">
        <v>2</v>
      </c>
      <c r="P16"/>
      <c r="Q16" s="3" t="s">
        <v>3</v>
      </c>
      <c r="R16" s="3" t="s">
        <v>2</v>
      </c>
      <c r="AE16"/>
    </row>
    <row r="17" spans="1:31" x14ac:dyDescent="0.2">
      <c r="B17" t="s">
        <v>22</v>
      </c>
      <c r="C17" t="s">
        <v>22</v>
      </c>
      <c r="E17" t="s">
        <v>22</v>
      </c>
      <c r="F17" t="s">
        <v>94</v>
      </c>
      <c r="H17" t="s">
        <v>22</v>
      </c>
      <c r="I17" t="s">
        <v>95</v>
      </c>
      <c r="K17" t="s">
        <v>22</v>
      </c>
      <c r="L17" t="s">
        <v>23</v>
      </c>
      <c r="N17" t="s">
        <v>22</v>
      </c>
      <c r="O17" t="s">
        <v>22</v>
      </c>
      <c r="Q17" t="s">
        <v>22</v>
      </c>
      <c r="R17" t="s">
        <v>22</v>
      </c>
    </row>
    <row r="18" spans="1:31" x14ac:dyDescent="0.2">
      <c r="B18" t="s">
        <v>96</v>
      </c>
      <c r="C18" t="s">
        <v>96</v>
      </c>
      <c r="E18" t="s">
        <v>96</v>
      </c>
      <c r="F18" t="s">
        <v>98</v>
      </c>
      <c r="H18" t="s">
        <v>96</v>
      </c>
      <c r="I18" t="s">
        <v>99</v>
      </c>
      <c r="K18" t="s">
        <v>96</v>
      </c>
      <c r="L18" t="s">
        <v>93</v>
      </c>
      <c r="N18" t="s">
        <v>96</v>
      </c>
      <c r="O18" t="s">
        <v>96</v>
      </c>
      <c r="Q18" t="s">
        <v>96</v>
      </c>
      <c r="R18" t="s">
        <v>96</v>
      </c>
    </row>
    <row r="19" spans="1:31" x14ac:dyDescent="0.2">
      <c r="B19" t="s">
        <v>100</v>
      </c>
      <c r="C19" t="s">
        <v>100</v>
      </c>
      <c r="E19" t="s">
        <v>100</v>
      </c>
      <c r="F19" t="s">
        <v>103</v>
      </c>
      <c r="H19" t="s">
        <v>100</v>
      </c>
      <c r="I19" t="s">
        <v>104</v>
      </c>
      <c r="K19" t="s">
        <v>100</v>
      </c>
      <c r="L19" t="s">
        <v>100</v>
      </c>
      <c r="N19" t="s">
        <v>100</v>
      </c>
      <c r="O19" t="s">
        <v>100</v>
      </c>
      <c r="Q19" t="s">
        <v>100</v>
      </c>
      <c r="R19" t="s">
        <v>100</v>
      </c>
    </row>
    <row r="20" spans="1:31" x14ac:dyDescent="0.2">
      <c r="B20" t="s">
        <v>93</v>
      </c>
      <c r="C20" t="s">
        <v>93</v>
      </c>
      <c r="E20" t="s">
        <v>93</v>
      </c>
      <c r="F20" t="s">
        <v>106</v>
      </c>
      <c r="H20" t="s">
        <v>93</v>
      </c>
      <c r="I20" t="s">
        <v>107</v>
      </c>
      <c r="K20" t="s">
        <v>93</v>
      </c>
      <c r="L20" t="s">
        <v>96</v>
      </c>
      <c r="N20" t="s">
        <v>93</v>
      </c>
      <c r="O20" t="s">
        <v>93</v>
      </c>
      <c r="Q20" t="s">
        <v>93</v>
      </c>
      <c r="R20" t="s">
        <v>93</v>
      </c>
    </row>
    <row r="21" spans="1:31" x14ac:dyDescent="0.2">
      <c r="B21" t="s">
        <v>23</v>
      </c>
      <c r="C21" t="s">
        <v>23</v>
      </c>
      <c r="E21" t="s">
        <v>23</v>
      </c>
      <c r="F21" t="s">
        <v>109</v>
      </c>
      <c r="H21" t="s">
        <v>23</v>
      </c>
      <c r="I21" t="s">
        <v>110</v>
      </c>
      <c r="K21" t="s">
        <v>23</v>
      </c>
      <c r="L21" t="s">
        <v>22</v>
      </c>
      <c r="N21" t="s">
        <v>23</v>
      </c>
      <c r="O21" t="s">
        <v>23</v>
      </c>
      <c r="Q21" t="s">
        <v>23</v>
      </c>
      <c r="R21" t="s">
        <v>23</v>
      </c>
    </row>
    <row r="22" spans="1:31" s="3" customFormat="1" x14ac:dyDescent="0.2">
      <c r="A22"/>
      <c r="B22" s="3" t="s">
        <v>4</v>
      </c>
      <c r="C22" s="3" t="s">
        <v>4</v>
      </c>
      <c r="D22"/>
      <c r="E22" s="3" t="s">
        <v>4</v>
      </c>
      <c r="F22" s="3" t="s">
        <v>10</v>
      </c>
      <c r="G22"/>
      <c r="H22" s="3" t="s">
        <v>4</v>
      </c>
      <c r="I22" s="3" t="s">
        <v>7</v>
      </c>
      <c r="J22"/>
      <c r="K22" s="3" t="s">
        <v>4</v>
      </c>
      <c r="L22" s="3" t="s">
        <v>4</v>
      </c>
      <c r="M22"/>
      <c r="N22" s="3" t="s">
        <v>4</v>
      </c>
      <c r="O22" s="3" t="s">
        <v>4</v>
      </c>
      <c r="P22"/>
      <c r="Q22" s="3" t="s">
        <v>4</v>
      </c>
      <c r="R22" s="3" t="s">
        <v>4</v>
      </c>
      <c r="AE22"/>
    </row>
    <row r="23" spans="1:31" x14ac:dyDescent="0.2">
      <c r="B23" t="s">
        <v>66</v>
      </c>
      <c r="C23" t="s">
        <v>77</v>
      </c>
      <c r="E23" t="s">
        <v>66</v>
      </c>
      <c r="F23" t="s">
        <v>21</v>
      </c>
      <c r="H23" t="s">
        <v>66</v>
      </c>
      <c r="I23" t="s">
        <v>66</v>
      </c>
      <c r="K23" t="s">
        <v>66</v>
      </c>
      <c r="L23" t="s">
        <v>78</v>
      </c>
      <c r="N23" t="s">
        <v>66</v>
      </c>
      <c r="O23" t="s">
        <v>78</v>
      </c>
      <c r="Q23" t="s">
        <v>66</v>
      </c>
      <c r="R23" t="s">
        <v>89</v>
      </c>
    </row>
    <row r="24" spans="1:31" x14ac:dyDescent="0.2">
      <c r="B24" t="s">
        <v>69</v>
      </c>
      <c r="C24" t="s">
        <v>76</v>
      </c>
      <c r="E24" t="s">
        <v>69</v>
      </c>
      <c r="F24" t="s">
        <v>65</v>
      </c>
      <c r="H24" t="s">
        <v>69</v>
      </c>
      <c r="I24" t="s">
        <v>69</v>
      </c>
      <c r="K24" t="s">
        <v>69</v>
      </c>
      <c r="L24" t="s">
        <v>80</v>
      </c>
      <c r="N24" t="s">
        <v>69</v>
      </c>
      <c r="O24" t="s">
        <v>80</v>
      </c>
      <c r="Q24" t="s">
        <v>69</v>
      </c>
      <c r="R24" t="s">
        <v>86</v>
      </c>
    </row>
    <row r="25" spans="1:31" x14ac:dyDescent="0.2">
      <c r="B25" t="s">
        <v>74</v>
      </c>
      <c r="C25" t="s">
        <v>84</v>
      </c>
      <c r="E25" t="s">
        <v>74</v>
      </c>
      <c r="F25" t="s">
        <v>72</v>
      </c>
      <c r="H25" t="s">
        <v>74</v>
      </c>
      <c r="I25" t="s">
        <v>74</v>
      </c>
      <c r="K25" t="s">
        <v>74</v>
      </c>
      <c r="L25" t="s">
        <v>83</v>
      </c>
      <c r="N25" t="s">
        <v>74</v>
      </c>
      <c r="O25" t="s">
        <v>83</v>
      </c>
      <c r="Q25" t="s">
        <v>74</v>
      </c>
      <c r="R25" t="s">
        <v>74</v>
      </c>
    </row>
    <row r="26" spans="1:31" x14ac:dyDescent="0.2">
      <c r="B26" t="s">
        <v>25</v>
      </c>
      <c r="C26" s="1" t="s">
        <v>27</v>
      </c>
      <c r="E26" t="s">
        <v>25</v>
      </c>
      <c r="F26" t="s">
        <v>67</v>
      </c>
      <c r="H26" t="s">
        <v>25</v>
      </c>
      <c r="I26" t="s">
        <v>25</v>
      </c>
      <c r="K26" t="s">
        <v>25</v>
      </c>
      <c r="L26" t="s">
        <v>86</v>
      </c>
      <c r="N26" t="s">
        <v>25</v>
      </c>
      <c r="O26" t="s">
        <v>86</v>
      </c>
      <c r="Q26" t="s">
        <v>25</v>
      </c>
      <c r="R26" t="s">
        <v>80</v>
      </c>
    </row>
    <row r="27" spans="1:31" x14ac:dyDescent="0.2">
      <c r="B27" t="s">
        <v>30</v>
      </c>
      <c r="C27" t="s">
        <v>32</v>
      </c>
      <c r="E27" t="s">
        <v>30</v>
      </c>
      <c r="F27" t="s">
        <v>18</v>
      </c>
      <c r="H27" t="s">
        <v>30</v>
      </c>
      <c r="I27" t="s">
        <v>30</v>
      </c>
      <c r="K27" t="s">
        <v>30</v>
      </c>
      <c r="L27" t="s">
        <v>89</v>
      </c>
      <c r="N27" t="s">
        <v>30</v>
      </c>
      <c r="O27" t="s">
        <v>89</v>
      </c>
      <c r="Q27" t="s">
        <v>30</v>
      </c>
      <c r="R27" t="s">
        <v>78</v>
      </c>
    </row>
    <row r="28" spans="1:31" s="3" customFormat="1" x14ac:dyDescent="0.2">
      <c r="A28"/>
      <c r="B28" s="3" t="s">
        <v>8</v>
      </c>
      <c r="C28" s="3" t="s">
        <v>5</v>
      </c>
      <c r="D28"/>
      <c r="E28" s="3" t="s">
        <v>8</v>
      </c>
      <c r="F28" s="3" t="s">
        <v>3</v>
      </c>
      <c r="G28"/>
      <c r="H28" s="3" t="s">
        <v>8</v>
      </c>
      <c r="I28" s="3" t="s">
        <v>8</v>
      </c>
      <c r="J28"/>
      <c r="K28" s="3" t="s">
        <v>8</v>
      </c>
      <c r="L28" s="3" t="s">
        <v>9</v>
      </c>
      <c r="M28"/>
      <c r="N28" s="3" t="s">
        <v>8</v>
      </c>
      <c r="O28" s="3" t="s">
        <v>9</v>
      </c>
      <c r="P28"/>
      <c r="Q28" s="3" t="s">
        <v>8</v>
      </c>
      <c r="R28" s="3" t="s">
        <v>8</v>
      </c>
      <c r="AE28"/>
    </row>
    <row r="29" spans="1:31" x14ac:dyDescent="0.2">
      <c r="B29" t="s">
        <v>78</v>
      </c>
      <c r="C29" t="s">
        <v>90</v>
      </c>
      <c r="E29" t="s">
        <v>78</v>
      </c>
      <c r="F29" t="s">
        <v>19</v>
      </c>
      <c r="H29" t="s">
        <v>78</v>
      </c>
      <c r="I29" t="s">
        <v>78</v>
      </c>
      <c r="K29" t="s">
        <v>78</v>
      </c>
      <c r="L29" t="s">
        <v>66</v>
      </c>
      <c r="N29" t="s">
        <v>78</v>
      </c>
      <c r="O29" t="s">
        <v>66</v>
      </c>
      <c r="Q29" t="s">
        <v>78</v>
      </c>
      <c r="R29" t="s">
        <v>30</v>
      </c>
    </row>
    <row r="30" spans="1:31" x14ac:dyDescent="0.2">
      <c r="B30" t="s">
        <v>80</v>
      </c>
      <c r="C30" t="s">
        <v>87</v>
      </c>
      <c r="E30" t="s">
        <v>80</v>
      </c>
      <c r="F30" t="s">
        <v>70</v>
      </c>
      <c r="H30" t="s">
        <v>80</v>
      </c>
      <c r="I30" t="s">
        <v>80</v>
      </c>
      <c r="K30" t="s">
        <v>80</v>
      </c>
      <c r="L30" t="s">
        <v>69</v>
      </c>
      <c r="N30" t="s">
        <v>80</v>
      </c>
      <c r="O30" t="s">
        <v>69</v>
      </c>
      <c r="Q30" t="s">
        <v>80</v>
      </c>
      <c r="R30" t="s">
        <v>25</v>
      </c>
    </row>
    <row r="31" spans="1:31" x14ac:dyDescent="0.2">
      <c r="B31" t="s">
        <v>83</v>
      </c>
      <c r="C31" t="s">
        <v>75</v>
      </c>
      <c r="E31" t="s">
        <v>83</v>
      </c>
      <c r="F31" t="s">
        <v>71</v>
      </c>
      <c r="H31" t="s">
        <v>83</v>
      </c>
      <c r="I31" t="s">
        <v>83</v>
      </c>
      <c r="K31" t="s">
        <v>83</v>
      </c>
      <c r="L31" t="s">
        <v>74</v>
      </c>
      <c r="N31" t="s">
        <v>83</v>
      </c>
      <c r="O31" t="s">
        <v>74</v>
      </c>
      <c r="Q31" t="s">
        <v>83</v>
      </c>
      <c r="R31" t="s">
        <v>83</v>
      </c>
    </row>
    <row r="32" spans="1:31" x14ac:dyDescent="0.2">
      <c r="A32" s="1"/>
      <c r="B32" t="s">
        <v>86</v>
      </c>
      <c r="C32" s="1" t="s">
        <v>81</v>
      </c>
      <c r="E32" t="s">
        <v>86</v>
      </c>
      <c r="F32" t="s">
        <v>68</v>
      </c>
      <c r="H32" t="s">
        <v>86</v>
      </c>
      <c r="I32" t="s">
        <v>86</v>
      </c>
      <c r="K32" t="s">
        <v>86</v>
      </c>
      <c r="L32" t="s">
        <v>25</v>
      </c>
      <c r="N32" t="s">
        <v>86</v>
      </c>
      <c r="O32" t="s">
        <v>25</v>
      </c>
      <c r="Q32" t="s">
        <v>86</v>
      </c>
      <c r="R32" t="s">
        <v>69</v>
      </c>
    </row>
    <row r="33" spans="1:31" x14ac:dyDescent="0.2">
      <c r="B33" t="s">
        <v>89</v>
      </c>
      <c r="C33" t="s">
        <v>79</v>
      </c>
      <c r="E33" t="s">
        <v>89</v>
      </c>
      <c r="F33" t="s">
        <v>20</v>
      </c>
      <c r="H33" t="s">
        <v>89</v>
      </c>
      <c r="I33" t="s">
        <v>89</v>
      </c>
      <c r="K33" t="s">
        <v>89</v>
      </c>
      <c r="L33" t="s">
        <v>30</v>
      </c>
      <c r="N33" t="s">
        <v>89</v>
      </c>
      <c r="O33" t="s">
        <v>30</v>
      </c>
      <c r="Q33" t="s">
        <v>89</v>
      </c>
      <c r="R33" t="s">
        <v>66</v>
      </c>
    </row>
    <row r="34" spans="1:31" s="3" customFormat="1" x14ac:dyDescent="0.2">
      <c r="A34"/>
      <c r="B34" s="3" t="s">
        <v>9</v>
      </c>
      <c r="C34" s="3" t="s">
        <v>6</v>
      </c>
      <c r="D34"/>
      <c r="E34" s="3" t="s">
        <v>9</v>
      </c>
      <c r="F34" s="3" t="s">
        <v>2</v>
      </c>
      <c r="G34"/>
      <c r="H34" s="3" t="s">
        <v>9</v>
      </c>
      <c r="I34" s="3" t="s">
        <v>9</v>
      </c>
      <c r="J34"/>
      <c r="K34" s="3" t="s">
        <v>9</v>
      </c>
      <c r="L34" s="3" t="s">
        <v>8</v>
      </c>
      <c r="M34"/>
      <c r="N34" s="3" t="s">
        <v>9</v>
      </c>
      <c r="O34" s="3" t="s">
        <v>8</v>
      </c>
      <c r="P34"/>
      <c r="Q34" s="3" t="s">
        <v>9</v>
      </c>
      <c r="R34" s="3" t="s">
        <v>9</v>
      </c>
      <c r="AE34"/>
    </row>
    <row r="35" spans="1:31" x14ac:dyDescent="0.2">
      <c r="B35" t="s">
        <v>94</v>
      </c>
      <c r="C35" t="s">
        <v>110</v>
      </c>
      <c r="E35" t="s">
        <v>94</v>
      </c>
      <c r="F35" t="s">
        <v>23</v>
      </c>
      <c r="H35" t="s">
        <v>94</v>
      </c>
      <c r="I35" t="s">
        <v>94</v>
      </c>
      <c r="K35" t="s">
        <v>94</v>
      </c>
      <c r="L35" t="s">
        <v>94</v>
      </c>
      <c r="N35" t="s">
        <v>94</v>
      </c>
      <c r="O35" t="s">
        <v>94</v>
      </c>
      <c r="Q35" t="s">
        <v>94</v>
      </c>
      <c r="R35" t="s">
        <v>109</v>
      </c>
    </row>
    <row r="36" spans="1:31" x14ac:dyDescent="0.2">
      <c r="B36" t="s">
        <v>98</v>
      </c>
      <c r="C36" t="s">
        <v>107</v>
      </c>
      <c r="E36" t="s">
        <v>98</v>
      </c>
      <c r="F36" t="s">
        <v>93</v>
      </c>
      <c r="H36" t="s">
        <v>98</v>
      </c>
      <c r="I36" t="s">
        <v>98</v>
      </c>
      <c r="K36" t="s">
        <v>98</v>
      </c>
      <c r="L36" t="s">
        <v>98</v>
      </c>
      <c r="N36" t="s">
        <v>98</v>
      </c>
      <c r="O36" t="s">
        <v>98</v>
      </c>
      <c r="Q36" t="s">
        <v>98</v>
      </c>
      <c r="R36" t="s">
        <v>106</v>
      </c>
    </row>
    <row r="37" spans="1:31" x14ac:dyDescent="0.2">
      <c r="B37" t="s">
        <v>103</v>
      </c>
      <c r="C37" t="s">
        <v>104</v>
      </c>
      <c r="E37" t="s">
        <v>103</v>
      </c>
      <c r="F37" t="s">
        <v>100</v>
      </c>
      <c r="H37" t="s">
        <v>103</v>
      </c>
      <c r="I37" t="s">
        <v>103</v>
      </c>
      <c r="K37" t="s">
        <v>103</v>
      </c>
      <c r="L37" t="s">
        <v>103</v>
      </c>
      <c r="N37" t="s">
        <v>103</v>
      </c>
      <c r="O37" t="s">
        <v>103</v>
      </c>
      <c r="Q37" t="s">
        <v>103</v>
      </c>
      <c r="R37" t="s">
        <v>103</v>
      </c>
    </row>
    <row r="38" spans="1:31" x14ac:dyDescent="0.2">
      <c r="A38" s="1"/>
      <c r="B38" t="s">
        <v>106</v>
      </c>
      <c r="C38" s="1" t="s">
        <v>99</v>
      </c>
      <c r="E38" t="s">
        <v>106</v>
      </c>
      <c r="F38" t="s">
        <v>96</v>
      </c>
      <c r="H38" t="s">
        <v>106</v>
      </c>
      <c r="I38" t="s">
        <v>106</v>
      </c>
      <c r="K38" t="s">
        <v>106</v>
      </c>
      <c r="L38" t="s">
        <v>106</v>
      </c>
      <c r="N38" t="s">
        <v>106</v>
      </c>
      <c r="O38" t="s">
        <v>106</v>
      </c>
      <c r="Q38" t="s">
        <v>106</v>
      </c>
      <c r="R38" t="s">
        <v>98</v>
      </c>
    </row>
    <row r="39" spans="1:31" x14ac:dyDescent="0.2">
      <c r="B39" t="s">
        <v>109</v>
      </c>
      <c r="C39" t="s">
        <v>95</v>
      </c>
      <c r="E39" t="s">
        <v>109</v>
      </c>
      <c r="F39" t="s">
        <v>22</v>
      </c>
      <c r="H39" t="s">
        <v>109</v>
      </c>
      <c r="I39" t="s">
        <v>109</v>
      </c>
      <c r="K39" t="s">
        <v>109</v>
      </c>
      <c r="L39" t="s">
        <v>109</v>
      </c>
      <c r="N39" t="s">
        <v>109</v>
      </c>
      <c r="O39" t="s">
        <v>109</v>
      </c>
      <c r="Q39" t="s">
        <v>109</v>
      </c>
      <c r="R39" t="s">
        <v>94</v>
      </c>
    </row>
    <row r="40" spans="1:31" s="3" customFormat="1" x14ac:dyDescent="0.2">
      <c r="A40"/>
      <c r="B40" s="3" t="s">
        <v>10</v>
      </c>
      <c r="C40" s="3" t="s">
        <v>7</v>
      </c>
      <c r="D40"/>
      <c r="E40" s="3" t="s">
        <v>10</v>
      </c>
      <c r="F40" s="3" t="s">
        <v>4</v>
      </c>
      <c r="G40"/>
      <c r="H40" s="3" t="s">
        <v>10</v>
      </c>
      <c r="I40" s="3" t="s">
        <v>10</v>
      </c>
      <c r="J40"/>
      <c r="K40" s="3" t="s">
        <v>10</v>
      </c>
      <c r="L40" s="3" t="s">
        <v>10</v>
      </c>
      <c r="M40"/>
      <c r="N40" s="3" t="s">
        <v>10</v>
      </c>
      <c r="O40" s="3" t="s">
        <v>10</v>
      </c>
      <c r="P40"/>
      <c r="Q40" s="3" t="s">
        <v>10</v>
      </c>
      <c r="R40" s="3" t="s">
        <v>10</v>
      </c>
      <c r="AE40"/>
    </row>
    <row r="41" spans="1:31" x14ac:dyDescent="0.2">
      <c r="B41" t="s">
        <v>77</v>
      </c>
      <c r="C41" t="s">
        <v>30</v>
      </c>
      <c r="E41" t="s">
        <v>77</v>
      </c>
      <c r="F41" t="s">
        <v>77</v>
      </c>
      <c r="H41" t="s">
        <v>77</v>
      </c>
      <c r="I41" t="s">
        <v>18</v>
      </c>
      <c r="K41" t="s">
        <v>77</v>
      </c>
      <c r="L41" t="s">
        <v>90</v>
      </c>
      <c r="N41" t="s">
        <v>77</v>
      </c>
      <c r="O41" t="s">
        <v>79</v>
      </c>
      <c r="Q41" t="s">
        <v>77</v>
      </c>
      <c r="R41" t="s">
        <v>90</v>
      </c>
    </row>
    <row r="42" spans="1:31" x14ac:dyDescent="0.2">
      <c r="B42" t="s">
        <v>76</v>
      </c>
      <c r="C42" t="s">
        <v>25</v>
      </c>
      <c r="E42" t="s">
        <v>76</v>
      </c>
      <c r="F42" t="s">
        <v>76</v>
      </c>
      <c r="H42" t="s">
        <v>76</v>
      </c>
      <c r="I42" t="s">
        <v>67</v>
      </c>
      <c r="K42" t="s">
        <v>76</v>
      </c>
      <c r="L42" t="s">
        <v>87</v>
      </c>
      <c r="N42" t="s">
        <v>76</v>
      </c>
      <c r="O42" t="s">
        <v>81</v>
      </c>
      <c r="Q42" t="s">
        <v>76</v>
      </c>
      <c r="R42" t="s">
        <v>87</v>
      </c>
    </row>
    <row r="43" spans="1:31" x14ac:dyDescent="0.2">
      <c r="B43" t="s">
        <v>84</v>
      </c>
      <c r="C43" t="s">
        <v>83</v>
      </c>
      <c r="E43" t="s">
        <v>84</v>
      </c>
      <c r="F43" t="s">
        <v>84</v>
      </c>
      <c r="H43" t="s">
        <v>84</v>
      </c>
      <c r="I43" t="s">
        <v>71</v>
      </c>
      <c r="K43" t="s">
        <v>84</v>
      </c>
      <c r="L43" t="s">
        <v>75</v>
      </c>
      <c r="N43" t="s">
        <v>84</v>
      </c>
      <c r="O43" t="s">
        <v>84</v>
      </c>
      <c r="Q43" t="s">
        <v>84</v>
      </c>
      <c r="R43" t="s">
        <v>75</v>
      </c>
    </row>
    <row r="44" spans="1:31" x14ac:dyDescent="0.2">
      <c r="B44" t="s">
        <v>27</v>
      </c>
      <c r="C44" t="s">
        <v>69</v>
      </c>
      <c r="E44" t="s">
        <v>27</v>
      </c>
      <c r="F44" t="s">
        <v>27</v>
      </c>
      <c r="H44" t="s">
        <v>27</v>
      </c>
      <c r="I44" t="s">
        <v>65</v>
      </c>
      <c r="K44" t="s">
        <v>27</v>
      </c>
      <c r="L44" t="s">
        <v>81</v>
      </c>
      <c r="N44" t="s">
        <v>27</v>
      </c>
      <c r="O44" t="s">
        <v>87</v>
      </c>
      <c r="Q44" t="s">
        <v>27</v>
      </c>
      <c r="R44" t="s">
        <v>81</v>
      </c>
    </row>
    <row r="45" spans="1:31" x14ac:dyDescent="0.2">
      <c r="B45" t="s">
        <v>32</v>
      </c>
      <c r="C45" t="s">
        <v>66</v>
      </c>
      <c r="E45" t="s">
        <v>32</v>
      </c>
      <c r="F45" t="s">
        <v>32</v>
      </c>
      <c r="H45" t="s">
        <v>32</v>
      </c>
      <c r="I45" t="s">
        <v>21</v>
      </c>
      <c r="K45" t="s">
        <v>32</v>
      </c>
      <c r="L45" t="s">
        <v>79</v>
      </c>
      <c r="N45" t="s">
        <v>32</v>
      </c>
      <c r="O45" t="s">
        <v>90</v>
      </c>
      <c r="Q45" t="s">
        <v>32</v>
      </c>
      <c r="R45" t="s">
        <v>79</v>
      </c>
    </row>
    <row r="46" spans="1:31" s="3" customFormat="1" x14ac:dyDescent="0.2">
      <c r="A46"/>
      <c r="B46" s="3" t="s">
        <v>5</v>
      </c>
      <c r="C46" s="3" t="s">
        <v>9</v>
      </c>
      <c r="D46"/>
      <c r="E46" s="3" t="s">
        <v>5</v>
      </c>
      <c r="F46" s="3" t="s">
        <v>5</v>
      </c>
      <c r="G46"/>
      <c r="H46" s="3" t="s">
        <v>5</v>
      </c>
      <c r="I46" s="3" t="s">
        <v>2</v>
      </c>
      <c r="J46"/>
      <c r="K46" s="3" t="s">
        <v>5</v>
      </c>
      <c r="L46" s="3" t="s">
        <v>6</v>
      </c>
      <c r="M46"/>
      <c r="N46" s="3" t="s">
        <v>5</v>
      </c>
      <c r="O46" s="3" t="s">
        <v>5</v>
      </c>
      <c r="P46"/>
      <c r="Q46" s="3" t="s">
        <v>5</v>
      </c>
      <c r="R46" s="3" t="s">
        <v>6</v>
      </c>
      <c r="AE46"/>
    </row>
    <row r="47" spans="1:31" x14ac:dyDescent="0.2">
      <c r="B47" t="s">
        <v>90</v>
      </c>
      <c r="C47" t="s">
        <v>89</v>
      </c>
      <c r="E47" t="s">
        <v>90</v>
      </c>
      <c r="F47" t="s">
        <v>90</v>
      </c>
      <c r="H47" t="s">
        <v>90</v>
      </c>
      <c r="I47" t="s">
        <v>20</v>
      </c>
      <c r="K47" t="s">
        <v>90</v>
      </c>
      <c r="L47" t="s">
        <v>77</v>
      </c>
      <c r="N47" t="s">
        <v>90</v>
      </c>
      <c r="O47" t="s">
        <v>32</v>
      </c>
      <c r="Q47" t="s">
        <v>90</v>
      </c>
      <c r="R47" t="s">
        <v>77</v>
      </c>
    </row>
    <row r="48" spans="1:31" x14ac:dyDescent="0.2">
      <c r="B48" t="s">
        <v>87</v>
      </c>
      <c r="C48" t="s">
        <v>86</v>
      </c>
      <c r="E48" t="s">
        <v>87</v>
      </c>
      <c r="F48" t="s">
        <v>87</v>
      </c>
      <c r="H48" t="s">
        <v>87</v>
      </c>
      <c r="I48" t="s">
        <v>68</v>
      </c>
      <c r="K48" t="s">
        <v>87</v>
      </c>
      <c r="L48" t="s">
        <v>76</v>
      </c>
      <c r="N48" t="s">
        <v>87</v>
      </c>
      <c r="O48" t="s">
        <v>27</v>
      </c>
      <c r="Q48" t="s">
        <v>87</v>
      </c>
      <c r="R48" t="s">
        <v>76</v>
      </c>
    </row>
    <row r="49" spans="1:31" x14ac:dyDescent="0.2">
      <c r="B49" t="s">
        <v>75</v>
      </c>
      <c r="C49" t="s">
        <v>74</v>
      </c>
      <c r="E49" t="s">
        <v>75</v>
      </c>
      <c r="F49" t="s">
        <v>75</v>
      </c>
      <c r="H49" t="s">
        <v>75</v>
      </c>
      <c r="I49" t="s">
        <v>72</v>
      </c>
      <c r="K49" t="s">
        <v>75</v>
      </c>
      <c r="L49" t="s">
        <v>84</v>
      </c>
      <c r="N49" t="s">
        <v>75</v>
      </c>
      <c r="O49" t="s">
        <v>75</v>
      </c>
      <c r="Q49" t="s">
        <v>75</v>
      </c>
      <c r="R49" t="s">
        <v>84</v>
      </c>
    </row>
    <row r="50" spans="1:31" x14ac:dyDescent="0.2">
      <c r="B50" t="s">
        <v>81</v>
      </c>
      <c r="C50" t="s">
        <v>80</v>
      </c>
      <c r="E50" t="s">
        <v>81</v>
      </c>
      <c r="F50" t="s">
        <v>81</v>
      </c>
      <c r="H50" t="s">
        <v>81</v>
      </c>
      <c r="I50" t="s">
        <v>70</v>
      </c>
      <c r="K50" t="s">
        <v>81</v>
      </c>
      <c r="L50" t="s">
        <v>27</v>
      </c>
      <c r="N50" t="s">
        <v>81</v>
      </c>
      <c r="O50" t="s">
        <v>76</v>
      </c>
      <c r="Q50" t="s">
        <v>81</v>
      </c>
      <c r="R50" t="s">
        <v>27</v>
      </c>
    </row>
    <row r="51" spans="1:31" x14ac:dyDescent="0.2">
      <c r="B51" t="s">
        <v>79</v>
      </c>
      <c r="C51" t="s">
        <v>78</v>
      </c>
      <c r="E51" t="s">
        <v>79</v>
      </c>
      <c r="F51" t="s">
        <v>79</v>
      </c>
      <c r="H51" t="s">
        <v>79</v>
      </c>
      <c r="I51" t="s">
        <v>19</v>
      </c>
      <c r="K51" t="s">
        <v>79</v>
      </c>
      <c r="L51" t="s">
        <v>32</v>
      </c>
      <c r="N51" t="s">
        <v>79</v>
      </c>
      <c r="O51" t="s">
        <v>77</v>
      </c>
      <c r="Q51" t="s">
        <v>79</v>
      </c>
      <c r="R51" t="s">
        <v>32</v>
      </c>
    </row>
    <row r="52" spans="1:31" s="3" customFormat="1" x14ac:dyDescent="0.2">
      <c r="A52"/>
      <c r="B52" s="3" t="s">
        <v>6</v>
      </c>
      <c r="C52" s="3" t="s">
        <v>8</v>
      </c>
      <c r="D52"/>
      <c r="E52" s="3" t="s">
        <v>6</v>
      </c>
      <c r="F52" s="3" t="s">
        <v>6</v>
      </c>
      <c r="G52"/>
      <c r="H52" s="3" t="s">
        <v>6</v>
      </c>
      <c r="I52" s="3" t="s">
        <v>3</v>
      </c>
      <c r="J52"/>
      <c r="K52" s="3" t="s">
        <v>6</v>
      </c>
      <c r="L52" s="3" t="s">
        <v>5</v>
      </c>
      <c r="M52"/>
      <c r="N52" s="3" t="s">
        <v>6</v>
      </c>
      <c r="O52" s="3" t="s">
        <v>6</v>
      </c>
      <c r="P52"/>
      <c r="Q52" s="3" t="s">
        <v>6</v>
      </c>
      <c r="R52" s="3" t="s">
        <v>5</v>
      </c>
      <c r="AE52"/>
    </row>
    <row r="53" spans="1:31" x14ac:dyDescent="0.2">
      <c r="B53" t="s">
        <v>110</v>
      </c>
      <c r="C53" t="s">
        <v>109</v>
      </c>
      <c r="E53" t="s">
        <v>110</v>
      </c>
      <c r="F53" t="s">
        <v>110</v>
      </c>
      <c r="H53" t="s">
        <v>110</v>
      </c>
      <c r="I53" t="s">
        <v>22</v>
      </c>
      <c r="K53" t="s">
        <v>110</v>
      </c>
      <c r="L53" t="s">
        <v>110</v>
      </c>
      <c r="N53" t="s">
        <v>110</v>
      </c>
      <c r="O53" t="s">
        <v>95</v>
      </c>
      <c r="Q53" t="s">
        <v>110</v>
      </c>
      <c r="R53" t="s">
        <v>110</v>
      </c>
    </row>
    <row r="54" spans="1:31" x14ac:dyDescent="0.2">
      <c r="B54" t="s">
        <v>107</v>
      </c>
      <c r="C54" t="s">
        <v>106</v>
      </c>
      <c r="E54" t="s">
        <v>107</v>
      </c>
      <c r="F54" t="s">
        <v>107</v>
      </c>
      <c r="H54" t="s">
        <v>107</v>
      </c>
      <c r="I54" t="s">
        <v>96</v>
      </c>
      <c r="K54" t="s">
        <v>107</v>
      </c>
      <c r="L54" t="s">
        <v>107</v>
      </c>
      <c r="N54" t="s">
        <v>107</v>
      </c>
      <c r="O54" t="s">
        <v>99</v>
      </c>
      <c r="Q54" t="s">
        <v>107</v>
      </c>
      <c r="R54" t="s">
        <v>107</v>
      </c>
    </row>
    <row r="55" spans="1:31" x14ac:dyDescent="0.2">
      <c r="B55" t="s">
        <v>104</v>
      </c>
      <c r="C55" t="s">
        <v>103</v>
      </c>
      <c r="E55" t="s">
        <v>104</v>
      </c>
      <c r="F55" t="s">
        <v>104</v>
      </c>
      <c r="H55" t="s">
        <v>104</v>
      </c>
      <c r="I55" t="s">
        <v>100</v>
      </c>
      <c r="K55" t="s">
        <v>104</v>
      </c>
      <c r="L55" t="s">
        <v>104</v>
      </c>
      <c r="N55" t="s">
        <v>104</v>
      </c>
      <c r="O55" t="s">
        <v>104</v>
      </c>
      <c r="Q55" t="s">
        <v>104</v>
      </c>
      <c r="R55" t="s">
        <v>104</v>
      </c>
    </row>
    <row r="56" spans="1:31" x14ac:dyDescent="0.2">
      <c r="B56" t="s">
        <v>99</v>
      </c>
      <c r="C56" t="s">
        <v>98</v>
      </c>
      <c r="E56" t="s">
        <v>99</v>
      </c>
      <c r="F56" t="s">
        <v>99</v>
      </c>
      <c r="H56" t="s">
        <v>99</v>
      </c>
      <c r="I56" t="s">
        <v>93</v>
      </c>
      <c r="K56" t="s">
        <v>99</v>
      </c>
      <c r="L56" t="s">
        <v>99</v>
      </c>
      <c r="N56" t="s">
        <v>99</v>
      </c>
      <c r="O56" t="s">
        <v>107</v>
      </c>
      <c r="Q56" t="s">
        <v>99</v>
      </c>
      <c r="R56" t="s">
        <v>99</v>
      </c>
    </row>
    <row r="57" spans="1:31" x14ac:dyDescent="0.2">
      <c r="B57" t="s">
        <v>95</v>
      </c>
      <c r="C57" t="s">
        <v>94</v>
      </c>
      <c r="E57" t="s">
        <v>95</v>
      </c>
      <c r="F57" t="s">
        <v>95</v>
      </c>
      <c r="H57" t="s">
        <v>95</v>
      </c>
      <c r="I57" t="s">
        <v>23</v>
      </c>
      <c r="K57" t="s">
        <v>95</v>
      </c>
      <c r="L57" t="s">
        <v>95</v>
      </c>
      <c r="N57" t="s">
        <v>95</v>
      </c>
      <c r="O57" t="s">
        <v>110</v>
      </c>
      <c r="Q57" t="s">
        <v>95</v>
      </c>
      <c r="R57" t="s">
        <v>95</v>
      </c>
    </row>
    <row r="58" spans="1:31" s="3" customFormat="1" x14ac:dyDescent="0.2">
      <c r="A58"/>
      <c r="B58" s="3" t="s">
        <v>7</v>
      </c>
      <c r="C58" s="3" t="s">
        <v>10</v>
      </c>
      <c r="D58"/>
      <c r="E58" s="3" t="s">
        <v>7</v>
      </c>
      <c r="F58" s="3" t="s">
        <v>7</v>
      </c>
      <c r="G58"/>
      <c r="H58" s="3" t="s">
        <v>7</v>
      </c>
      <c r="I58" s="3" t="s">
        <v>4</v>
      </c>
      <c r="J58"/>
      <c r="K58" s="3" t="s">
        <v>7</v>
      </c>
      <c r="L58" s="3" t="s">
        <v>7</v>
      </c>
      <c r="M58"/>
      <c r="N58" s="3" t="s">
        <v>7</v>
      </c>
      <c r="O58" s="3" t="s">
        <v>7</v>
      </c>
      <c r="P58"/>
      <c r="Q58" s="3" t="s">
        <v>7</v>
      </c>
      <c r="R58" s="3" t="s">
        <v>7</v>
      </c>
      <c r="AE58"/>
    </row>
  </sheetData>
  <phoneticPr fontId="4" alignment="center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E9DEF-6420-EF45-A3E8-F8171443374E}">
  <sheetPr>
    <tabColor theme="8"/>
  </sheetPr>
  <dimension ref="B3:AC124"/>
  <sheetViews>
    <sheetView workbookViewId="0">
      <selection activeCell="J16" sqref="J16"/>
    </sheetView>
  </sheetViews>
  <sheetFormatPr baseColWidth="10" defaultColWidth="10.33203125" defaultRowHeight="15" x14ac:dyDescent="0.2"/>
  <cols>
    <col min="2" max="3" width="6.6640625" customWidth="1"/>
    <col min="4" max="4" width="5.1640625" customWidth="1"/>
    <col min="5" max="5" width="7.33203125" customWidth="1"/>
    <col min="6" max="6" width="6.6640625" customWidth="1"/>
    <col min="7" max="7" width="8.5" customWidth="1"/>
    <col min="8" max="8" width="5.1640625" customWidth="1"/>
    <col min="9" max="9" width="4.83203125" customWidth="1"/>
    <col min="10" max="10" width="8" customWidth="1"/>
    <col min="12" max="12" width="8.83203125" customWidth="1"/>
    <col min="13" max="13" width="9.33203125" customWidth="1"/>
    <col min="15" max="15" width="8.83203125" customWidth="1"/>
    <col min="16" max="16" width="13.6640625" customWidth="1"/>
    <col min="17" max="17" width="11.33203125" customWidth="1"/>
    <col min="20" max="20" width="13.6640625" customWidth="1"/>
    <col min="22" max="22" width="15" customWidth="1"/>
    <col min="23" max="23" width="12.6640625" bestFit="1" customWidth="1"/>
    <col min="25" max="25" width="8" customWidth="1"/>
    <col min="26" max="26" width="7.6640625" customWidth="1"/>
    <col min="27" max="27" width="7.83203125" customWidth="1"/>
    <col min="28" max="28" width="15" customWidth="1"/>
    <col min="29" max="29" width="20.5" customWidth="1"/>
    <col min="30" max="30" width="11.6640625" customWidth="1"/>
    <col min="31" max="31" width="11.83203125" customWidth="1"/>
    <col min="36" max="36" width="14.83203125" customWidth="1"/>
    <col min="37" max="37" width="18.1640625" customWidth="1"/>
  </cols>
  <sheetData>
    <row r="3" spans="2:29" x14ac:dyDescent="0.2">
      <c r="B3" t="s">
        <v>147</v>
      </c>
      <c r="E3" t="s">
        <v>148</v>
      </c>
      <c r="F3" t="s">
        <v>149</v>
      </c>
      <c r="H3" t="s">
        <v>1</v>
      </c>
      <c r="L3" t="s">
        <v>150</v>
      </c>
      <c r="S3" t="s">
        <v>151</v>
      </c>
      <c r="Y3" t="s">
        <v>152</v>
      </c>
    </row>
    <row r="4" spans="2:29" ht="16" x14ac:dyDescent="0.2">
      <c r="B4" s="2" t="s">
        <v>153</v>
      </c>
      <c r="C4" s="2" t="s">
        <v>154</v>
      </c>
      <c r="D4" s="2" t="s">
        <v>155</v>
      </c>
      <c r="E4" s="2"/>
      <c r="F4" s="2" t="s">
        <v>156</v>
      </c>
      <c r="G4" s="2" t="s">
        <v>35</v>
      </c>
      <c r="H4" s="2" t="s">
        <v>157</v>
      </c>
      <c r="I4" s="2" t="s">
        <v>158</v>
      </c>
      <c r="J4" s="2"/>
      <c r="L4" t="s">
        <v>159</v>
      </c>
      <c r="M4" t="s">
        <v>160</v>
      </c>
      <c r="N4" t="s">
        <v>28</v>
      </c>
      <c r="O4" t="s">
        <v>161</v>
      </c>
      <c r="P4" t="s">
        <v>162</v>
      </c>
      <c r="Q4" t="s">
        <v>163</v>
      </c>
      <c r="S4" s="4" t="s">
        <v>164</v>
      </c>
      <c r="T4" s="4" t="s">
        <v>165</v>
      </c>
      <c r="U4" t="s">
        <v>166</v>
      </c>
      <c r="V4" s="4" t="s">
        <v>167</v>
      </c>
      <c r="W4" t="s">
        <v>168</v>
      </c>
      <c r="Y4" t="s">
        <v>2</v>
      </c>
      <c r="Z4" t="s">
        <v>5</v>
      </c>
      <c r="AA4" t="s">
        <v>8</v>
      </c>
      <c r="AB4" t="s">
        <v>169</v>
      </c>
      <c r="AC4" t="s">
        <v>170</v>
      </c>
    </row>
    <row r="5" spans="2:29" ht="16" x14ac:dyDescent="0.2">
      <c r="B5" t="s">
        <v>2</v>
      </c>
      <c r="C5" t="s">
        <v>20</v>
      </c>
      <c r="D5" t="s">
        <v>21</v>
      </c>
      <c r="F5" t="s">
        <v>18</v>
      </c>
      <c r="G5" t="str" cm="1">
        <f t="array" ref="G5">_xlfn.XLOOKUP(TRUE, EXACT(Table12[[#This Row],[Face Turn Sought]], Table9[orig]), Table9[char])</f>
        <v>R</v>
      </c>
      <c r="H5" t="s">
        <v>3</v>
      </c>
      <c r="I5">
        <v>2</v>
      </c>
      <c r="L5" t="s">
        <v>11</v>
      </c>
      <c r="M5" s="4" t="s">
        <v>11</v>
      </c>
      <c r="N5" t="s">
        <v>171</v>
      </c>
      <c r="O5" s="4" t="s">
        <v>141</v>
      </c>
      <c r="P5" t="s">
        <v>172</v>
      </c>
      <c r="Q5" t="s">
        <v>173</v>
      </c>
      <c r="S5" s="11" t="s">
        <v>11</v>
      </c>
      <c r="T5" s="12" t="s">
        <v>171</v>
      </c>
      <c r="U5" s="17" t="s">
        <v>141</v>
      </c>
      <c r="V5" s="12" t="s">
        <v>172</v>
      </c>
      <c r="W5" s="13" t="s">
        <v>173</v>
      </c>
      <c r="Y5" t="s">
        <v>174</v>
      </c>
      <c r="Z5" t="s">
        <v>174</v>
      </c>
      <c r="AA5" t="s">
        <v>174</v>
      </c>
      <c r="AB5">
        <v>0</v>
      </c>
      <c r="AC5">
        <f>MOD(4-Table14[[#This Row],[RotationNum]],4)</f>
        <v>0</v>
      </c>
    </row>
    <row r="6" spans="2:29" ht="16" x14ac:dyDescent="0.2">
      <c r="F6" t="s">
        <v>67</v>
      </c>
      <c r="G6" t="str" cm="1">
        <f t="array" ref="G6">_xlfn.XLOOKUP(TRUE, EXACT(Table12[[#This Row],[Face Turn Sought]], Table9[orig]), Table9[char])</f>
        <v>r</v>
      </c>
      <c r="H6" t="s">
        <v>3</v>
      </c>
      <c r="L6" t="s">
        <v>175</v>
      </c>
      <c r="M6" s="4" t="s">
        <v>11</v>
      </c>
      <c r="N6" t="s">
        <v>171</v>
      </c>
      <c r="O6" s="4" t="s">
        <v>141</v>
      </c>
      <c r="P6" t="s">
        <v>172</v>
      </c>
      <c r="Q6" t="s">
        <v>173</v>
      </c>
      <c r="S6" s="11" t="s">
        <v>12</v>
      </c>
      <c r="T6" s="12" t="s">
        <v>176</v>
      </c>
      <c r="U6" s="17" t="s">
        <v>143</v>
      </c>
      <c r="V6" s="17" t="s">
        <v>177</v>
      </c>
      <c r="W6" s="13" t="s">
        <v>173</v>
      </c>
      <c r="X6" s="4"/>
      <c r="Y6" t="s">
        <v>2</v>
      </c>
      <c r="Z6" t="s">
        <v>5</v>
      </c>
      <c r="AA6" t="s">
        <v>8</v>
      </c>
      <c r="AB6">
        <v>1</v>
      </c>
      <c r="AC6">
        <f>MOD(4-Table14[[#This Row],[RotationNum]],4)</f>
        <v>3</v>
      </c>
    </row>
    <row r="7" spans="2:29" ht="16" x14ac:dyDescent="0.2">
      <c r="L7" t="s">
        <v>178</v>
      </c>
      <c r="M7" s="4" t="s">
        <v>11</v>
      </c>
      <c r="N7" t="s">
        <v>171</v>
      </c>
      <c r="O7" s="4" t="s">
        <v>141</v>
      </c>
      <c r="P7" t="s">
        <v>172</v>
      </c>
      <c r="Q7" t="s">
        <v>173</v>
      </c>
      <c r="S7" s="11" t="s">
        <v>13</v>
      </c>
      <c r="T7" s="12" t="s">
        <v>179</v>
      </c>
      <c r="U7" s="12" t="s">
        <v>142</v>
      </c>
      <c r="V7" s="17" t="s">
        <v>180</v>
      </c>
      <c r="W7" s="13" t="s">
        <v>181</v>
      </c>
      <c r="Y7" t="s">
        <v>18</v>
      </c>
      <c r="AB7">
        <v>1</v>
      </c>
      <c r="AC7">
        <f>MOD(4-Table14[[#This Row],[RotationNum]],4)</f>
        <v>3</v>
      </c>
    </row>
    <row r="8" spans="2:29" ht="16" x14ac:dyDescent="0.2">
      <c r="F8" t="s">
        <v>65</v>
      </c>
      <c r="G8" t="str" cm="1">
        <f t="array" ref="G8">_xlfn.XLOOKUP(TRUE, EXACT(Table12[[#This Row],[Face Turn Sought]], Table9[orig]), Table9[char])</f>
        <v>l</v>
      </c>
      <c r="H8" t="s">
        <v>2</v>
      </c>
      <c r="L8" t="s">
        <v>182</v>
      </c>
      <c r="M8" s="4" t="s">
        <v>11</v>
      </c>
      <c r="N8" t="s">
        <v>171</v>
      </c>
      <c r="O8" s="4" t="s">
        <v>141</v>
      </c>
      <c r="P8" t="s">
        <v>172</v>
      </c>
      <c r="Q8" t="s">
        <v>173</v>
      </c>
      <c r="S8" s="11" t="s">
        <v>14</v>
      </c>
      <c r="T8" s="12" t="s">
        <v>183</v>
      </c>
      <c r="U8" s="17" t="s">
        <v>145</v>
      </c>
      <c r="V8" s="17" t="s">
        <v>184</v>
      </c>
      <c r="W8" s="13" t="s">
        <v>181</v>
      </c>
      <c r="Y8" t="s">
        <v>67</v>
      </c>
      <c r="AB8">
        <v>1</v>
      </c>
      <c r="AC8">
        <f>MOD(4-Table14[[#This Row],[RotationNum]],4)</f>
        <v>3</v>
      </c>
    </row>
    <row r="9" spans="2:29" ht="16" x14ac:dyDescent="0.2">
      <c r="F9" t="s">
        <v>21</v>
      </c>
      <c r="G9" t="str" cm="1">
        <f t="array" ref="G9">_xlfn.XLOOKUP(TRUE, EXACT(Table12[[#This Row],[Face Turn Sought]], Table9[orig]), Table9[char])</f>
        <v>L</v>
      </c>
      <c r="H9" t="s">
        <v>2</v>
      </c>
      <c r="I9">
        <v>1</v>
      </c>
      <c r="L9" t="s">
        <v>185</v>
      </c>
      <c r="M9" s="4" t="s">
        <v>11</v>
      </c>
      <c r="N9" t="s">
        <v>171</v>
      </c>
      <c r="O9" s="4" t="s">
        <v>141</v>
      </c>
      <c r="P9" t="s">
        <v>172</v>
      </c>
      <c r="Q9" t="s">
        <v>173</v>
      </c>
      <c r="S9" s="11" t="s">
        <v>15</v>
      </c>
      <c r="T9" s="12" t="s">
        <v>186</v>
      </c>
      <c r="U9" s="12" t="s">
        <v>146</v>
      </c>
      <c r="V9" s="17" t="s">
        <v>187</v>
      </c>
      <c r="W9" s="13" t="s">
        <v>188</v>
      </c>
      <c r="Y9" t="s">
        <v>71</v>
      </c>
      <c r="AB9">
        <v>1</v>
      </c>
      <c r="AC9">
        <f>MOD(4-Table14[[#This Row],[RotationNum]],4)</f>
        <v>3</v>
      </c>
    </row>
    <row r="10" spans="2:29" ht="16" x14ac:dyDescent="0.2">
      <c r="B10" s="3"/>
      <c r="C10" s="3"/>
      <c r="D10" s="3"/>
      <c r="F10" s="3"/>
      <c r="G10" s="3"/>
      <c r="H10" s="3"/>
      <c r="I10" s="3"/>
      <c r="L10" t="s">
        <v>189</v>
      </c>
      <c r="M10" s="4" t="s">
        <v>11</v>
      </c>
      <c r="N10" t="s">
        <v>171</v>
      </c>
      <c r="O10" s="4" t="s">
        <v>141</v>
      </c>
      <c r="P10" t="s">
        <v>172</v>
      </c>
      <c r="Q10" t="s">
        <v>173</v>
      </c>
      <c r="S10" s="14" t="s">
        <v>16</v>
      </c>
      <c r="T10" s="15" t="s">
        <v>190</v>
      </c>
      <c r="U10" s="15" t="s">
        <v>144</v>
      </c>
      <c r="V10" s="15" t="s">
        <v>191</v>
      </c>
      <c r="W10" s="16" t="s">
        <v>188</v>
      </c>
      <c r="Y10" t="s">
        <v>192</v>
      </c>
      <c r="AB10">
        <v>1</v>
      </c>
      <c r="AC10">
        <f>MOD(4-Table14[[#This Row],[RotationNum]],4)</f>
        <v>3</v>
      </c>
    </row>
    <row r="11" spans="2:29" ht="16" x14ac:dyDescent="0.2">
      <c r="B11" t="s">
        <v>3</v>
      </c>
      <c r="C11" t="s">
        <v>18</v>
      </c>
      <c r="D11" t="s">
        <v>19</v>
      </c>
      <c r="F11" t="s">
        <v>20</v>
      </c>
      <c r="G11" t="str" cm="1">
        <f t="array" ref="G11">_xlfn.XLOOKUP(TRUE, EXACT(Table12[[#This Row],[Face Turn Sought]], Table9[orig]), Table9[char])</f>
        <v>A</v>
      </c>
      <c r="H11" t="s">
        <v>2</v>
      </c>
      <c r="I11">
        <v>1</v>
      </c>
      <c r="L11" t="s">
        <v>193</v>
      </c>
      <c r="M11" s="4" t="s">
        <v>11</v>
      </c>
      <c r="N11" t="s">
        <v>171</v>
      </c>
      <c r="O11" s="4" t="s">
        <v>141</v>
      </c>
      <c r="P11" t="s">
        <v>172</v>
      </c>
      <c r="Q11" t="s">
        <v>173</v>
      </c>
      <c r="Y11" t="s">
        <v>70</v>
      </c>
      <c r="AB11">
        <v>1</v>
      </c>
      <c r="AC11">
        <f>MOD(4-Table14[[#This Row],[RotationNum]],4)</f>
        <v>3</v>
      </c>
    </row>
    <row r="12" spans="2:29" ht="16" x14ac:dyDescent="0.2">
      <c r="F12" t="s">
        <v>68</v>
      </c>
      <c r="G12" t="str" cm="1">
        <f t="array" ref="G12">_xlfn.XLOOKUP(TRUE, EXACT(Table12[[#This Row],[Face Turn Sought]], Table9[orig]), Table9[char])</f>
        <v>a</v>
      </c>
      <c r="H12" t="s">
        <v>2</v>
      </c>
      <c r="L12" t="s">
        <v>194</v>
      </c>
      <c r="M12" s="4" t="s">
        <v>11</v>
      </c>
      <c r="N12" t="s">
        <v>171</v>
      </c>
      <c r="O12" s="4" t="s">
        <v>141</v>
      </c>
      <c r="P12" t="s">
        <v>172</v>
      </c>
      <c r="Q12" t="s">
        <v>173</v>
      </c>
      <c r="Y12" t="s">
        <v>19</v>
      </c>
      <c r="AB12">
        <v>1</v>
      </c>
      <c r="AC12">
        <f>MOD(4-Table14[[#This Row],[RotationNum]],4)</f>
        <v>3</v>
      </c>
    </row>
    <row r="13" spans="2:29" ht="16" x14ac:dyDescent="0.2">
      <c r="L13" t="s">
        <v>195</v>
      </c>
      <c r="M13" s="4" t="s">
        <v>11</v>
      </c>
      <c r="N13" t="s">
        <v>171</v>
      </c>
      <c r="O13" s="4" t="s">
        <v>141</v>
      </c>
      <c r="P13" t="s">
        <v>172</v>
      </c>
      <c r="Q13" t="s">
        <v>173</v>
      </c>
      <c r="Y13" t="s">
        <v>4</v>
      </c>
      <c r="Z13" t="s">
        <v>7</v>
      </c>
      <c r="AA13" t="s">
        <v>10</v>
      </c>
      <c r="AB13">
        <v>2</v>
      </c>
      <c r="AC13">
        <f>MOD(4-Table14[[#This Row],[RotationNum]],4)</f>
        <v>2</v>
      </c>
    </row>
    <row r="14" spans="2:29" ht="16" x14ac:dyDescent="0.2">
      <c r="F14" t="s">
        <v>70</v>
      </c>
      <c r="G14" t="str" cm="1">
        <f t="array" ref="G14">_xlfn.XLOOKUP(TRUE, EXACT(Table12[[#This Row],[Face Turn Sought]], Table9[orig]), Table9[char])</f>
        <v>g</v>
      </c>
      <c r="H14" t="s">
        <v>3</v>
      </c>
      <c r="L14" t="s">
        <v>196</v>
      </c>
      <c r="M14" s="4" t="s">
        <v>11</v>
      </c>
      <c r="N14" t="s">
        <v>171</v>
      </c>
      <c r="O14" s="4" t="s">
        <v>141</v>
      </c>
      <c r="P14" t="s">
        <v>172</v>
      </c>
      <c r="Q14" t="s">
        <v>173</v>
      </c>
      <c r="Y14" t="s">
        <v>22</v>
      </c>
      <c r="AB14">
        <v>2</v>
      </c>
      <c r="AC14">
        <f>MOD(4-Table14[[#This Row],[RotationNum]],4)</f>
        <v>2</v>
      </c>
    </row>
    <row r="15" spans="2:29" ht="16" x14ac:dyDescent="0.2">
      <c r="F15" t="s">
        <v>19</v>
      </c>
      <c r="G15" t="str" cm="1">
        <f t="array" ref="G15">_xlfn.XLOOKUP(TRUE, EXACT(Table12[[#This Row],[Face Turn Sought]], Table9[orig]), Table9[char])</f>
        <v>G</v>
      </c>
      <c r="H15" t="s">
        <v>3</v>
      </c>
      <c r="I15">
        <v>2</v>
      </c>
      <c r="L15" t="s">
        <v>197</v>
      </c>
      <c r="M15" s="4" t="s">
        <v>11</v>
      </c>
      <c r="N15" t="s">
        <v>171</v>
      </c>
      <c r="O15" s="4" t="s">
        <v>141</v>
      </c>
      <c r="P15" t="s">
        <v>172</v>
      </c>
      <c r="Q15" t="s">
        <v>173</v>
      </c>
      <c r="Y15" t="s">
        <v>96</v>
      </c>
      <c r="AB15">
        <v>2</v>
      </c>
      <c r="AC15">
        <f>MOD(4-Table14[[#This Row],[RotationNum]],4)</f>
        <v>2</v>
      </c>
    </row>
    <row r="16" spans="2:29" ht="16" x14ac:dyDescent="0.2">
      <c r="B16" s="3"/>
      <c r="C16" s="3"/>
      <c r="D16" s="3"/>
      <c r="F16" s="3"/>
      <c r="G16" s="3"/>
      <c r="H16" s="3"/>
      <c r="I16" s="3"/>
      <c r="L16" t="s">
        <v>198</v>
      </c>
      <c r="M16" s="4" t="s">
        <v>11</v>
      </c>
      <c r="N16" t="s">
        <v>171</v>
      </c>
      <c r="O16" s="4" t="s">
        <v>141</v>
      </c>
      <c r="P16" t="s">
        <v>172</v>
      </c>
      <c r="Q16" t="s">
        <v>173</v>
      </c>
      <c r="Y16" t="s">
        <v>100</v>
      </c>
      <c r="AB16">
        <v>2</v>
      </c>
      <c r="AC16">
        <f>MOD(4-Table14[[#This Row],[RotationNum]],4)</f>
        <v>2</v>
      </c>
    </row>
    <row r="17" spans="2:29" ht="16" x14ac:dyDescent="0.2">
      <c r="B17" t="s">
        <v>4</v>
      </c>
      <c r="C17" t="s">
        <v>22</v>
      </c>
      <c r="D17" t="s">
        <v>23</v>
      </c>
      <c r="F17" t="s">
        <v>22</v>
      </c>
      <c r="G17" t="str" cm="1">
        <f t="array" ref="G17">_xlfn.XLOOKUP(TRUE, EXACT(Table12[[#This Row],[Face Turn Sought]], Table9[orig]), Table9[char])</f>
        <v>J</v>
      </c>
      <c r="H17" t="s">
        <v>4</v>
      </c>
      <c r="I17">
        <v>3</v>
      </c>
      <c r="L17" t="s">
        <v>199</v>
      </c>
      <c r="M17" s="4" t="s">
        <v>11</v>
      </c>
      <c r="N17" t="s">
        <v>171</v>
      </c>
      <c r="O17" s="4" t="s">
        <v>141</v>
      </c>
      <c r="P17" t="s">
        <v>172</v>
      </c>
      <c r="Q17" t="s">
        <v>173</v>
      </c>
      <c r="Y17" t="s">
        <v>200</v>
      </c>
      <c r="AB17">
        <v>2</v>
      </c>
      <c r="AC17">
        <f>MOD(4-Table14[[#This Row],[RotationNum]],4)</f>
        <v>2</v>
      </c>
    </row>
    <row r="18" spans="2:29" ht="16" x14ac:dyDescent="0.2">
      <c r="F18" t="s">
        <v>96</v>
      </c>
      <c r="G18" t="str" cm="1">
        <f t="array" ref="G18">_xlfn.XLOOKUP(TRUE, EXACT(Table12[[#This Row],[Face Turn Sought]], Table9[orig]), Table9[char])</f>
        <v>j</v>
      </c>
      <c r="H18" t="s">
        <v>4</v>
      </c>
      <c r="L18" t="s">
        <v>201</v>
      </c>
      <c r="M18" s="4" t="s">
        <v>11</v>
      </c>
      <c r="N18" t="s">
        <v>171</v>
      </c>
      <c r="O18" s="4" t="s">
        <v>141</v>
      </c>
      <c r="P18" t="s">
        <v>172</v>
      </c>
      <c r="Q18" t="s">
        <v>173</v>
      </c>
      <c r="Y18" t="s">
        <v>93</v>
      </c>
      <c r="AB18">
        <v>2</v>
      </c>
      <c r="AC18">
        <f>MOD(4-Table14[[#This Row],[RotationNum]],4)</f>
        <v>2</v>
      </c>
    </row>
    <row r="19" spans="2:29" ht="16" x14ac:dyDescent="0.2">
      <c r="L19" t="s">
        <v>202</v>
      </c>
      <c r="M19" s="4" t="s">
        <v>11</v>
      </c>
      <c r="N19" t="s">
        <v>171</v>
      </c>
      <c r="O19" s="4" t="s">
        <v>141</v>
      </c>
      <c r="P19" t="s">
        <v>172</v>
      </c>
      <c r="Q19" t="s">
        <v>173</v>
      </c>
      <c r="Y19" t="s">
        <v>23</v>
      </c>
      <c r="AB19">
        <v>2</v>
      </c>
      <c r="AC19">
        <f>MOD(4-Table14[[#This Row],[RotationNum]],4)</f>
        <v>2</v>
      </c>
    </row>
    <row r="20" spans="2:29" ht="16" x14ac:dyDescent="0.2">
      <c r="F20" t="s">
        <v>93</v>
      </c>
      <c r="G20" t="str" cm="1">
        <f t="array" ref="G20">_xlfn.XLOOKUP(TRUE, EXACT(Table12[[#This Row],[Face Turn Sought]], Table9[orig]), Table9[char])</f>
        <v>n</v>
      </c>
      <c r="H20" t="s">
        <v>4</v>
      </c>
      <c r="L20" t="s">
        <v>203</v>
      </c>
      <c r="M20" s="4" t="s">
        <v>11</v>
      </c>
      <c r="N20" t="s">
        <v>171</v>
      </c>
      <c r="O20" s="4" t="s">
        <v>141</v>
      </c>
      <c r="P20" t="s">
        <v>172</v>
      </c>
      <c r="Q20" t="s">
        <v>173</v>
      </c>
      <c r="Y20" t="s">
        <v>3</v>
      </c>
      <c r="Z20" t="s">
        <v>6</v>
      </c>
      <c r="AA20" t="s">
        <v>9</v>
      </c>
      <c r="AB20">
        <v>3</v>
      </c>
      <c r="AC20">
        <f>MOD(4-Table14[[#This Row],[RotationNum]],4)</f>
        <v>1</v>
      </c>
    </row>
    <row r="21" spans="2:29" ht="16" x14ac:dyDescent="0.2">
      <c r="F21" t="s">
        <v>23</v>
      </c>
      <c r="G21" t="str" cm="1">
        <f t="array" ref="G21">_xlfn.XLOOKUP(TRUE, EXACT(Table12[[#This Row],[Face Turn Sought]], Table9[orig]), Table9[char])</f>
        <v>N</v>
      </c>
      <c r="H21" t="s">
        <v>4</v>
      </c>
      <c r="I21">
        <v>3</v>
      </c>
      <c r="L21" t="s">
        <v>204</v>
      </c>
      <c r="M21" s="4" t="s">
        <v>11</v>
      </c>
      <c r="N21" t="s">
        <v>171</v>
      </c>
      <c r="O21" s="4" t="s">
        <v>141</v>
      </c>
      <c r="P21" t="s">
        <v>172</v>
      </c>
      <c r="Q21" t="s">
        <v>173</v>
      </c>
      <c r="Y21" t="s">
        <v>20</v>
      </c>
      <c r="AB21">
        <v>3</v>
      </c>
      <c r="AC21">
        <f>MOD(4-Table14[[#This Row],[RotationNum]],4)</f>
        <v>1</v>
      </c>
    </row>
    <row r="22" spans="2:29" ht="16" x14ac:dyDescent="0.2">
      <c r="B22" s="3"/>
      <c r="C22" s="3"/>
      <c r="D22" s="3"/>
      <c r="F22" s="3"/>
      <c r="G22" s="3"/>
      <c r="H22" s="3"/>
      <c r="I22" s="3"/>
      <c r="L22" t="s">
        <v>205</v>
      </c>
      <c r="M22" s="4" t="s">
        <v>11</v>
      </c>
      <c r="N22" t="s">
        <v>171</v>
      </c>
      <c r="O22" s="4" t="s">
        <v>141</v>
      </c>
      <c r="P22" t="s">
        <v>172</v>
      </c>
      <c r="Q22" t="s">
        <v>173</v>
      </c>
      <c r="Y22" t="s">
        <v>68</v>
      </c>
      <c r="AB22">
        <v>3</v>
      </c>
      <c r="AC22">
        <f>MOD(4-Table14[[#This Row],[RotationNum]],4)</f>
        <v>1</v>
      </c>
    </row>
    <row r="23" spans="2:29" ht="16" x14ac:dyDescent="0.2">
      <c r="B23" t="s">
        <v>8</v>
      </c>
      <c r="C23" t="s">
        <v>78</v>
      </c>
      <c r="D23" t="s">
        <v>30</v>
      </c>
      <c r="F23" t="s">
        <v>66</v>
      </c>
      <c r="G23" t="str" cm="1">
        <f t="array" ref="G23">_xlfn.XLOOKUP(TRUE, EXACT(Table12[[#This Row],[Face Turn Sought]], Table9[orig]), Table9[char])</f>
        <v>F</v>
      </c>
      <c r="H23" t="s">
        <v>9</v>
      </c>
      <c r="I23">
        <v>8</v>
      </c>
      <c r="L23" t="s">
        <v>206</v>
      </c>
      <c r="M23" s="4" t="s">
        <v>11</v>
      </c>
      <c r="N23" t="s">
        <v>171</v>
      </c>
      <c r="O23" s="4" t="s">
        <v>141</v>
      </c>
      <c r="P23" t="s">
        <v>172</v>
      </c>
      <c r="Q23" t="s">
        <v>173</v>
      </c>
      <c r="Y23" t="s">
        <v>72</v>
      </c>
      <c r="AB23">
        <v>3</v>
      </c>
      <c r="AC23">
        <f>MOD(4-Table14[[#This Row],[RotationNum]],4)</f>
        <v>1</v>
      </c>
    </row>
    <row r="24" spans="2:29" ht="16" x14ac:dyDescent="0.2">
      <c r="L24" t="s">
        <v>207</v>
      </c>
      <c r="M24" s="4" t="s">
        <v>11</v>
      </c>
      <c r="N24" t="s">
        <v>171</v>
      </c>
      <c r="O24" s="4" t="s">
        <v>141</v>
      </c>
      <c r="P24" t="s">
        <v>172</v>
      </c>
      <c r="Q24" t="s">
        <v>173</v>
      </c>
      <c r="Y24" t="s">
        <v>208</v>
      </c>
      <c r="AB24">
        <v>3</v>
      </c>
      <c r="AC24">
        <f>MOD(4-Table14[[#This Row],[RotationNum]],4)</f>
        <v>1</v>
      </c>
    </row>
    <row r="25" spans="2:29" ht="16" x14ac:dyDescent="0.2">
      <c r="L25" t="s">
        <v>12</v>
      </c>
      <c r="M25" s="4" t="s">
        <v>12</v>
      </c>
      <c r="N25" t="s">
        <v>176</v>
      </c>
      <c r="O25" s="4" t="s">
        <v>143</v>
      </c>
      <c r="P25" s="4" t="s">
        <v>177</v>
      </c>
      <c r="Q25" t="s">
        <v>173</v>
      </c>
      <c r="Y25" t="s">
        <v>65</v>
      </c>
      <c r="AB25">
        <v>3</v>
      </c>
      <c r="AC25">
        <f>MOD(4-Table14[[#This Row],[RotationNum]],4)</f>
        <v>1</v>
      </c>
    </row>
    <row r="26" spans="2:29" ht="16" x14ac:dyDescent="0.2">
      <c r="L26" t="s">
        <v>209</v>
      </c>
      <c r="M26" s="4" t="s">
        <v>12</v>
      </c>
      <c r="N26" t="s">
        <v>176</v>
      </c>
      <c r="O26" s="4" t="s">
        <v>143</v>
      </c>
      <c r="P26" s="4" t="s">
        <v>177</v>
      </c>
      <c r="Q26" t="s">
        <v>173</v>
      </c>
      <c r="Y26" t="s">
        <v>21</v>
      </c>
      <c r="AB26">
        <v>3</v>
      </c>
      <c r="AC26">
        <f>MOD(4-Table14[[#This Row],[RotationNum]],4)</f>
        <v>1</v>
      </c>
    </row>
    <row r="27" spans="2:29" ht="16" x14ac:dyDescent="0.2">
      <c r="F27" t="s">
        <v>30</v>
      </c>
      <c r="G27" t="str" cm="1">
        <f t="array" ref="G27">_xlfn.XLOOKUP(TRUE, EXACT(Table12[[#This Row],[Face Turn Sought]], Table9[orig]), Table9[char])</f>
        <v>B</v>
      </c>
      <c r="H27" t="s">
        <v>8</v>
      </c>
      <c r="I27">
        <v>7</v>
      </c>
      <c r="L27" t="s">
        <v>210</v>
      </c>
      <c r="M27" s="4" t="s">
        <v>12</v>
      </c>
      <c r="N27" t="s">
        <v>176</v>
      </c>
      <c r="O27" s="4" t="s">
        <v>143</v>
      </c>
      <c r="P27" s="4" t="s">
        <v>177</v>
      </c>
      <c r="Q27" t="s">
        <v>173</v>
      </c>
    </row>
    <row r="28" spans="2:29" ht="16" x14ac:dyDescent="0.2">
      <c r="B28" s="3"/>
      <c r="C28" s="3"/>
      <c r="D28" s="3"/>
      <c r="F28" s="3"/>
      <c r="G28" s="3"/>
      <c r="H28" s="3"/>
      <c r="I28" s="3"/>
      <c r="L28" t="s">
        <v>211</v>
      </c>
      <c r="M28" s="4" t="s">
        <v>12</v>
      </c>
      <c r="N28" t="s">
        <v>176</v>
      </c>
      <c r="O28" s="4" t="s">
        <v>143</v>
      </c>
      <c r="P28" s="4" t="s">
        <v>177</v>
      </c>
      <c r="Q28" t="s">
        <v>173</v>
      </c>
    </row>
    <row r="29" spans="2:29" ht="16" x14ac:dyDescent="0.2">
      <c r="B29" t="s">
        <v>9</v>
      </c>
      <c r="C29" t="s">
        <v>66</v>
      </c>
      <c r="D29" t="s">
        <v>89</v>
      </c>
      <c r="F29" t="s">
        <v>78</v>
      </c>
      <c r="G29" t="str" cm="1">
        <f t="array" ref="G29">_xlfn.XLOOKUP(TRUE, EXACT(Table12[[#This Row],[Face Turn Sought]], Table9[orig]), Table9[char])</f>
        <v>Q</v>
      </c>
      <c r="H29" t="s">
        <v>8</v>
      </c>
      <c r="I29">
        <v>7</v>
      </c>
      <c r="L29" t="s">
        <v>212</v>
      </c>
      <c r="M29" s="4" t="s">
        <v>12</v>
      </c>
      <c r="N29" t="s">
        <v>176</v>
      </c>
      <c r="O29" s="4" t="s">
        <v>143</v>
      </c>
      <c r="P29" s="4" t="s">
        <v>177</v>
      </c>
      <c r="Q29" t="s">
        <v>173</v>
      </c>
    </row>
    <row r="30" spans="2:29" ht="16" x14ac:dyDescent="0.2">
      <c r="L30" t="s">
        <v>213</v>
      </c>
      <c r="M30" s="4" t="s">
        <v>12</v>
      </c>
      <c r="N30" t="s">
        <v>176</v>
      </c>
      <c r="O30" s="4" t="s">
        <v>143</v>
      </c>
      <c r="P30" s="4" t="s">
        <v>177</v>
      </c>
      <c r="Q30" t="s">
        <v>173</v>
      </c>
    </row>
    <row r="31" spans="2:29" ht="16" x14ac:dyDescent="0.2">
      <c r="L31" t="s">
        <v>214</v>
      </c>
      <c r="M31" s="4" t="s">
        <v>12</v>
      </c>
      <c r="N31" t="s">
        <v>176</v>
      </c>
      <c r="O31" s="4" t="s">
        <v>143</v>
      </c>
      <c r="P31" s="4" t="s">
        <v>177</v>
      </c>
      <c r="Q31" t="s">
        <v>173</v>
      </c>
    </row>
    <row r="32" spans="2:29" ht="16" x14ac:dyDescent="0.2">
      <c r="L32" t="s">
        <v>215</v>
      </c>
      <c r="M32" s="4" t="s">
        <v>12</v>
      </c>
      <c r="N32" t="s">
        <v>176</v>
      </c>
      <c r="O32" s="4" t="s">
        <v>143</v>
      </c>
      <c r="P32" s="4" t="s">
        <v>177</v>
      </c>
      <c r="Q32" t="s">
        <v>173</v>
      </c>
    </row>
    <row r="33" spans="2:17" ht="16" x14ac:dyDescent="0.2">
      <c r="F33" t="s">
        <v>89</v>
      </c>
      <c r="G33" t="str" cm="1">
        <f t="array" ref="G33">_xlfn.XLOOKUP(TRUE, EXACT(Table12[[#This Row],[Face Turn Sought]], Table9[orig]), Table9[char])</f>
        <v>@</v>
      </c>
      <c r="H33" t="s">
        <v>9</v>
      </c>
      <c r="I33">
        <v>8</v>
      </c>
      <c r="L33" t="s">
        <v>216</v>
      </c>
      <c r="M33" s="4" t="s">
        <v>12</v>
      </c>
      <c r="N33" t="s">
        <v>176</v>
      </c>
      <c r="O33" s="4" t="s">
        <v>143</v>
      </c>
      <c r="P33" s="4" t="s">
        <v>177</v>
      </c>
      <c r="Q33" t="s">
        <v>173</v>
      </c>
    </row>
    <row r="34" spans="2:17" ht="16" x14ac:dyDescent="0.2">
      <c r="B34" s="3"/>
      <c r="C34" s="3"/>
      <c r="D34" s="3"/>
      <c r="F34" s="3"/>
      <c r="G34" s="3"/>
      <c r="H34" s="3"/>
      <c r="I34" s="3"/>
      <c r="L34" t="s">
        <v>217</v>
      </c>
      <c r="M34" s="4" t="s">
        <v>12</v>
      </c>
      <c r="N34" t="s">
        <v>176</v>
      </c>
      <c r="O34" s="4" t="s">
        <v>143</v>
      </c>
      <c r="P34" s="4" t="s">
        <v>177</v>
      </c>
      <c r="Q34" t="s">
        <v>173</v>
      </c>
    </row>
    <row r="35" spans="2:17" ht="16" x14ac:dyDescent="0.2">
      <c r="B35" t="s">
        <v>10</v>
      </c>
      <c r="C35" t="s">
        <v>94</v>
      </c>
      <c r="D35" t="s">
        <v>109</v>
      </c>
      <c r="F35" t="s">
        <v>94</v>
      </c>
      <c r="G35" t="str" cm="1">
        <f t="array" ref="G35">_xlfn.XLOOKUP(TRUE, EXACT(Table12[[#This Row],[Face Turn Sought]], Table9[orig]), Table9[char])</f>
        <v>$</v>
      </c>
      <c r="H35" t="s">
        <v>10</v>
      </c>
      <c r="I35">
        <v>9</v>
      </c>
      <c r="L35" t="s">
        <v>218</v>
      </c>
      <c r="M35" s="4" t="s">
        <v>12</v>
      </c>
      <c r="N35" t="s">
        <v>176</v>
      </c>
      <c r="O35" s="4" t="s">
        <v>143</v>
      </c>
      <c r="P35" s="4" t="s">
        <v>177</v>
      </c>
      <c r="Q35" t="s">
        <v>173</v>
      </c>
    </row>
    <row r="36" spans="2:17" ht="16" x14ac:dyDescent="0.2">
      <c r="L36" t="s">
        <v>219</v>
      </c>
      <c r="M36" s="4" t="s">
        <v>12</v>
      </c>
      <c r="N36" t="s">
        <v>176</v>
      </c>
      <c r="O36" s="4" t="s">
        <v>143</v>
      </c>
      <c r="P36" s="4" t="s">
        <v>177</v>
      </c>
      <c r="Q36" t="s">
        <v>173</v>
      </c>
    </row>
    <row r="37" spans="2:17" ht="16" x14ac:dyDescent="0.2">
      <c r="L37" t="s">
        <v>220</v>
      </c>
      <c r="M37" s="4" t="s">
        <v>12</v>
      </c>
      <c r="N37" t="s">
        <v>176</v>
      </c>
      <c r="O37" s="4" t="s">
        <v>143</v>
      </c>
      <c r="P37" s="4" t="s">
        <v>177</v>
      </c>
      <c r="Q37" t="s">
        <v>173</v>
      </c>
    </row>
    <row r="38" spans="2:17" ht="16" x14ac:dyDescent="0.2">
      <c r="L38" t="s">
        <v>221</v>
      </c>
      <c r="M38" s="4" t="s">
        <v>12</v>
      </c>
      <c r="N38" t="s">
        <v>176</v>
      </c>
      <c r="O38" s="4" t="s">
        <v>143</v>
      </c>
      <c r="P38" s="4" t="s">
        <v>177</v>
      </c>
      <c r="Q38" t="s">
        <v>173</v>
      </c>
    </row>
    <row r="39" spans="2:17" ht="16" x14ac:dyDescent="0.2">
      <c r="F39" t="s">
        <v>109</v>
      </c>
      <c r="G39" t="str" cm="1">
        <f t="array" ref="G39">_xlfn.XLOOKUP(TRUE, EXACT(Table12[[#This Row],[Face Turn Sought]], Table9[orig]), Table9[char])</f>
        <v>`</v>
      </c>
      <c r="H39" t="s">
        <v>10</v>
      </c>
      <c r="I39">
        <v>9</v>
      </c>
      <c r="L39" t="s">
        <v>222</v>
      </c>
      <c r="M39" s="4" t="s">
        <v>12</v>
      </c>
      <c r="N39" t="s">
        <v>176</v>
      </c>
      <c r="O39" s="4" t="s">
        <v>143</v>
      </c>
      <c r="P39" s="4" t="s">
        <v>177</v>
      </c>
      <c r="Q39" t="s">
        <v>173</v>
      </c>
    </row>
    <row r="40" spans="2:17" ht="16" x14ac:dyDescent="0.2">
      <c r="B40" s="3"/>
      <c r="C40" s="3"/>
      <c r="D40" s="3"/>
      <c r="F40" s="3"/>
      <c r="G40" s="3"/>
      <c r="H40" s="3"/>
      <c r="I40" s="3"/>
      <c r="L40" t="s">
        <v>223</v>
      </c>
      <c r="M40" s="4" t="s">
        <v>12</v>
      </c>
      <c r="N40" t="s">
        <v>176</v>
      </c>
      <c r="O40" s="4" t="s">
        <v>143</v>
      </c>
      <c r="P40" s="4" t="s">
        <v>177</v>
      </c>
      <c r="Q40" t="s">
        <v>173</v>
      </c>
    </row>
    <row r="41" spans="2:17" ht="16" x14ac:dyDescent="0.2">
      <c r="B41" t="s">
        <v>5</v>
      </c>
      <c r="C41" t="s">
        <v>90</v>
      </c>
      <c r="D41" t="s">
        <v>32</v>
      </c>
      <c r="F41" t="s">
        <v>77</v>
      </c>
      <c r="G41" t="str" cm="1">
        <f t="array" ref="G41">_xlfn.XLOOKUP(TRUE, EXACT(Table12[[#This Row],[Face Turn Sought]], Table9[orig]), Table9[char])</f>
        <v>U</v>
      </c>
      <c r="H41" t="s">
        <v>6</v>
      </c>
      <c r="I41">
        <v>5</v>
      </c>
      <c r="L41" t="s">
        <v>224</v>
      </c>
      <c r="M41" s="4" t="s">
        <v>12</v>
      </c>
      <c r="N41" t="s">
        <v>176</v>
      </c>
      <c r="O41" s="4" t="s">
        <v>143</v>
      </c>
      <c r="P41" s="4" t="s">
        <v>177</v>
      </c>
      <c r="Q41" t="s">
        <v>173</v>
      </c>
    </row>
    <row r="42" spans="2:17" ht="16" x14ac:dyDescent="0.2">
      <c r="L42" t="s">
        <v>225</v>
      </c>
      <c r="M42" s="4" t="s">
        <v>12</v>
      </c>
      <c r="N42" t="s">
        <v>176</v>
      </c>
      <c r="O42" s="4" t="s">
        <v>143</v>
      </c>
      <c r="P42" s="4" t="s">
        <v>177</v>
      </c>
      <c r="Q42" t="s">
        <v>173</v>
      </c>
    </row>
    <row r="43" spans="2:17" ht="16" x14ac:dyDescent="0.2">
      <c r="L43" t="s">
        <v>226</v>
      </c>
      <c r="M43" s="4" t="s">
        <v>12</v>
      </c>
      <c r="N43" t="s">
        <v>176</v>
      </c>
      <c r="O43" s="4" t="s">
        <v>143</v>
      </c>
      <c r="P43" s="4" t="s">
        <v>177</v>
      </c>
      <c r="Q43" t="s">
        <v>173</v>
      </c>
    </row>
    <row r="44" spans="2:17" ht="16" x14ac:dyDescent="0.2">
      <c r="L44" t="s">
        <v>227</v>
      </c>
      <c r="M44" s="4" t="s">
        <v>12</v>
      </c>
      <c r="N44" t="s">
        <v>176</v>
      </c>
      <c r="O44" s="4" t="s">
        <v>143</v>
      </c>
      <c r="P44" s="4" t="s">
        <v>177</v>
      </c>
      <c r="Q44" t="s">
        <v>173</v>
      </c>
    </row>
    <row r="45" spans="2:17" ht="16" x14ac:dyDescent="0.2">
      <c r="F45" t="s">
        <v>32</v>
      </c>
      <c r="G45" t="str" cm="1">
        <f t="array" ref="G45">_xlfn.XLOOKUP(TRUE, EXACT(Table12[[#This Row],[Face Turn Sought]], Table9[orig]), Table9[char])</f>
        <v>D</v>
      </c>
      <c r="H45" t="s">
        <v>5</v>
      </c>
      <c r="I45">
        <v>4</v>
      </c>
      <c r="L45" t="s">
        <v>13</v>
      </c>
      <c r="M45" s="4" t="s">
        <v>13</v>
      </c>
      <c r="N45" t="s">
        <v>179</v>
      </c>
      <c r="O45" t="s">
        <v>142</v>
      </c>
      <c r="P45" s="4" t="s">
        <v>180</v>
      </c>
      <c r="Q45" t="s">
        <v>181</v>
      </c>
    </row>
    <row r="46" spans="2:17" ht="16" x14ac:dyDescent="0.2">
      <c r="B46" s="3"/>
      <c r="C46" s="3"/>
      <c r="D46" s="3"/>
      <c r="F46" s="3"/>
      <c r="G46" s="3"/>
      <c r="H46" s="3"/>
      <c r="I46" s="3"/>
      <c r="L46" t="s">
        <v>228</v>
      </c>
      <c r="M46" s="4" t="s">
        <v>13</v>
      </c>
      <c r="N46" t="s">
        <v>179</v>
      </c>
      <c r="O46" t="s">
        <v>142</v>
      </c>
      <c r="P46" s="4" t="s">
        <v>180</v>
      </c>
      <c r="Q46" t="s">
        <v>181</v>
      </c>
    </row>
    <row r="47" spans="2:17" ht="16" x14ac:dyDescent="0.2">
      <c r="B47" t="s">
        <v>6</v>
      </c>
      <c r="C47" t="s">
        <v>77</v>
      </c>
      <c r="D47" t="s">
        <v>79</v>
      </c>
      <c r="F47" t="s">
        <v>90</v>
      </c>
      <c r="G47" t="str" cm="1">
        <f t="array" ref="G47">_xlfn.XLOOKUP(TRUE, EXACT(Table12[[#This Row],[Face Turn Sought]], Table9[orig]), Table9[char])</f>
        <v>.</v>
      </c>
      <c r="H47" t="s">
        <v>5</v>
      </c>
      <c r="I47">
        <v>4</v>
      </c>
      <c r="L47" t="s">
        <v>229</v>
      </c>
      <c r="M47" s="4" t="s">
        <v>13</v>
      </c>
      <c r="N47" t="s">
        <v>179</v>
      </c>
      <c r="O47" t="s">
        <v>142</v>
      </c>
      <c r="P47" s="4" t="s">
        <v>180</v>
      </c>
      <c r="Q47" t="s">
        <v>181</v>
      </c>
    </row>
    <row r="48" spans="2:17" ht="16" x14ac:dyDescent="0.2">
      <c r="L48" t="s">
        <v>230</v>
      </c>
      <c r="M48" s="4" t="s">
        <v>13</v>
      </c>
      <c r="N48" t="s">
        <v>179</v>
      </c>
      <c r="O48" t="s">
        <v>142</v>
      </c>
      <c r="P48" s="4" t="s">
        <v>180</v>
      </c>
      <c r="Q48" t="s">
        <v>181</v>
      </c>
    </row>
    <row r="49" spans="2:17" ht="16" x14ac:dyDescent="0.2">
      <c r="L49" t="s">
        <v>231</v>
      </c>
      <c r="M49" s="4" t="s">
        <v>13</v>
      </c>
      <c r="N49" t="s">
        <v>179</v>
      </c>
      <c r="O49" t="s">
        <v>142</v>
      </c>
      <c r="P49" s="4" t="s">
        <v>180</v>
      </c>
      <c r="Q49" t="s">
        <v>181</v>
      </c>
    </row>
    <row r="50" spans="2:17" ht="16" x14ac:dyDescent="0.2">
      <c r="L50" t="s">
        <v>232</v>
      </c>
      <c r="M50" s="4" t="s">
        <v>13</v>
      </c>
      <c r="N50" t="s">
        <v>179</v>
      </c>
      <c r="O50" t="s">
        <v>142</v>
      </c>
      <c r="P50" s="4" t="s">
        <v>180</v>
      </c>
      <c r="Q50" t="s">
        <v>181</v>
      </c>
    </row>
    <row r="51" spans="2:17" ht="16" x14ac:dyDescent="0.2">
      <c r="F51" t="s">
        <v>79</v>
      </c>
      <c r="G51" t="str" cm="1">
        <f t="array" ref="G51">_xlfn.XLOOKUP(TRUE, EXACT(Table12[[#This Row],[Face Turn Sought]], Table9[orig]), Table9[char])</f>
        <v>%</v>
      </c>
      <c r="H51" t="s">
        <v>6</v>
      </c>
      <c r="I51">
        <v>5</v>
      </c>
      <c r="L51" t="s">
        <v>233</v>
      </c>
      <c r="M51" s="4" t="s">
        <v>13</v>
      </c>
      <c r="N51" t="s">
        <v>179</v>
      </c>
      <c r="O51" t="s">
        <v>142</v>
      </c>
      <c r="P51" s="4" t="s">
        <v>180</v>
      </c>
      <c r="Q51" t="s">
        <v>181</v>
      </c>
    </row>
    <row r="52" spans="2:17" ht="16" x14ac:dyDescent="0.2">
      <c r="B52" s="3"/>
      <c r="C52" s="3"/>
      <c r="D52" s="3"/>
      <c r="F52" s="3"/>
      <c r="G52" s="3"/>
      <c r="H52" s="3"/>
      <c r="I52" s="3"/>
      <c r="L52" t="s">
        <v>234</v>
      </c>
      <c r="M52" s="4" t="s">
        <v>13</v>
      </c>
      <c r="N52" t="s">
        <v>179</v>
      </c>
      <c r="O52" t="s">
        <v>142</v>
      </c>
      <c r="P52" s="4" t="s">
        <v>180</v>
      </c>
      <c r="Q52" t="s">
        <v>181</v>
      </c>
    </row>
    <row r="53" spans="2:17" ht="16" x14ac:dyDescent="0.2">
      <c r="B53" t="s">
        <v>7</v>
      </c>
      <c r="C53" t="s">
        <v>110</v>
      </c>
      <c r="D53" t="s">
        <v>95</v>
      </c>
      <c r="F53" t="s">
        <v>110</v>
      </c>
      <c r="G53" t="str" cm="1">
        <f t="array" ref="G53">_xlfn.XLOOKUP(TRUE, EXACT(Table12[[#This Row],[Face Turn Sought]], Table9[orig]), Table9[char])</f>
        <v>\</v>
      </c>
      <c r="H53" t="s">
        <v>7</v>
      </c>
      <c r="I53">
        <v>6</v>
      </c>
      <c r="L53" t="s">
        <v>235</v>
      </c>
      <c r="M53" s="4" t="s">
        <v>13</v>
      </c>
      <c r="N53" t="s">
        <v>179</v>
      </c>
      <c r="O53" t="s">
        <v>142</v>
      </c>
      <c r="P53" s="4" t="s">
        <v>180</v>
      </c>
      <c r="Q53" t="s">
        <v>181</v>
      </c>
    </row>
    <row r="54" spans="2:17" ht="16" x14ac:dyDescent="0.2">
      <c r="L54" t="s">
        <v>236</v>
      </c>
      <c r="M54" s="4" t="s">
        <v>13</v>
      </c>
      <c r="N54" t="s">
        <v>179</v>
      </c>
      <c r="O54" t="s">
        <v>142</v>
      </c>
      <c r="P54" s="4" t="s">
        <v>180</v>
      </c>
      <c r="Q54" t="s">
        <v>181</v>
      </c>
    </row>
    <row r="55" spans="2:17" ht="16" x14ac:dyDescent="0.2">
      <c r="L55" t="s">
        <v>237</v>
      </c>
      <c r="M55" s="4" t="s">
        <v>13</v>
      </c>
      <c r="N55" t="s">
        <v>179</v>
      </c>
      <c r="O55" t="s">
        <v>142</v>
      </c>
      <c r="P55" s="4" t="s">
        <v>180</v>
      </c>
      <c r="Q55" t="s">
        <v>181</v>
      </c>
    </row>
    <row r="56" spans="2:17" ht="16" x14ac:dyDescent="0.2">
      <c r="L56" t="s">
        <v>238</v>
      </c>
      <c r="M56" s="4" t="s">
        <v>13</v>
      </c>
      <c r="N56" t="s">
        <v>179</v>
      </c>
      <c r="O56" t="s">
        <v>142</v>
      </c>
      <c r="P56" s="4" t="s">
        <v>180</v>
      </c>
      <c r="Q56" t="s">
        <v>181</v>
      </c>
    </row>
    <row r="57" spans="2:17" ht="16" x14ac:dyDescent="0.2">
      <c r="F57" t="s">
        <v>95</v>
      </c>
      <c r="G57" t="str" cm="1">
        <f t="array" ref="G57">_xlfn.XLOOKUP(TRUE, EXACT(Table12[[#This Row],[Face Turn Sought]], Table9[orig]), Table9[char])</f>
        <v>c</v>
      </c>
      <c r="H57" t="s">
        <v>7</v>
      </c>
      <c r="I57">
        <v>6</v>
      </c>
      <c r="L57" t="s">
        <v>239</v>
      </c>
      <c r="M57" s="4" t="s">
        <v>13</v>
      </c>
      <c r="N57" t="s">
        <v>179</v>
      </c>
      <c r="O57" t="s">
        <v>142</v>
      </c>
      <c r="P57" s="4" t="s">
        <v>180</v>
      </c>
      <c r="Q57" t="s">
        <v>181</v>
      </c>
    </row>
    <row r="58" spans="2:17" ht="16" x14ac:dyDescent="0.2">
      <c r="B58" s="3"/>
      <c r="C58" s="3"/>
      <c r="D58" s="3"/>
      <c r="F58" s="3"/>
      <c r="G58" s="3"/>
      <c r="H58" s="3"/>
      <c r="I58" s="3"/>
      <c r="L58" t="s">
        <v>240</v>
      </c>
      <c r="M58" s="4" t="s">
        <v>13</v>
      </c>
      <c r="N58" t="s">
        <v>179</v>
      </c>
      <c r="O58" t="s">
        <v>142</v>
      </c>
      <c r="P58" s="4" t="s">
        <v>180</v>
      </c>
      <c r="Q58" t="s">
        <v>181</v>
      </c>
    </row>
    <row r="59" spans="2:17" ht="16" x14ac:dyDescent="0.2">
      <c r="L59" t="s">
        <v>241</v>
      </c>
      <c r="M59" s="4" t="s">
        <v>13</v>
      </c>
      <c r="N59" t="s">
        <v>179</v>
      </c>
      <c r="O59" t="s">
        <v>142</v>
      </c>
      <c r="P59" s="4" t="s">
        <v>180</v>
      </c>
      <c r="Q59" t="s">
        <v>181</v>
      </c>
    </row>
    <row r="60" spans="2:17" ht="16" x14ac:dyDescent="0.2">
      <c r="L60" t="s">
        <v>242</v>
      </c>
      <c r="M60" s="4" t="s">
        <v>13</v>
      </c>
      <c r="N60" t="s">
        <v>179</v>
      </c>
      <c r="O60" t="s">
        <v>142</v>
      </c>
      <c r="P60" s="4" t="s">
        <v>180</v>
      </c>
      <c r="Q60" t="s">
        <v>181</v>
      </c>
    </row>
    <row r="61" spans="2:17" ht="16" x14ac:dyDescent="0.2">
      <c r="L61" t="s">
        <v>243</v>
      </c>
      <c r="M61" s="4" t="s">
        <v>13</v>
      </c>
      <c r="N61" t="s">
        <v>179</v>
      </c>
      <c r="O61" t="s">
        <v>142</v>
      </c>
      <c r="P61" s="4" t="s">
        <v>180</v>
      </c>
      <c r="Q61" t="s">
        <v>181</v>
      </c>
    </row>
    <row r="62" spans="2:17" ht="16" x14ac:dyDescent="0.2">
      <c r="L62" t="s">
        <v>244</v>
      </c>
      <c r="M62" s="4" t="s">
        <v>13</v>
      </c>
      <c r="N62" t="s">
        <v>179</v>
      </c>
      <c r="O62" t="s">
        <v>142</v>
      </c>
      <c r="P62" s="4" t="s">
        <v>180</v>
      </c>
      <c r="Q62" t="s">
        <v>181</v>
      </c>
    </row>
    <row r="63" spans="2:17" ht="16" x14ac:dyDescent="0.2">
      <c r="L63" t="s">
        <v>245</v>
      </c>
      <c r="M63" s="4" t="s">
        <v>13</v>
      </c>
      <c r="N63" t="s">
        <v>179</v>
      </c>
      <c r="O63" t="s">
        <v>142</v>
      </c>
      <c r="P63" s="4" t="s">
        <v>180</v>
      </c>
      <c r="Q63" t="s">
        <v>181</v>
      </c>
    </row>
    <row r="64" spans="2:17" ht="16" x14ac:dyDescent="0.2">
      <c r="L64" t="s">
        <v>246</v>
      </c>
      <c r="M64" s="4" t="s">
        <v>13</v>
      </c>
      <c r="N64" t="s">
        <v>179</v>
      </c>
      <c r="O64" t="s">
        <v>142</v>
      </c>
      <c r="P64" s="4" t="s">
        <v>180</v>
      </c>
      <c r="Q64" t="s">
        <v>181</v>
      </c>
    </row>
    <row r="65" spans="12:17" ht="16" x14ac:dyDescent="0.2">
      <c r="L65" t="s">
        <v>14</v>
      </c>
      <c r="M65" s="4" t="s">
        <v>14</v>
      </c>
      <c r="N65" t="s">
        <v>183</v>
      </c>
      <c r="O65" s="4" t="s">
        <v>145</v>
      </c>
      <c r="P65" s="4" t="s">
        <v>184</v>
      </c>
      <c r="Q65" t="s">
        <v>181</v>
      </c>
    </row>
    <row r="66" spans="12:17" ht="16" x14ac:dyDescent="0.2">
      <c r="L66" t="s">
        <v>247</v>
      </c>
      <c r="M66" s="4" t="s">
        <v>14</v>
      </c>
      <c r="N66" t="s">
        <v>183</v>
      </c>
      <c r="O66" s="4" t="s">
        <v>145</v>
      </c>
      <c r="P66" s="4" t="s">
        <v>184</v>
      </c>
      <c r="Q66" t="s">
        <v>181</v>
      </c>
    </row>
    <row r="67" spans="12:17" ht="16" x14ac:dyDescent="0.2">
      <c r="L67" t="s">
        <v>248</v>
      </c>
      <c r="M67" s="4" t="s">
        <v>14</v>
      </c>
      <c r="N67" t="s">
        <v>183</v>
      </c>
      <c r="O67" s="4" t="s">
        <v>145</v>
      </c>
      <c r="P67" s="4" t="s">
        <v>184</v>
      </c>
      <c r="Q67" t="s">
        <v>181</v>
      </c>
    </row>
    <row r="68" spans="12:17" ht="16" x14ac:dyDescent="0.2">
      <c r="L68" t="s">
        <v>249</v>
      </c>
      <c r="M68" s="4" t="s">
        <v>14</v>
      </c>
      <c r="N68" t="s">
        <v>183</v>
      </c>
      <c r="O68" s="4" t="s">
        <v>145</v>
      </c>
      <c r="P68" s="4" t="s">
        <v>184</v>
      </c>
      <c r="Q68" t="s">
        <v>181</v>
      </c>
    </row>
    <row r="69" spans="12:17" ht="16" x14ac:dyDescent="0.2">
      <c r="L69" t="s">
        <v>250</v>
      </c>
      <c r="M69" s="4" t="s">
        <v>14</v>
      </c>
      <c r="N69" t="s">
        <v>183</v>
      </c>
      <c r="O69" s="4" t="s">
        <v>145</v>
      </c>
      <c r="P69" s="4" t="s">
        <v>184</v>
      </c>
      <c r="Q69" t="s">
        <v>181</v>
      </c>
    </row>
    <row r="70" spans="12:17" ht="16" x14ac:dyDescent="0.2">
      <c r="L70" t="s">
        <v>251</v>
      </c>
      <c r="M70" s="4" t="s">
        <v>14</v>
      </c>
      <c r="N70" t="s">
        <v>183</v>
      </c>
      <c r="O70" s="4" t="s">
        <v>145</v>
      </c>
      <c r="P70" s="4" t="s">
        <v>184</v>
      </c>
      <c r="Q70" t="s">
        <v>181</v>
      </c>
    </row>
    <row r="71" spans="12:17" ht="16" x14ac:dyDescent="0.2">
      <c r="L71" t="s">
        <v>252</v>
      </c>
      <c r="M71" s="4" t="s">
        <v>14</v>
      </c>
      <c r="N71" t="s">
        <v>183</v>
      </c>
      <c r="O71" s="4" t="s">
        <v>145</v>
      </c>
      <c r="P71" s="4" t="s">
        <v>184</v>
      </c>
      <c r="Q71" t="s">
        <v>181</v>
      </c>
    </row>
    <row r="72" spans="12:17" ht="16" x14ac:dyDescent="0.2">
      <c r="L72" t="s">
        <v>253</v>
      </c>
      <c r="M72" s="4" t="s">
        <v>14</v>
      </c>
      <c r="N72" t="s">
        <v>183</v>
      </c>
      <c r="O72" s="4" t="s">
        <v>145</v>
      </c>
      <c r="P72" s="4" t="s">
        <v>184</v>
      </c>
      <c r="Q72" t="s">
        <v>181</v>
      </c>
    </row>
    <row r="73" spans="12:17" ht="16" x14ac:dyDescent="0.2">
      <c r="L73" t="s">
        <v>254</v>
      </c>
      <c r="M73" s="4" t="s">
        <v>14</v>
      </c>
      <c r="N73" t="s">
        <v>183</v>
      </c>
      <c r="O73" s="4" t="s">
        <v>145</v>
      </c>
      <c r="P73" s="4" t="s">
        <v>184</v>
      </c>
      <c r="Q73" t="s">
        <v>181</v>
      </c>
    </row>
    <row r="74" spans="12:17" ht="16" x14ac:dyDescent="0.2">
      <c r="L74" t="s">
        <v>255</v>
      </c>
      <c r="M74" s="4" t="s">
        <v>14</v>
      </c>
      <c r="N74" t="s">
        <v>183</v>
      </c>
      <c r="O74" s="4" t="s">
        <v>145</v>
      </c>
      <c r="P74" s="4" t="s">
        <v>184</v>
      </c>
      <c r="Q74" t="s">
        <v>181</v>
      </c>
    </row>
    <row r="75" spans="12:17" ht="16" x14ac:dyDescent="0.2">
      <c r="L75" t="s">
        <v>256</v>
      </c>
      <c r="M75" s="4" t="s">
        <v>14</v>
      </c>
      <c r="N75" t="s">
        <v>183</v>
      </c>
      <c r="O75" s="4" t="s">
        <v>145</v>
      </c>
      <c r="P75" s="4" t="s">
        <v>184</v>
      </c>
      <c r="Q75" t="s">
        <v>181</v>
      </c>
    </row>
    <row r="76" spans="12:17" ht="16" x14ac:dyDescent="0.2">
      <c r="L76" t="s">
        <v>257</v>
      </c>
      <c r="M76" s="4" t="s">
        <v>14</v>
      </c>
      <c r="N76" t="s">
        <v>183</v>
      </c>
      <c r="O76" s="4" t="s">
        <v>145</v>
      </c>
      <c r="P76" s="4" t="s">
        <v>184</v>
      </c>
      <c r="Q76" t="s">
        <v>181</v>
      </c>
    </row>
    <row r="77" spans="12:17" ht="16" x14ac:dyDescent="0.2">
      <c r="L77" t="s">
        <v>258</v>
      </c>
      <c r="M77" s="4" t="s">
        <v>14</v>
      </c>
      <c r="N77" t="s">
        <v>183</v>
      </c>
      <c r="O77" s="4" t="s">
        <v>145</v>
      </c>
      <c r="P77" s="4" t="s">
        <v>184</v>
      </c>
      <c r="Q77" t="s">
        <v>181</v>
      </c>
    </row>
    <row r="78" spans="12:17" ht="16" x14ac:dyDescent="0.2">
      <c r="L78" t="s">
        <v>259</v>
      </c>
      <c r="M78" s="4" t="s">
        <v>14</v>
      </c>
      <c r="N78" t="s">
        <v>183</v>
      </c>
      <c r="O78" s="4" t="s">
        <v>145</v>
      </c>
      <c r="P78" s="4" t="s">
        <v>184</v>
      </c>
      <c r="Q78" t="s">
        <v>181</v>
      </c>
    </row>
    <row r="79" spans="12:17" ht="16" x14ac:dyDescent="0.2">
      <c r="L79" t="s">
        <v>260</v>
      </c>
      <c r="M79" s="4" t="s">
        <v>14</v>
      </c>
      <c r="N79" t="s">
        <v>183</v>
      </c>
      <c r="O79" s="4" t="s">
        <v>145</v>
      </c>
      <c r="P79" s="4" t="s">
        <v>184</v>
      </c>
      <c r="Q79" t="s">
        <v>181</v>
      </c>
    </row>
    <row r="80" spans="12:17" ht="16" x14ac:dyDescent="0.2">
      <c r="L80" t="s">
        <v>261</v>
      </c>
      <c r="M80" s="4" t="s">
        <v>14</v>
      </c>
      <c r="N80" t="s">
        <v>183</v>
      </c>
      <c r="O80" s="4" t="s">
        <v>145</v>
      </c>
      <c r="P80" s="4" t="s">
        <v>184</v>
      </c>
      <c r="Q80" t="s">
        <v>181</v>
      </c>
    </row>
    <row r="81" spans="12:17" ht="16" x14ac:dyDescent="0.2">
      <c r="L81" t="s">
        <v>262</v>
      </c>
      <c r="M81" s="4" t="s">
        <v>14</v>
      </c>
      <c r="N81" t="s">
        <v>183</v>
      </c>
      <c r="O81" s="4" t="s">
        <v>145</v>
      </c>
      <c r="P81" s="4" t="s">
        <v>184</v>
      </c>
      <c r="Q81" t="s">
        <v>181</v>
      </c>
    </row>
    <row r="82" spans="12:17" ht="16" x14ac:dyDescent="0.2">
      <c r="L82" t="s">
        <v>263</v>
      </c>
      <c r="M82" s="4" t="s">
        <v>14</v>
      </c>
      <c r="N82" t="s">
        <v>183</v>
      </c>
      <c r="O82" s="4" t="s">
        <v>145</v>
      </c>
      <c r="P82" s="4" t="s">
        <v>184</v>
      </c>
      <c r="Q82" t="s">
        <v>181</v>
      </c>
    </row>
    <row r="83" spans="12:17" ht="16" x14ac:dyDescent="0.2">
      <c r="L83" t="s">
        <v>264</v>
      </c>
      <c r="M83" s="4" t="s">
        <v>14</v>
      </c>
      <c r="N83" t="s">
        <v>183</v>
      </c>
      <c r="O83" s="4" t="s">
        <v>145</v>
      </c>
      <c r="P83" s="4" t="s">
        <v>184</v>
      </c>
      <c r="Q83" t="s">
        <v>181</v>
      </c>
    </row>
    <row r="84" spans="12:17" ht="16" x14ac:dyDescent="0.2">
      <c r="L84" t="s">
        <v>265</v>
      </c>
      <c r="M84" s="4" t="s">
        <v>14</v>
      </c>
      <c r="N84" t="s">
        <v>183</v>
      </c>
      <c r="O84" s="4" t="s">
        <v>145</v>
      </c>
      <c r="P84" s="4" t="s">
        <v>184</v>
      </c>
      <c r="Q84" t="s">
        <v>181</v>
      </c>
    </row>
    <row r="85" spans="12:17" ht="16" x14ac:dyDescent="0.2">
      <c r="L85" t="s">
        <v>15</v>
      </c>
      <c r="M85" s="4" t="s">
        <v>15</v>
      </c>
      <c r="N85" t="s">
        <v>186</v>
      </c>
      <c r="O85" t="s">
        <v>146</v>
      </c>
      <c r="P85" s="4" t="s">
        <v>187</v>
      </c>
      <c r="Q85" t="s">
        <v>188</v>
      </c>
    </row>
    <row r="86" spans="12:17" ht="16" x14ac:dyDescent="0.2">
      <c r="L86" t="s">
        <v>266</v>
      </c>
      <c r="M86" s="4" t="s">
        <v>15</v>
      </c>
      <c r="N86" t="s">
        <v>186</v>
      </c>
      <c r="O86" t="s">
        <v>146</v>
      </c>
      <c r="P86" s="4" t="s">
        <v>187</v>
      </c>
      <c r="Q86" t="s">
        <v>188</v>
      </c>
    </row>
    <row r="87" spans="12:17" ht="16" x14ac:dyDescent="0.2">
      <c r="L87" t="s">
        <v>267</v>
      </c>
      <c r="M87" s="4" t="s">
        <v>15</v>
      </c>
      <c r="N87" t="s">
        <v>186</v>
      </c>
      <c r="O87" t="s">
        <v>146</v>
      </c>
      <c r="P87" s="4" t="s">
        <v>187</v>
      </c>
      <c r="Q87" t="s">
        <v>188</v>
      </c>
    </row>
    <row r="88" spans="12:17" ht="16" x14ac:dyDescent="0.2">
      <c r="L88" t="s">
        <v>268</v>
      </c>
      <c r="M88" s="4" t="s">
        <v>15</v>
      </c>
      <c r="N88" t="s">
        <v>186</v>
      </c>
      <c r="O88" t="s">
        <v>146</v>
      </c>
      <c r="P88" s="4" t="s">
        <v>187</v>
      </c>
      <c r="Q88" t="s">
        <v>188</v>
      </c>
    </row>
    <row r="89" spans="12:17" ht="16" x14ac:dyDescent="0.2">
      <c r="L89" t="s">
        <v>269</v>
      </c>
      <c r="M89" s="4" t="s">
        <v>15</v>
      </c>
      <c r="N89" t="s">
        <v>186</v>
      </c>
      <c r="O89" t="s">
        <v>146</v>
      </c>
      <c r="P89" s="4" t="s">
        <v>187</v>
      </c>
      <c r="Q89" t="s">
        <v>188</v>
      </c>
    </row>
    <row r="90" spans="12:17" ht="16" x14ac:dyDescent="0.2">
      <c r="L90" t="s">
        <v>270</v>
      </c>
      <c r="M90" s="4" t="s">
        <v>15</v>
      </c>
      <c r="N90" t="s">
        <v>186</v>
      </c>
      <c r="O90" t="s">
        <v>146</v>
      </c>
      <c r="P90" s="4" t="s">
        <v>187</v>
      </c>
      <c r="Q90" t="s">
        <v>188</v>
      </c>
    </row>
    <row r="91" spans="12:17" ht="16" x14ac:dyDescent="0.2">
      <c r="L91" t="s">
        <v>271</v>
      </c>
      <c r="M91" s="4" t="s">
        <v>15</v>
      </c>
      <c r="N91" t="s">
        <v>186</v>
      </c>
      <c r="O91" t="s">
        <v>146</v>
      </c>
      <c r="P91" s="4" t="s">
        <v>187</v>
      </c>
      <c r="Q91" t="s">
        <v>188</v>
      </c>
    </row>
    <row r="92" spans="12:17" ht="16" x14ac:dyDescent="0.2">
      <c r="L92" t="s">
        <v>272</v>
      </c>
      <c r="M92" s="4" t="s">
        <v>15</v>
      </c>
      <c r="N92" t="s">
        <v>186</v>
      </c>
      <c r="O92" t="s">
        <v>146</v>
      </c>
      <c r="P92" s="4" t="s">
        <v>187</v>
      </c>
      <c r="Q92" t="s">
        <v>188</v>
      </c>
    </row>
    <row r="93" spans="12:17" ht="16" x14ac:dyDescent="0.2">
      <c r="L93" t="s">
        <v>273</v>
      </c>
      <c r="M93" s="4" t="s">
        <v>15</v>
      </c>
      <c r="N93" t="s">
        <v>186</v>
      </c>
      <c r="O93" t="s">
        <v>146</v>
      </c>
      <c r="P93" s="4" t="s">
        <v>187</v>
      </c>
      <c r="Q93" t="s">
        <v>188</v>
      </c>
    </row>
    <row r="94" spans="12:17" ht="16" x14ac:dyDescent="0.2">
      <c r="L94" t="s">
        <v>274</v>
      </c>
      <c r="M94" s="4" t="s">
        <v>15</v>
      </c>
      <c r="N94" t="s">
        <v>186</v>
      </c>
      <c r="O94" t="s">
        <v>146</v>
      </c>
      <c r="P94" s="4" t="s">
        <v>187</v>
      </c>
      <c r="Q94" t="s">
        <v>188</v>
      </c>
    </row>
    <row r="95" spans="12:17" ht="16" x14ac:dyDescent="0.2">
      <c r="L95" t="s">
        <v>275</v>
      </c>
      <c r="M95" s="4" t="s">
        <v>15</v>
      </c>
      <c r="N95" t="s">
        <v>186</v>
      </c>
      <c r="O95" t="s">
        <v>146</v>
      </c>
      <c r="P95" s="4" t="s">
        <v>187</v>
      </c>
      <c r="Q95" t="s">
        <v>188</v>
      </c>
    </row>
    <row r="96" spans="12:17" ht="16" x14ac:dyDescent="0.2">
      <c r="L96" t="s">
        <v>276</v>
      </c>
      <c r="M96" s="4" t="s">
        <v>15</v>
      </c>
      <c r="N96" t="s">
        <v>186</v>
      </c>
      <c r="O96" t="s">
        <v>146</v>
      </c>
      <c r="P96" s="4" t="s">
        <v>187</v>
      </c>
      <c r="Q96" t="s">
        <v>188</v>
      </c>
    </row>
    <row r="97" spans="12:17" ht="16" x14ac:dyDescent="0.2">
      <c r="L97" t="s">
        <v>277</v>
      </c>
      <c r="M97" s="4" t="s">
        <v>15</v>
      </c>
      <c r="N97" t="s">
        <v>186</v>
      </c>
      <c r="O97" t="s">
        <v>146</v>
      </c>
      <c r="P97" s="4" t="s">
        <v>187</v>
      </c>
      <c r="Q97" t="s">
        <v>188</v>
      </c>
    </row>
    <row r="98" spans="12:17" ht="16" x14ac:dyDescent="0.2">
      <c r="L98" t="s">
        <v>278</v>
      </c>
      <c r="M98" s="4" t="s">
        <v>15</v>
      </c>
      <c r="N98" t="s">
        <v>186</v>
      </c>
      <c r="O98" t="s">
        <v>146</v>
      </c>
      <c r="P98" s="4" t="s">
        <v>187</v>
      </c>
      <c r="Q98" t="s">
        <v>188</v>
      </c>
    </row>
    <row r="99" spans="12:17" ht="16" x14ac:dyDescent="0.2">
      <c r="L99" t="s">
        <v>279</v>
      </c>
      <c r="M99" s="4" t="s">
        <v>15</v>
      </c>
      <c r="N99" t="s">
        <v>186</v>
      </c>
      <c r="O99" t="s">
        <v>146</v>
      </c>
      <c r="P99" s="4" t="s">
        <v>187</v>
      </c>
      <c r="Q99" t="s">
        <v>188</v>
      </c>
    </row>
    <row r="100" spans="12:17" ht="16" x14ac:dyDescent="0.2">
      <c r="L100" t="s">
        <v>280</v>
      </c>
      <c r="M100" s="4" t="s">
        <v>15</v>
      </c>
      <c r="N100" t="s">
        <v>186</v>
      </c>
      <c r="O100" t="s">
        <v>146</v>
      </c>
      <c r="P100" s="4" t="s">
        <v>187</v>
      </c>
      <c r="Q100" t="s">
        <v>188</v>
      </c>
    </row>
    <row r="101" spans="12:17" ht="16" x14ac:dyDescent="0.2">
      <c r="L101" t="s">
        <v>281</v>
      </c>
      <c r="M101" s="4" t="s">
        <v>15</v>
      </c>
      <c r="N101" t="s">
        <v>186</v>
      </c>
      <c r="O101" t="s">
        <v>146</v>
      </c>
      <c r="P101" s="4" t="s">
        <v>187</v>
      </c>
      <c r="Q101" t="s">
        <v>188</v>
      </c>
    </row>
    <row r="102" spans="12:17" ht="16" x14ac:dyDescent="0.2">
      <c r="L102" t="s">
        <v>282</v>
      </c>
      <c r="M102" s="4" t="s">
        <v>15</v>
      </c>
      <c r="N102" t="s">
        <v>186</v>
      </c>
      <c r="O102" t="s">
        <v>146</v>
      </c>
      <c r="P102" s="4" t="s">
        <v>187</v>
      </c>
      <c r="Q102" t="s">
        <v>188</v>
      </c>
    </row>
    <row r="103" spans="12:17" ht="16" x14ac:dyDescent="0.2">
      <c r="L103" t="s">
        <v>283</v>
      </c>
      <c r="M103" s="4" t="s">
        <v>15</v>
      </c>
      <c r="N103" t="s">
        <v>186</v>
      </c>
      <c r="O103" t="s">
        <v>146</v>
      </c>
      <c r="P103" s="4" t="s">
        <v>187</v>
      </c>
      <c r="Q103" t="s">
        <v>188</v>
      </c>
    </row>
    <row r="104" spans="12:17" ht="16" x14ac:dyDescent="0.2">
      <c r="L104" t="s">
        <v>284</v>
      </c>
      <c r="M104" s="4" t="s">
        <v>15</v>
      </c>
      <c r="N104" t="s">
        <v>186</v>
      </c>
      <c r="O104" t="s">
        <v>146</v>
      </c>
      <c r="P104" s="4" t="s">
        <v>187</v>
      </c>
      <c r="Q104" t="s">
        <v>188</v>
      </c>
    </row>
    <row r="105" spans="12:17" ht="16" x14ac:dyDescent="0.2">
      <c r="L105" t="s">
        <v>16</v>
      </c>
      <c r="M105" s="4" t="s">
        <v>16</v>
      </c>
      <c r="N105" t="s">
        <v>190</v>
      </c>
      <c r="O105" t="s">
        <v>144</v>
      </c>
      <c r="P105" t="s">
        <v>191</v>
      </c>
      <c r="Q105" t="s">
        <v>188</v>
      </c>
    </row>
    <row r="106" spans="12:17" ht="16" x14ac:dyDescent="0.2">
      <c r="L106" t="s">
        <v>285</v>
      </c>
      <c r="M106" s="4" t="s">
        <v>16</v>
      </c>
      <c r="N106" t="s">
        <v>190</v>
      </c>
      <c r="O106" t="s">
        <v>144</v>
      </c>
      <c r="P106" t="s">
        <v>191</v>
      </c>
      <c r="Q106" t="s">
        <v>188</v>
      </c>
    </row>
    <row r="107" spans="12:17" ht="16" x14ac:dyDescent="0.2">
      <c r="L107" t="s">
        <v>286</v>
      </c>
      <c r="M107" s="4" t="s">
        <v>16</v>
      </c>
      <c r="N107" t="s">
        <v>190</v>
      </c>
      <c r="O107" t="s">
        <v>144</v>
      </c>
      <c r="P107" t="s">
        <v>191</v>
      </c>
      <c r="Q107" t="s">
        <v>188</v>
      </c>
    </row>
    <row r="108" spans="12:17" ht="16" x14ac:dyDescent="0.2">
      <c r="L108" t="s">
        <v>287</v>
      </c>
      <c r="M108" s="4" t="s">
        <v>16</v>
      </c>
      <c r="N108" t="s">
        <v>190</v>
      </c>
      <c r="O108" t="s">
        <v>144</v>
      </c>
      <c r="P108" t="s">
        <v>191</v>
      </c>
      <c r="Q108" t="s">
        <v>188</v>
      </c>
    </row>
    <row r="109" spans="12:17" ht="16" x14ac:dyDescent="0.2">
      <c r="L109" t="s">
        <v>288</v>
      </c>
      <c r="M109" s="4" t="s">
        <v>16</v>
      </c>
      <c r="N109" t="s">
        <v>190</v>
      </c>
      <c r="O109" t="s">
        <v>144</v>
      </c>
      <c r="P109" t="s">
        <v>191</v>
      </c>
      <c r="Q109" t="s">
        <v>188</v>
      </c>
    </row>
    <row r="110" spans="12:17" ht="16" x14ac:dyDescent="0.2">
      <c r="L110" t="s">
        <v>289</v>
      </c>
      <c r="M110" s="4" t="s">
        <v>16</v>
      </c>
      <c r="N110" t="s">
        <v>190</v>
      </c>
      <c r="O110" t="s">
        <v>144</v>
      </c>
      <c r="P110" t="s">
        <v>191</v>
      </c>
      <c r="Q110" t="s">
        <v>188</v>
      </c>
    </row>
    <row r="111" spans="12:17" ht="16" x14ac:dyDescent="0.2">
      <c r="L111" t="s">
        <v>290</v>
      </c>
      <c r="M111" s="4" t="s">
        <v>16</v>
      </c>
      <c r="N111" t="s">
        <v>190</v>
      </c>
      <c r="O111" t="s">
        <v>144</v>
      </c>
      <c r="P111" t="s">
        <v>191</v>
      </c>
      <c r="Q111" t="s">
        <v>188</v>
      </c>
    </row>
    <row r="112" spans="12:17" ht="16" x14ac:dyDescent="0.2">
      <c r="L112" t="s">
        <v>291</v>
      </c>
      <c r="M112" s="4" t="s">
        <v>16</v>
      </c>
      <c r="N112" t="s">
        <v>190</v>
      </c>
      <c r="O112" t="s">
        <v>144</v>
      </c>
      <c r="P112" t="s">
        <v>191</v>
      </c>
      <c r="Q112" t="s">
        <v>188</v>
      </c>
    </row>
    <row r="113" spans="12:17" ht="16" x14ac:dyDescent="0.2">
      <c r="L113" t="s">
        <v>292</v>
      </c>
      <c r="M113" s="4" t="s">
        <v>16</v>
      </c>
      <c r="N113" t="s">
        <v>190</v>
      </c>
      <c r="O113" t="s">
        <v>144</v>
      </c>
      <c r="P113" t="s">
        <v>191</v>
      </c>
      <c r="Q113" t="s">
        <v>188</v>
      </c>
    </row>
    <row r="114" spans="12:17" ht="16" x14ac:dyDescent="0.2">
      <c r="L114" t="s">
        <v>293</v>
      </c>
      <c r="M114" s="4" t="s">
        <v>16</v>
      </c>
      <c r="N114" t="s">
        <v>190</v>
      </c>
      <c r="O114" t="s">
        <v>144</v>
      </c>
      <c r="P114" t="s">
        <v>191</v>
      </c>
      <c r="Q114" t="s">
        <v>188</v>
      </c>
    </row>
    <row r="115" spans="12:17" ht="16" x14ac:dyDescent="0.2">
      <c r="L115" t="s">
        <v>294</v>
      </c>
      <c r="M115" s="4" t="s">
        <v>16</v>
      </c>
      <c r="N115" t="s">
        <v>190</v>
      </c>
      <c r="O115" t="s">
        <v>144</v>
      </c>
      <c r="P115" t="s">
        <v>191</v>
      </c>
      <c r="Q115" t="s">
        <v>188</v>
      </c>
    </row>
    <row r="116" spans="12:17" ht="16" x14ac:dyDescent="0.2">
      <c r="L116" t="s">
        <v>295</v>
      </c>
      <c r="M116" s="4" t="s">
        <v>16</v>
      </c>
      <c r="N116" t="s">
        <v>190</v>
      </c>
      <c r="O116" t="s">
        <v>144</v>
      </c>
      <c r="P116" t="s">
        <v>191</v>
      </c>
      <c r="Q116" t="s">
        <v>188</v>
      </c>
    </row>
    <row r="117" spans="12:17" ht="16" x14ac:dyDescent="0.2">
      <c r="L117" t="s">
        <v>296</v>
      </c>
      <c r="M117" s="4" t="s">
        <v>16</v>
      </c>
      <c r="N117" t="s">
        <v>190</v>
      </c>
      <c r="O117" t="s">
        <v>144</v>
      </c>
      <c r="P117" t="s">
        <v>191</v>
      </c>
      <c r="Q117" t="s">
        <v>188</v>
      </c>
    </row>
    <row r="118" spans="12:17" ht="16" x14ac:dyDescent="0.2">
      <c r="L118" t="s">
        <v>297</v>
      </c>
      <c r="M118" s="4" t="s">
        <v>16</v>
      </c>
      <c r="N118" t="s">
        <v>190</v>
      </c>
      <c r="O118" t="s">
        <v>144</v>
      </c>
      <c r="P118" t="s">
        <v>191</v>
      </c>
      <c r="Q118" t="s">
        <v>188</v>
      </c>
    </row>
    <row r="119" spans="12:17" ht="16" x14ac:dyDescent="0.2">
      <c r="L119" t="s">
        <v>298</v>
      </c>
      <c r="M119" s="4" t="s">
        <v>16</v>
      </c>
      <c r="N119" t="s">
        <v>190</v>
      </c>
      <c r="O119" t="s">
        <v>144</v>
      </c>
      <c r="P119" t="s">
        <v>191</v>
      </c>
      <c r="Q119" t="s">
        <v>188</v>
      </c>
    </row>
    <row r="120" spans="12:17" ht="16" x14ac:dyDescent="0.2">
      <c r="L120" t="s">
        <v>299</v>
      </c>
      <c r="M120" s="4" t="s">
        <v>16</v>
      </c>
      <c r="N120" t="s">
        <v>190</v>
      </c>
      <c r="O120" t="s">
        <v>144</v>
      </c>
      <c r="P120" t="s">
        <v>191</v>
      </c>
      <c r="Q120" t="s">
        <v>188</v>
      </c>
    </row>
    <row r="121" spans="12:17" ht="16" x14ac:dyDescent="0.2">
      <c r="L121" t="s">
        <v>300</v>
      </c>
      <c r="M121" s="4" t="s">
        <v>16</v>
      </c>
      <c r="N121" t="s">
        <v>190</v>
      </c>
      <c r="O121" t="s">
        <v>144</v>
      </c>
      <c r="P121" t="s">
        <v>191</v>
      </c>
      <c r="Q121" t="s">
        <v>188</v>
      </c>
    </row>
    <row r="122" spans="12:17" ht="16" x14ac:dyDescent="0.2">
      <c r="L122" t="s">
        <v>301</v>
      </c>
      <c r="M122" s="4" t="s">
        <v>16</v>
      </c>
      <c r="N122" t="s">
        <v>190</v>
      </c>
      <c r="O122" t="s">
        <v>144</v>
      </c>
      <c r="P122" t="s">
        <v>191</v>
      </c>
      <c r="Q122" t="s">
        <v>188</v>
      </c>
    </row>
    <row r="123" spans="12:17" ht="16" x14ac:dyDescent="0.2">
      <c r="L123" t="s">
        <v>302</v>
      </c>
      <c r="M123" s="4" t="s">
        <v>16</v>
      </c>
      <c r="N123" t="s">
        <v>190</v>
      </c>
      <c r="O123" t="s">
        <v>144</v>
      </c>
      <c r="P123" t="s">
        <v>191</v>
      </c>
      <c r="Q123" t="s">
        <v>188</v>
      </c>
    </row>
    <row r="124" spans="12:17" ht="16" x14ac:dyDescent="0.2">
      <c r="L124" t="s">
        <v>303</v>
      </c>
      <c r="M124" s="4" t="s">
        <v>16</v>
      </c>
      <c r="N124" t="s">
        <v>190</v>
      </c>
      <c r="O124" t="s">
        <v>144</v>
      </c>
      <c r="P124" t="s">
        <v>191</v>
      </c>
      <c r="Q124" t="s">
        <v>188</v>
      </c>
    </row>
  </sheetData>
  <phoneticPr fontId="6" type="noConversion"/>
  <conditionalFormatting sqref="S4:X4 X5:X6 U5:V9 S5:S10 W5:W10 O5:P104 M5:M124 Q5:Q124">
    <cfRule type="expression" dxfId="1" priority="155">
      <formula>MATCH(M4,$X$24:$X$39,0)&gt;0</formula>
    </cfRule>
    <cfRule type="expression" dxfId="0" priority="156">
      <formula>MATCH(M4,$AD$42:$AD$57,0)&gt;0</formula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3A195-81A8-DF47-B186-7A7693547A2A}">
  <dimension ref="A1:J55"/>
  <sheetViews>
    <sheetView workbookViewId="0">
      <selection sqref="A1:J55"/>
    </sheetView>
  </sheetViews>
  <sheetFormatPr baseColWidth="10" defaultRowHeight="15" x14ac:dyDescent="0.2"/>
  <sheetData>
    <row r="1" spans="1:10" x14ac:dyDescent="0.2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</row>
    <row r="2" spans="1:10" x14ac:dyDescent="0.2">
      <c r="A2" s="6" t="s">
        <v>18</v>
      </c>
      <c r="B2" s="6" t="s">
        <v>18</v>
      </c>
      <c r="C2">
        <f>CODE(Table9[[#This Row],[char]])</f>
        <v>82</v>
      </c>
      <c r="D2" t="s">
        <v>20</v>
      </c>
      <c r="E2" t="str" cm="1">
        <f t="array" ref="E2">_xlfn.XLOOKUP(TRUE, EXACT(Table9[[#This Row],[inverse]], Table9[orig]), Table9[char])</f>
        <v>A</v>
      </c>
      <c r="F2">
        <f>CODE(Table9[[#This Row],[inv char]])</f>
        <v>65</v>
      </c>
      <c r="G2" t="s">
        <v>65</v>
      </c>
      <c r="H2" t="str" cm="1">
        <f t="array" ref="H2">_xlfn.XLOOKUP(TRUE, EXACT(Table9[[#This Row],[Complement]], Table9[orig]), Table9[char])</f>
        <v>l</v>
      </c>
      <c r="I2" t="s">
        <v>2</v>
      </c>
      <c r="J2" t="str">
        <f>Table9[[#This Row],[orig]] &amp; " "</f>
        <v xml:space="preserve">R </v>
      </c>
    </row>
    <row r="3" spans="1:10" x14ac:dyDescent="0.2">
      <c r="A3" t="s">
        <v>67</v>
      </c>
      <c r="B3" t="s">
        <v>67</v>
      </c>
      <c r="C3">
        <f>CODE(Table9[[#This Row],[char]])</f>
        <v>114</v>
      </c>
      <c r="D3" t="s">
        <v>68</v>
      </c>
      <c r="E3" t="str" cm="1">
        <f t="array" ref="E3">_xlfn.XLOOKUP(TRUE, EXACT(Table9[[#This Row],[inverse]], Table9[orig]), Table9[char])</f>
        <v>a</v>
      </c>
      <c r="F3">
        <f>CODE(Table9[[#This Row],[inv char]])</f>
        <v>97</v>
      </c>
      <c r="G3" t="s">
        <v>21</v>
      </c>
      <c r="H3" t="str" cm="1">
        <f t="array" ref="H3">_xlfn.XLOOKUP(TRUE, EXACT(Table9[[#This Row],[Complement]], Table9[orig]), Table9[char])</f>
        <v>L</v>
      </c>
      <c r="I3" t="s">
        <v>2</v>
      </c>
      <c r="J3" t="str">
        <f>Table9[[#This Row],[orig]] &amp; " "</f>
        <v xml:space="preserve">r </v>
      </c>
    </row>
    <row r="4" spans="1:10" x14ac:dyDescent="0.2">
      <c r="A4" s="6" t="s">
        <v>71</v>
      </c>
      <c r="B4" s="6" t="s">
        <v>71</v>
      </c>
      <c r="C4">
        <f>CODE(Table9[[#This Row],[char]])</f>
        <v>84</v>
      </c>
      <c r="D4" t="s">
        <v>72</v>
      </c>
      <c r="E4" t="str" cm="1">
        <f t="array" ref="E4">_xlfn.XLOOKUP(TRUE, EXACT(Table9[[#This Row],[inverse]], Table9[orig]), Table9[char])</f>
        <v>C</v>
      </c>
      <c r="F4">
        <f>CODE(Table9[[#This Row],[inv char]])</f>
        <v>67</v>
      </c>
      <c r="G4" t="s">
        <v>73</v>
      </c>
      <c r="H4" t="str" cm="1">
        <f t="array" ref="H4">_xlfn.CONCAT(_xlfn.XLOOKUP(TRUE, EXACT(A8, Table9[orig]), Table9[char]), _xlfn.XLOOKUP(TRUE, EXACT(A6, Table9[orig]), Table9[char]))</f>
        <v>AL</v>
      </c>
      <c r="I4" t="s">
        <v>2</v>
      </c>
      <c r="J4" t="str">
        <f>Table9[[#This Row],[orig]] &amp; " "</f>
        <v xml:space="preserve">T </v>
      </c>
    </row>
    <row r="5" spans="1:10" x14ac:dyDescent="0.2">
      <c r="A5" t="s">
        <v>65</v>
      </c>
      <c r="B5" t="s">
        <v>65</v>
      </c>
      <c r="C5">
        <f>CODE(Table9[[#This Row],[char]])</f>
        <v>108</v>
      </c>
      <c r="D5" t="s">
        <v>70</v>
      </c>
      <c r="E5" t="str" cm="1">
        <f t="array" ref="E5">_xlfn.XLOOKUP(TRUE, EXACT(Table9[[#This Row],[inverse]], Table9[orig]), Table9[char])</f>
        <v>g</v>
      </c>
      <c r="F5">
        <f>CODE(Table9[[#This Row],[inv char]])</f>
        <v>103</v>
      </c>
      <c r="G5" t="s">
        <v>18</v>
      </c>
      <c r="H5" t="str" cm="1">
        <f t="array" ref="H5">_xlfn.XLOOKUP(TRUE, EXACT(Table9[[#This Row],[Complement]], Table9[orig]), Table9[char])</f>
        <v>R</v>
      </c>
      <c r="I5" t="s">
        <v>3</v>
      </c>
      <c r="J5" t="str">
        <f>Table9[[#This Row],[orig]] &amp; " "</f>
        <v xml:space="preserve">l </v>
      </c>
    </row>
    <row r="6" spans="1:10" x14ac:dyDescent="0.2">
      <c r="A6" s="6" t="s">
        <v>21</v>
      </c>
      <c r="B6" s="6" t="s">
        <v>21</v>
      </c>
      <c r="C6">
        <f>CODE(Table9[[#This Row],[char]])</f>
        <v>76</v>
      </c>
      <c r="D6" t="s">
        <v>19</v>
      </c>
      <c r="E6" t="str" cm="1">
        <f t="array" ref="E6">_xlfn.XLOOKUP(TRUE, EXACT(Table9[[#This Row],[inverse]], Table9[orig]), Table9[char])</f>
        <v>G</v>
      </c>
      <c r="F6">
        <f>CODE(Table9[[#This Row],[inv char]])</f>
        <v>71</v>
      </c>
      <c r="G6" t="s">
        <v>67</v>
      </c>
      <c r="H6" t="str" cm="1">
        <f t="array" ref="H6">_xlfn.XLOOKUP(TRUE, EXACT(Table9[[#This Row],[Complement]], Table9[orig]), Table9[char])</f>
        <v>r</v>
      </c>
      <c r="I6" t="s">
        <v>3</v>
      </c>
      <c r="J6" t="str">
        <f>Table9[[#This Row],[orig]] &amp; " "</f>
        <v xml:space="preserve">L </v>
      </c>
    </row>
    <row r="7" spans="1:10" x14ac:dyDescent="0.2">
      <c r="A7" s="3" t="s">
        <v>2</v>
      </c>
      <c r="B7" s="3" t="s">
        <v>2</v>
      </c>
      <c r="C7" s="3">
        <f>CODE(Table9[[#This Row],[char]])</f>
        <v>88</v>
      </c>
      <c r="D7" s="3" t="s">
        <v>3</v>
      </c>
      <c r="E7" s="3" t="str" cm="1">
        <f t="array" ref="E7">_xlfn.XLOOKUP(TRUE, EXACT(Table9[[#This Row],[inverse]], Table9[orig]), Table9[char])</f>
        <v>!</v>
      </c>
      <c r="F7" s="3">
        <f>CODE(Table9[[#This Row],[inv char]])</f>
        <v>33</v>
      </c>
      <c r="G7" s="3">
        <v>0</v>
      </c>
      <c r="H7" s="3">
        <v>0</v>
      </c>
      <c r="I7" s="3" t="s">
        <v>2</v>
      </c>
      <c r="J7" t="str">
        <f>Table9[[#This Row],[orig]] &amp; " "</f>
        <v xml:space="preserve">X </v>
      </c>
    </row>
    <row r="8" spans="1:10" x14ac:dyDescent="0.2">
      <c r="A8" s="6" t="s">
        <v>20</v>
      </c>
      <c r="B8" s="6" t="s">
        <v>29</v>
      </c>
      <c r="C8">
        <f>CODE(Table9[[#This Row],[char]])</f>
        <v>65</v>
      </c>
      <c r="D8" t="s">
        <v>18</v>
      </c>
      <c r="E8" t="str" cm="1">
        <f t="array" ref="E8">_xlfn.XLOOKUP(TRUE, EXACT(Table9[[#This Row],[inverse]], Table9[orig]), Table9[char])</f>
        <v>R</v>
      </c>
      <c r="F8">
        <f>CODE(Table9[[#This Row],[inv char]])</f>
        <v>82</v>
      </c>
      <c r="G8" t="s">
        <v>70</v>
      </c>
      <c r="H8" t="str" cm="1">
        <f t="array" ref="H8">_xlfn.XLOOKUP(TRUE, EXACT(Table9[[#This Row],[Complement]], Table9[orig]), Table9[char])</f>
        <v>g</v>
      </c>
      <c r="I8" t="s">
        <v>3</v>
      </c>
      <c r="J8" t="str">
        <f>Table9[[#This Row],[orig]] &amp; " "</f>
        <v xml:space="preserve">R' </v>
      </c>
    </row>
    <row r="9" spans="1:10" x14ac:dyDescent="0.2">
      <c r="A9" t="s">
        <v>68</v>
      </c>
      <c r="B9" t="s">
        <v>24</v>
      </c>
      <c r="C9">
        <f>CODE(Table9[[#This Row],[char]])</f>
        <v>97</v>
      </c>
      <c r="D9" t="s">
        <v>67</v>
      </c>
      <c r="E9" t="str" cm="1">
        <f t="array" ref="E9">_xlfn.XLOOKUP(TRUE, EXACT(Table9[[#This Row],[inverse]], Table9[orig]), Table9[char])</f>
        <v>r</v>
      </c>
      <c r="F9">
        <f>CODE(Table9[[#This Row],[inv char]])</f>
        <v>114</v>
      </c>
      <c r="G9" t="s">
        <v>19</v>
      </c>
      <c r="H9" t="str" cm="1">
        <f t="array" ref="H9">_xlfn.XLOOKUP(TRUE, EXACT(Table9[[#This Row],[Complement]], Table9[orig]), Table9[char])</f>
        <v>G</v>
      </c>
      <c r="I9" t="s">
        <v>3</v>
      </c>
      <c r="J9" t="str">
        <f>Table9[[#This Row],[orig]] &amp; " "</f>
        <v xml:space="preserve">r' </v>
      </c>
    </row>
    <row r="10" spans="1:10" x14ac:dyDescent="0.2">
      <c r="A10" s="6" t="s">
        <v>72</v>
      </c>
      <c r="B10" s="6" t="s">
        <v>31</v>
      </c>
      <c r="C10">
        <f>CODE(Table9[[#This Row],[char]])</f>
        <v>67</v>
      </c>
      <c r="D10" t="s">
        <v>71</v>
      </c>
      <c r="E10" t="str" cm="1">
        <f t="array" ref="E10">_xlfn.XLOOKUP(TRUE, EXACT(Table9[[#This Row],[inverse]], Table9[orig]), Table9[char])</f>
        <v>T</v>
      </c>
      <c r="F10">
        <f>CODE(Table9[[#This Row],[inv char]])</f>
        <v>84</v>
      </c>
      <c r="G10" t="s">
        <v>82</v>
      </c>
      <c r="H10" t="str" cm="1">
        <f t="array" ref="H10">_xlfn.CONCAT(_xlfn.XLOOKUP(TRUE, EXACT(A2, Table9[orig]), Table9[char]), _xlfn.XLOOKUP(TRUE, EXACT(A12, Table9[orig]), Table9[char]))</f>
        <v>RG</v>
      </c>
      <c r="I10" t="s">
        <v>3</v>
      </c>
      <c r="J10" t="str">
        <f>Table9[[#This Row],[orig]] &amp; " "</f>
        <v xml:space="preserve">T' </v>
      </c>
    </row>
    <row r="11" spans="1:10" x14ac:dyDescent="0.2">
      <c r="A11" t="s">
        <v>70</v>
      </c>
      <c r="B11" t="s">
        <v>85</v>
      </c>
      <c r="C11">
        <f>CODE(Table9[[#This Row],[char]])</f>
        <v>103</v>
      </c>
      <c r="D11" t="s">
        <v>65</v>
      </c>
      <c r="E11" t="str" cm="1">
        <f t="array" ref="E11">_xlfn.XLOOKUP(TRUE, EXACT(Table9[[#This Row],[inverse]], Table9[orig]), Table9[char])</f>
        <v>l</v>
      </c>
      <c r="F11">
        <f>CODE(Table9[[#This Row],[inv char]])</f>
        <v>108</v>
      </c>
      <c r="G11" t="s">
        <v>20</v>
      </c>
      <c r="H11" t="str" cm="1">
        <f t="array" ref="H11">_xlfn.XLOOKUP(TRUE, EXACT(Table9[[#This Row],[Complement]], Table9[orig]), Table9[char])</f>
        <v>A</v>
      </c>
      <c r="I11" t="s">
        <v>2</v>
      </c>
      <c r="J11" t="str">
        <f>Table9[[#This Row],[orig]] &amp; " "</f>
        <v xml:space="preserve">l' </v>
      </c>
    </row>
    <row r="12" spans="1:10" x14ac:dyDescent="0.2">
      <c r="A12" s="6" t="s">
        <v>19</v>
      </c>
      <c r="B12" s="6" t="s">
        <v>88</v>
      </c>
      <c r="C12" s="1">
        <f>CODE(Table9[[#This Row],[char]])</f>
        <v>71</v>
      </c>
      <c r="D12" t="s">
        <v>21</v>
      </c>
      <c r="E12" t="str" cm="1">
        <f t="array" ref="E12">_xlfn.XLOOKUP(TRUE, EXACT(Table9[[#This Row],[inverse]], Table9[orig]), Table9[char])</f>
        <v>L</v>
      </c>
      <c r="F12">
        <f>CODE(Table9[[#This Row],[inv char]])</f>
        <v>76</v>
      </c>
      <c r="G12" t="s">
        <v>68</v>
      </c>
      <c r="H12" t="str" cm="1">
        <f t="array" ref="H12">_xlfn.XLOOKUP(TRUE, EXACT(Table9[[#This Row],[Complement]], Table9[orig]), Table9[char])</f>
        <v>a</v>
      </c>
      <c r="I12" t="s">
        <v>2</v>
      </c>
      <c r="J12" t="str">
        <f>Table9[[#This Row],[orig]] &amp; " "</f>
        <v xml:space="preserve">L' </v>
      </c>
    </row>
    <row r="13" spans="1:10" x14ac:dyDescent="0.2">
      <c r="A13" s="3" t="s">
        <v>3</v>
      </c>
      <c r="B13" s="3" t="s">
        <v>91</v>
      </c>
      <c r="C13" s="10">
        <f>CODE(Table9[[#This Row],[char]])</f>
        <v>33</v>
      </c>
      <c r="D13" s="3" t="s">
        <v>2</v>
      </c>
      <c r="E13" s="3" t="str" cm="1">
        <f t="array" ref="E13">_xlfn.XLOOKUP(TRUE, EXACT(Table9[[#This Row],[inverse]], Table9[orig]), Table9[char])</f>
        <v>X</v>
      </c>
      <c r="F13" s="3">
        <f>CODE(Table9[[#This Row],[inv char]])</f>
        <v>88</v>
      </c>
      <c r="G13" s="3">
        <v>0</v>
      </c>
      <c r="H13" s="3">
        <v>0</v>
      </c>
      <c r="I13" s="3" t="s">
        <v>3</v>
      </c>
      <c r="J13" t="str">
        <f>Table9[[#This Row],[orig]] &amp; " "</f>
        <v xml:space="preserve">X' </v>
      </c>
    </row>
    <row r="14" spans="1:10" x14ac:dyDescent="0.2">
      <c r="A14" s="6" t="s">
        <v>22</v>
      </c>
      <c r="B14" s="6" t="s">
        <v>92</v>
      </c>
      <c r="C14" s="1">
        <f>CODE(Table9[[#This Row],[char]])</f>
        <v>74</v>
      </c>
      <c r="D14" t="s">
        <v>22</v>
      </c>
      <c r="E14" t="str" cm="1">
        <f t="array" ref="E14">_xlfn.XLOOKUP(TRUE, EXACT(Table9[[#This Row],[inverse]], Table9[orig]), Table9[char])</f>
        <v>J</v>
      </c>
      <c r="F14">
        <f>CODE(Table9[[#This Row],[inv char]])</f>
        <v>74</v>
      </c>
      <c r="G14" t="s">
        <v>93</v>
      </c>
      <c r="H14" t="str" cm="1">
        <f t="array" ref="H14">_xlfn.XLOOKUP(TRUE, EXACT(Table9[[#This Row],[Complement]], Table9[orig]), Table9[char])</f>
        <v>n</v>
      </c>
      <c r="I14" t="s">
        <v>4</v>
      </c>
      <c r="J14" t="str">
        <f>Table9[[#This Row],[orig]] &amp; " "</f>
        <v xml:space="preserve">R2 </v>
      </c>
    </row>
    <row r="15" spans="1:10" x14ac:dyDescent="0.2">
      <c r="A15" t="s">
        <v>96</v>
      </c>
      <c r="B15" t="s">
        <v>97</v>
      </c>
      <c r="C15" s="1">
        <f>CODE(Table9[[#This Row],[char]])</f>
        <v>106</v>
      </c>
      <c r="D15" t="s">
        <v>96</v>
      </c>
      <c r="E15" t="str" cm="1">
        <f t="array" ref="E15">_xlfn.XLOOKUP(TRUE, EXACT(Table9[[#This Row],[inverse]], Table9[orig]), Table9[char])</f>
        <v>j</v>
      </c>
      <c r="F15">
        <f>CODE(Table9[[#This Row],[inv char]])</f>
        <v>106</v>
      </c>
      <c r="G15" t="s">
        <v>23</v>
      </c>
      <c r="H15" t="str" cm="1">
        <f t="array" ref="H15">_xlfn.XLOOKUP(TRUE, EXACT(Table9[[#This Row],[Complement]], Table9[orig]), Table9[char])</f>
        <v>N</v>
      </c>
      <c r="I15" t="s">
        <v>4</v>
      </c>
      <c r="J15" t="str">
        <f>Table9[[#This Row],[orig]] &amp; " "</f>
        <v xml:space="preserve">r2 </v>
      </c>
    </row>
    <row r="16" spans="1:10" x14ac:dyDescent="0.2">
      <c r="A16" s="6" t="s">
        <v>100</v>
      </c>
      <c r="B16" s="6" t="s">
        <v>101</v>
      </c>
      <c r="C16" s="1">
        <f>CODE(Table9[[#This Row],[char]])</f>
        <v>75</v>
      </c>
      <c r="D16" t="s">
        <v>100</v>
      </c>
      <c r="E16" t="str" cm="1">
        <f t="array" ref="E16">_xlfn.XLOOKUP(TRUE, EXACT(Table9[[#This Row],[inverse]], Table9[orig]), Table9[char])</f>
        <v>K</v>
      </c>
      <c r="F16">
        <f>CODE(Table9[[#This Row],[inv char]])</f>
        <v>75</v>
      </c>
      <c r="G16" t="s">
        <v>102</v>
      </c>
      <c r="H16" t="str" cm="1">
        <f t="array" ref="H16">_xlfn.CONCAT(_xlfn.XLOOKUP(TRUE, EXACT(A14, Table9[orig]), Table9[char]), _xlfn.XLOOKUP(TRUE, EXACT(A18, Table9[orig]), Table9[char]))</f>
        <v>JN</v>
      </c>
      <c r="I16" t="s">
        <v>4</v>
      </c>
      <c r="J16" t="str">
        <f>Table9[[#This Row],[orig]] &amp; " "</f>
        <v xml:space="preserve">T2 </v>
      </c>
    </row>
    <row r="17" spans="1:10" x14ac:dyDescent="0.2">
      <c r="A17" t="s">
        <v>93</v>
      </c>
      <c r="B17" t="s">
        <v>105</v>
      </c>
      <c r="C17" s="1">
        <f>CODE(Table9[[#This Row],[char]])</f>
        <v>110</v>
      </c>
      <c r="D17" t="s">
        <v>93</v>
      </c>
      <c r="E17" t="str" cm="1">
        <f t="array" ref="E17">_xlfn.XLOOKUP(TRUE, EXACT(Table9[[#This Row],[inverse]], Table9[orig]), Table9[char])</f>
        <v>n</v>
      </c>
      <c r="F17">
        <f>CODE(Table9[[#This Row],[inv char]])</f>
        <v>110</v>
      </c>
      <c r="G17" t="s">
        <v>22</v>
      </c>
      <c r="H17" t="str" cm="1">
        <f t="array" ref="H17">_xlfn.XLOOKUP(TRUE, EXACT(Table9[[#This Row],[Complement]], Table9[orig]), Table9[char])</f>
        <v>J</v>
      </c>
      <c r="I17" t="s">
        <v>4</v>
      </c>
      <c r="J17" t="str">
        <f>Table9[[#This Row],[orig]] &amp; " "</f>
        <v xml:space="preserve">l2 </v>
      </c>
    </row>
    <row r="18" spans="1:10" x14ac:dyDescent="0.2">
      <c r="A18" s="6" t="s">
        <v>23</v>
      </c>
      <c r="B18" s="6" t="s">
        <v>108</v>
      </c>
      <c r="C18" s="1">
        <f>CODE(Table9[[#This Row],[char]])</f>
        <v>78</v>
      </c>
      <c r="D18" t="s">
        <v>23</v>
      </c>
      <c r="E18" t="str" cm="1">
        <f t="array" ref="E18">_xlfn.XLOOKUP(TRUE, EXACT(Table9[[#This Row],[inverse]], Table9[orig]), Table9[char])</f>
        <v>N</v>
      </c>
      <c r="F18">
        <f>CODE(Table9[[#This Row],[inv char]])</f>
        <v>78</v>
      </c>
      <c r="G18" t="s">
        <v>96</v>
      </c>
      <c r="H18" t="str" cm="1">
        <f t="array" ref="H18">_xlfn.XLOOKUP(TRUE, EXACT(Table9[[#This Row],[Complement]], Table9[orig]), Table9[char])</f>
        <v>j</v>
      </c>
      <c r="I18" t="s">
        <v>4</v>
      </c>
      <c r="J18" t="str">
        <f>Table9[[#This Row],[orig]] &amp; " "</f>
        <v xml:space="preserve">L2 </v>
      </c>
    </row>
    <row r="19" spans="1:10" x14ac:dyDescent="0.2">
      <c r="A19" s="3" t="s">
        <v>4</v>
      </c>
      <c r="B19" s="3" t="s">
        <v>111</v>
      </c>
      <c r="C19" s="10">
        <f>CODE(Table9[[#This Row],[char]])</f>
        <v>80</v>
      </c>
      <c r="D19" s="3" t="s">
        <v>4</v>
      </c>
      <c r="E19" s="3" t="str" cm="1">
        <f t="array" ref="E19">_xlfn.XLOOKUP(TRUE, EXACT(Table9[[#This Row],[inverse]], Table9[orig]), Table9[char])</f>
        <v>P</v>
      </c>
      <c r="F19" s="3">
        <f>CODE(Table9[[#This Row],[inv char]])</f>
        <v>80</v>
      </c>
      <c r="G19" s="3">
        <v>0</v>
      </c>
      <c r="H19" s="3">
        <v>0</v>
      </c>
      <c r="I19" s="3" t="s">
        <v>4</v>
      </c>
      <c r="J19" t="str">
        <f>Table9[[#This Row],[orig]] &amp; " "</f>
        <v xml:space="preserve">X2 </v>
      </c>
    </row>
    <row r="20" spans="1:10" x14ac:dyDescent="0.2">
      <c r="A20" s="6" t="s">
        <v>66</v>
      </c>
      <c r="B20" s="6" t="s">
        <v>66</v>
      </c>
      <c r="C20" s="1">
        <f>CODE(Table9[[#This Row],[char]])</f>
        <v>70</v>
      </c>
      <c r="D20" t="s">
        <v>78</v>
      </c>
      <c r="E20" t="str" cm="1">
        <f t="array" ref="E20">_xlfn.XLOOKUP(TRUE, EXACT(Table9[[#This Row],[inverse]], Table9[orig]), Table9[char])</f>
        <v>Q</v>
      </c>
      <c r="F20">
        <f>CODE(Table9[[#This Row],[inv char]])</f>
        <v>81</v>
      </c>
      <c r="G20" t="s">
        <v>25</v>
      </c>
      <c r="H20" t="str" cm="1">
        <f t="array" ref="H20">_xlfn.XLOOKUP(TRUE, EXACT(Table9[[#This Row],[Complement]], Table9[orig]), Table9[char])</f>
        <v>b</v>
      </c>
      <c r="I20" t="s">
        <v>8</v>
      </c>
      <c r="J20" t="str">
        <f>Table9[[#This Row],[orig]] &amp; " "</f>
        <v xml:space="preserve">F </v>
      </c>
    </row>
    <row r="21" spans="1:10" x14ac:dyDescent="0.2">
      <c r="A21" t="s">
        <v>69</v>
      </c>
      <c r="B21" t="s">
        <v>69</v>
      </c>
      <c r="C21" s="1">
        <f>CODE(Table9[[#This Row],[char]])</f>
        <v>102</v>
      </c>
      <c r="D21" t="s">
        <v>80</v>
      </c>
      <c r="E21" t="str" cm="1">
        <f t="array" ref="E21">_xlfn.XLOOKUP(TRUE, EXACT(Table9[[#This Row],[inverse]], Table9[orig]), Table9[char])</f>
        <v>q</v>
      </c>
      <c r="F21">
        <f>CODE(Table9[[#This Row],[inv char]])</f>
        <v>113</v>
      </c>
      <c r="G21" t="s">
        <v>30</v>
      </c>
      <c r="H21" t="str" cm="1">
        <f t="array" ref="H21">_xlfn.XLOOKUP(TRUE, EXACT(Table9[[#This Row],[Complement]], Table9[orig]), Table9[char])</f>
        <v>B</v>
      </c>
      <c r="I21" t="s">
        <v>8</v>
      </c>
      <c r="J21" t="str">
        <f>Table9[[#This Row],[orig]] &amp; " "</f>
        <v xml:space="preserve">f </v>
      </c>
    </row>
    <row r="22" spans="1:10" x14ac:dyDescent="0.2">
      <c r="A22" s="6" t="s">
        <v>74</v>
      </c>
      <c r="B22" s="6" t="s">
        <v>74</v>
      </c>
      <c r="C22" s="1">
        <f>CODE(Table9[[#This Row],[char]])</f>
        <v>83</v>
      </c>
      <c r="D22" t="s">
        <v>83</v>
      </c>
      <c r="E22" t="str" cm="1">
        <f t="array" ref="E22">_xlfn.XLOOKUP(TRUE, EXACT(Table9[[#This Row],[inverse]], Table9[orig]), Table9[char])</f>
        <v>V</v>
      </c>
      <c r="F22">
        <f>CODE(Table9[[#This Row],[inv char]])</f>
        <v>86</v>
      </c>
      <c r="G22" t="s">
        <v>112</v>
      </c>
      <c r="H22" t="str" cm="1">
        <f t="array" ref="H22">_xlfn.CONCAT(_xlfn.XLOOKUP(TRUE, EXACT(A26, Table9[orig]), Table9[char]), _xlfn.XLOOKUP(TRUE, EXACT(A24, Table9[orig]), Table9[char]))</f>
        <v>QB</v>
      </c>
      <c r="I22" t="s">
        <v>8</v>
      </c>
      <c r="J22" t="str">
        <f>Table9[[#This Row],[orig]] &amp; " "</f>
        <v xml:space="preserve">S </v>
      </c>
    </row>
    <row r="23" spans="1:10" x14ac:dyDescent="0.2">
      <c r="A23" t="s">
        <v>25</v>
      </c>
      <c r="B23" t="s">
        <v>25</v>
      </c>
      <c r="C23" s="1">
        <f>CODE(Table9[[#This Row],[char]])</f>
        <v>98</v>
      </c>
      <c r="D23" t="s">
        <v>86</v>
      </c>
      <c r="E23" t="str" cm="1">
        <f t="array" ref="E23">_xlfn.XLOOKUP(TRUE, EXACT(Table9[[#This Row],[inverse]], Table9[orig]), Table9[char])</f>
        <v>&amp;</v>
      </c>
      <c r="F23">
        <f>CODE(Table9[[#This Row],[inv char]])</f>
        <v>38</v>
      </c>
      <c r="G23" t="s">
        <v>66</v>
      </c>
      <c r="H23" t="str" cm="1">
        <f t="array" ref="H23">_xlfn.XLOOKUP(TRUE, EXACT(Table9[[#This Row],[Complement]], Table9[orig]), Table9[char])</f>
        <v>F</v>
      </c>
      <c r="I23" t="s">
        <v>9</v>
      </c>
      <c r="J23" t="str">
        <f>Table9[[#This Row],[orig]] &amp; " "</f>
        <v xml:space="preserve">b </v>
      </c>
    </row>
    <row r="24" spans="1:10" x14ac:dyDescent="0.2">
      <c r="A24" s="6" t="s">
        <v>30</v>
      </c>
      <c r="B24" s="6" t="s">
        <v>30</v>
      </c>
      <c r="C24" s="1">
        <f>CODE(Table9[[#This Row],[char]])</f>
        <v>66</v>
      </c>
      <c r="D24" t="s">
        <v>89</v>
      </c>
      <c r="E24" t="str" cm="1">
        <f t="array" ref="E24">_xlfn.XLOOKUP(TRUE, EXACT(Table9[[#This Row],[inverse]], Table9[orig]), Table9[char])</f>
        <v>@</v>
      </c>
      <c r="F24">
        <f>CODE(Table9[[#This Row],[inv char]])</f>
        <v>64</v>
      </c>
      <c r="G24" t="s">
        <v>69</v>
      </c>
      <c r="H24" t="str" cm="1">
        <f t="array" ref="H24">_xlfn.XLOOKUP(TRUE, EXACT(Table9[[#This Row],[Complement]], Table9[orig]), Table9[char])</f>
        <v>f</v>
      </c>
      <c r="I24" t="s">
        <v>9</v>
      </c>
      <c r="J24" t="str">
        <f>Table9[[#This Row],[orig]] &amp; " "</f>
        <v xml:space="preserve">B </v>
      </c>
    </row>
    <row r="25" spans="1:10" x14ac:dyDescent="0.2">
      <c r="A25" s="3" t="s">
        <v>8</v>
      </c>
      <c r="B25" s="3" t="s">
        <v>8</v>
      </c>
      <c r="C25" s="10">
        <f>CODE(Table9[[#This Row],[char]])</f>
        <v>90</v>
      </c>
      <c r="D25" s="3" t="s">
        <v>9</v>
      </c>
      <c r="E25" s="3" t="str" cm="1">
        <f t="array" ref="E25">_xlfn.XLOOKUP(TRUE, EXACT(Table9[[#This Row],[inverse]], Table9[orig]), Table9[char])</f>
        <v>#</v>
      </c>
      <c r="F25" s="3">
        <f>CODE(Table9[[#This Row],[inv char]])</f>
        <v>35</v>
      </c>
      <c r="G25" s="3">
        <v>0</v>
      </c>
      <c r="H25" s="3">
        <v>0</v>
      </c>
      <c r="I25" s="3" t="s">
        <v>8</v>
      </c>
      <c r="J25" t="str">
        <f>Table9[[#This Row],[orig]] &amp; " "</f>
        <v xml:space="preserve">Z </v>
      </c>
    </row>
    <row r="26" spans="1:10" x14ac:dyDescent="0.2">
      <c r="A26" s="6" t="s">
        <v>78</v>
      </c>
      <c r="B26" s="6" t="s">
        <v>113</v>
      </c>
      <c r="C26" s="1">
        <f>CODE(Table9[[#This Row],[char]])</f>
        <v>81</v>
      </c>
      <c r="D26" t="s">
        <v>66</v>
      </c>
      <c r="E26" t="str" cm="1">
        <f t="array" ref="E26">_xlfn.XLOOKUP(TRUE, EXACT(Table9[[#This Row],[inverse]], Table9[orig]), Table9[char])</f>
        <v>F</v>
      </c>
      <c r="F26">
        <f>CODE(Table9[[#This Row],[inv char]])</f>
        <v>70</v>
      </c>
      <c r="G26" t="s">
        <v>86</v>
      </c>
      <c r="H26" t="str" cm="1">
        <f t="array" ref="H26">_xlfn.XLOOKUP(TRUE, EXACT(Table9[[#This Row],[Complement]], Table9[orig]), Table9[char])</f>
        <v>&amp;</v>
      </c>
      <c r="I26" t="s">
        <v>9</v>
      </c>
      <c r="J26" t="str">
        <f>Table9[[#This Row],[orig]] &amp; " "</f>
        <v xml:space="preserve">F' </v>
      </c>
    </row>
    <row r="27" spans="1:10" x14ac:dyDescent="0.2">
      <c r="A27" t="s">
        <v>80</v>
      </c>
      <c r="B27" t="s">
        <v>114</v>
      </c>
      <c r="C27" s="1">
        <f>CODE(Table9[[#This Row],[char]])</f>
        <v>113</v>
      </c>
      <c r="D27" t="s">
        <v>69</v>
      </c>
      <c r="E27" t="str" cm="1">
        <f t="array" ref="E27">_xlfn.XLOOKUP(TRUE, EXACT(Table9[[#This Row],[inverse]], Table9[orig]), Table9[char])</f>
        <v>f</v>
      </c>
      <c r="F27">
        <f>CODE(Table9[[#This Row],[inv char]])</f>
        <v>102</v>
      </c>
      <c r="G27" t="s">
        <v>89</v>
      </c>
      <c r="H27" t="str" cm="1">
        <f t="array" ref="H27">_xlfn.XLOOKUP(TRUE, EXACT(Table9[[#This Row],[Complement]], Table9[orig]), Table9[char])</f>
        <v>@</v>
      </c>
      <c r="I27" t="s">
        <v>9</v>
      </c>
      <c r="J27" t="str">
        <f>Table9[[#This Row],[orig]] &amp; " "</f>
        <v xml:space="preserve">f' </v>
      </c>
    </row>
    <row r="28" spans="1:10" x14ac:dyDescent="0.2">
      <c r="A28" s="6" t="s">
        <v>83</v>
      </c>
      <c r="B28" s="6" t="s">
        <v>115</v>
      </c>
      <c r="C28" s="1">
        <f>CODE(Table9[[#This Row],[char]])</f>
        <v>86</v>
      </c>
      <c r="D28" t="s">
        <v>74</v>
      </c>
      <c r="E28" t="str" cm="1">
        <f t="array" ref="E28">_xlfn.XLOOKUP(TRUE, EXACT(Table9[[#This Row],[inverse]], Table9[orig]), Table9[char])</f>
        <v>S</v>
      </c>
      <c r="F28">
        <f>CODE(Table9[[#This Row],[inv char]])</f>
        <v>83</v>
      </c>
      <c r="G28" t="s">
        <v>116</v>
      </c>
      <c r="H28" t="str" cm="1">
        <f t="array" ref="H28">_xlfn.CONCAT(_xlfn.XLOOKUP(TRUE, EXACT(A20, Table9[orig]), Table9[char]), _xlfn.XLOOKUP(TRUE, EXACT(A30, Table9[orig]), Table9[char]))</f>
        <v>F@</v>
      </c>
      <c r="I28" t="s">
        <v>9</v>
      </c>
      <c r="J28" t="str">
        <f>Table9[[#This Row],[orig]] &amp; " "</f>
        <v xml:space="preserve">S' </v>
      </c>
    </row>
    <row r="29" spans="1:10" x14ac:dyDescent="0.2">
      <c r="A29" t="s">
        <v>86</v>
      </c>
      <c r="B29" s="1" t="s">
        <v>117</v>
      </c>
      <c r="C29" s="1">
        <f>CODE(Table9[[#This Row],[char]])</f>
        <v>38</v>
      </c>
      <c r="D29" t="s">
        <v>25</v>
      </c>
      <c r="E29" t="str" cm="1">
        <f t="array" ref="E29">_xlfn.XLOOKUP(TRUE, EXACT(Table9[[#This Row],[inverse]], Table9[orig]), Table9[char])</f>
        <v>b</v>
      </c>
      <c r="F29">
        <f>CODE(Table9[[#This Row],[inv char]])</f>
        <v>98</v>
      </c>
      <c r="G29" t="s">
        <v>78</v>
      </c>
      <c r="H29" t="str" cm="1">
        <f t="array" ref="H29">_xlfn.XLOOKUP(TRUE, EXACT(Table9[[#This Row],[Complement]], Table9[orig]), Table9[char])</f>
        <v>Q</v>
      </c>
      <c r="I29" t="s">
        <v>8</v>
      </c>
      <c r="J29" t="str">
        <f>Table9[[#This Row],[orig]] &amp; " "</f>
        <v xml:space="preserve">b' </v>
      </c>
    </row>
    <row r="30" spans="1:10" x14ac:dyDescent="0.2">
      <c r="A30" s="6" t="s">
        <v>89</v>
      </c>
      <c r="B30" s="6" t="s">
        <v>118</v>
      </c>
      <c r="C30" s="1">
        <f>CODE(Table9[[#This Row],[char]])</f>
        <v>64</v>
      </c>
      <c r="D30" t="s">
        <v>30</v>
      </c>
      <c r="E30" t="str" cm="1">
        <f t="array" ref="E30">_xlfn.XLOOKUP(TRUE, EXACT(Table9[[#This Row],[inverse]], Table9[orig]), Table9[char])</f>
        <v>B</v>
      </c>
      <c r="F30">
        <f>CODE(Table9[[#This Row],[inv char]])</f>
        <v>66</v>
      </c>
      <c r="G30" t="s">
        <v>80</v>
      </c>
      <c r="H30" t="str" cm="1">
        <f t="array" ref="H30">_xlfn.XLOOKUP(TRUE, EXACT(Table9[[#This Row],[Complement]], Table9[orig]), Table9[char])</f>
        <v>q</v>
      </c>
      <c r="I30" t="s">
        <v>8</v>
      </c>
      <c r="J30" t="str">
        <f>Table9[[#This Row],[orig]] &amp; " "</f>
        <v xml:space="preserve">B' </v>
      </c>
    </row>
    <row r="31" spans="1:10" x14ac:dyDescent="0.2">
      <c r="A31" s="3" t="s">
        <v>9</v>
      </c>
      <c r="B31" s="3" t="s">
        <v>119</v>
      </c>
      <c r="C31" s="10">
        <f>CODE(Table9[[#This Row],[char]])</f>
        <v>35</v>
      </c>
      <c r="D31" s="3" t="s">
        <v>8</v>
      </c>
      <c r="E31" s="3" t="str" cm="1">
        <f t="array" ref="E31">_xlfn.XLOOKUP(TRUE, EXACT(Table9[[#This Row],[inverse]], Table9[orig]), Table9[char])</f>
        <v>Z</v>
      </c>
      <c r="F31" s="3">
        <f>CODE(Table9[[#This Row],[inv char]])</f>
        <v>90</v>
      </c>
      <c r="G31" s="3">
        <v>0</v>
      </c>
      <c r="H31" s="3">
        <v>0</v>
      </c>
      <c r="I31" s="3" t="s">
        <v>9</v>
      </c>
      <c r="J31" t="str">
        <f>Table9[[#This Row],[orig]] &amp; " "</f>
        <v xml:space="preserve">Z' </v>
      </c>
    </row>
    <row r="32" spans="1:10" x14ac:dyDescent="0.2">
      <c r="A32" s="6" t="s">
        <v>94</v>
      </c>
      <c r="B32" s="6" t="s">
        <v>120</v>
      </c>
      <c r="C32" s="1">
        <f>CODE(Table9[[#This Row],[char]])</f>
        <v>36</v>
      </c>
      <c r="D32" t="s">
        <v>94</v>
      </c>
      <c r="E32" t="str" cm="1">
        <f t="array" ref="E32">_xlfn.XLOOKUP(TRUE, EXACT(Table9[[#This Row],[inverse]], Table9[orig]), Table9[char])</f>
        <v>$</v>
      </c>
      <c r="F32">
        <f>CODE(Table9[[#This Row],[inv char]])</f>
        <v>36</v>
      </c>
      <c r="G32" t="s">
        <v>106</v>
      </c>
      <c r="H32" t="str" cm="1">
        <f t="array" ref="H32">_xlfn.XLOOKUP(TRUE, EXACT(Table9[[#This Row],[Complement]], Table9[orig]), Table9[char])</f>
        <v>~</v>
      </c>
      <c r="I32" t="s">
        <v>10</v>
      </c>
      <c r="J32" t="str">
        <f>Table9[[#This Row],[orig]] &amp; " "</f>
        <v xml:space="preserve">F2 </v>
      </c>
    </row>
    <row r="33" spans="1:10" x14ac:dyDescent="0.2">
      <c r="A33" t="s">
        <v>98</v>
      </c>
      <c r="B33" t="s">
        <v>121</v>
      </c>
      <c r="C33" s="1">
        <f>CODE(Table9[[#This Row],[char]])</f>
        <v>63</v>
      </c>
      <c r="D33" t="s">
        <v>98</v>
      </c>
      <c r="E33" t="str" cm="1">
        <f t="array" ref="E33">_xlfn.XLOOKUP(TRUE, EXACT(Table9[[#This Row],[inverse]], Table9[orig]), Table9[char])</f>
        <v>?</v>
      </c>
      <c r="F33">
        <f>CODE(Table9[[#This Row],[inv char]])</f>
        <v>63</v>
      </c>
      <c r="G33" t="s">
        <v>109</v>
      </c>
      <c r="H33" t="str" cm="1">
        <f t="array" ref="H33">_xlfn.XLOOKUP(TRUE, EXACT(Table9[[#This Row],[Complement]], Table9[orig]), Table9[char])</f>
        <v>`</v>
      </c>
      <c r="I33" t="s">
        <v>10</v>
      </c>
      <c r="J33" t="str">
        <f>Table9[[#This Row],[orig]] &amp; " "</f>
        <v xml:space="preserve">f2 </v>
      </c>
    </row>
    <row r="34" spans="1:10" x14ac:dyDescent="0.2">
      <c r="A34" s="6" t="s">
        <v>103</v>
      </c>
      <c r="B34" s="6" t="s">
        <v>122</v>
      </c>
      <c r="C34" s="1">
        <f>CODE(Table9[[#This Row],[char]])</f>
        <v>94</v>
      </c>
      <c r="D34" t="s">
        <v>103</v>
      </c>
      <c r="E34" t="str" cm="1">
        <f t="array" ref="E34">_xlfn.XLOOKUP(TRUE, EXACT(Table9[[#This Row],[inverse]], Table9[orig]), Table9[char])</f>
        <v>^</v>
      </c>
      <c r="F34">
        <f>CODE(Table9[[#This Row],[inv char]])</f>
        <v>94</v>
      </c>
      <c r="G34" t="s">
        <v>123</v>
      </c>
      <c r="H34" t="str" cm="1">
        <f t="array" ref="H34">_xlfn.CONCAT(_xlfn.XLOOKUP(TRUE, EXACT(A32, Table9[orig]), Table9[char]), _xlfn.XLOOKUP(TRUE, EXACT(A36, Table9[orig]), Table9[char]))</f>
        <v>$`</v>
      </c>
      <c r="I34" t="s">
        <v>10</v>
      </c>
      <c r="J34" t="str">
        <f>Table9[[#This Row],[orig]] &amp; " "</f>
        <v xml:space="preserve">S2 </v>
      </c>
    </row>
    <row r="35" spans="1:10" x14ac:dyDescent="0.2">
      <c r="A35" t="s">
        <v>106</v>
      </c>
      <c r="B35" s="1" t="s">
        <v>124</v>
      </c>
      <c r="C35" s="1">
        <f>CODE(Table9[[#This Row],[char]])</f>
        <v>126</v>
      </c>
      <c r="D35" t="s">
        <v>106</v>
      </c>
      <c r="E35" t="str" cm="1">
        <f t="array" ref="E35">_xlfn.XLOOKUP(TRUE, EXACT(Table9[[#This Row],[inverse]], Table9[orig]), Table9[char])</f>
        <v>~</v>
      </c>
      <c r="F35">
        <f>CODE(Table9[[#This Row],[inv char]])</f>
        <v>126</v>
      </c>
      <c r="G35" t="s">
        <v>94</v>
      </c>
      <c r="H35" t="str" cm="1">
        <f t="array" ref="H35">_xlfn.XLOOKUP(TRUE, EXACT(Table9[[#This Row],[Complement]], Table9[orig]), Table9[char])</f>
        <v>$</v>
      </c>
      <c r="I35" t="s">
        <v>10</v>
      </c>
      <c r="J35" t="str">
        <f>Table9[[#This Row],[orig]] &amp; " "</f>
        <v xml:space="preserve">b2 </v>
      </c>
    </row>
    <row r="36" spans="1:10" x14ac:dyDescent="0.2">
      <c r="A36" s="6" t="s">
        <v>109</v>
      </c>
      <c r="B36" s="6" t="s">
        <v>125</v>
      </c>
      <c r="C36" s="1">
        <f>CODE(Table9[[#This Row],[char]])</f>
        <v>96</v>
      </c>
      <c r="D36" t="s">
        <v>109</v>
      </c>
      <c r="E36" t="str" cm="1">
        <f t="array" ref="E36">_xlfn.XLOOKUP(TRUE, EXACT(Table9[[#This Row],[inverse]], Table9[orig]), Table9[char])</f>
        <v>`</v>
      </c>
      <c r="F36">
        <f>CODE(Table9[[#This Row],[inv char]])</f>
        <v>96</v>
      </c>
      <c r="G36" t="s">
        <v>98</v>
      </c>
      <c r="H36" t="str" cm="1">
        <f t="array" ref="H36">_xlfn.XLOOKUP(TRUE, EXACT(Table9[[#This Row],[Complement]], Table9[orig]), Table9[char])</f>
        <v>?</v>
      </c>
      <c r="I36" t="s">
        <v>10</v>
      </c>
      <c r="J36" t="str">
        <f>Table9[[#This Row],[orig]] &amp; " "</f>
        <v xml:space="preserve">B2 </v>
      </c>
    </row>
    <row r="37" spans="1:10" x14ac:dyDescent="0.2">
      <c r="A37" s="3" t="s">
        <v>10</v>
      </c>
      <c r="B37" s="9" t="s">
        <v>126</v>
      </c>
      <c r="C37" s="10">
        <f>CODE(Table9[[#This Row],[char]])</f>
        <v>61</v>
      </c>
      <c r="D37" s="3" t="s">
        <v>10</v>
      </c>
      <c r="E37" s="3" t="str" cm="1">
        <f t="array" ref="E37">_xlfn.XLOOKUP(TRUE, EXACT(Table9[[#This Row],[inverse]], Table9[orig]), Table9[char])</f>
        <v>=</v>
      </c>
      <c r="F37" s="3">
        <f>CODE(Table9[[#This Row],[inv char]])</f>
        <v>61</v>
      </c>
      <c r="G37" s="3">
        <v>0</v>
      </c>
      <c r="H37" s="3">
        <v>0</v>
      </c>
      <c r="I37" s="3" t="s">
        <v>10</v>
      </c>
      <c r="J37" t="str">
        <f>Table9[[#This Row],[orig]] &amp; " "</f>
        <v xml:space="preserve">Z2 </v>
      </c>
    </row>
    <row r="38" spans="1:10" x14ac:dyDescent="0.2">
      <c r="A38" s="6" t="s">
        <v>77</v>
      </c>
      <c r="B38" s="6" t="s">
        <v>77</v>
      </c>
      <c r="C38" s="1">
        <f>CODE(Table9[[#This Row],[char]])</f>
        <v>85</v>
      </c>
      <c r="D38" t="s">
        <v>90</v>
      </c>
      <c r="E38" t="str" cm="1">
        <f t="array" ref="E38">_xlfn.XLOOKUP(TRUE, EXACT(Table9[[#This Row],[inverse]], Table9[orig]), Table9[char])</f>
        <v>.</v>
      </c>
      <c r="F38">
        <f>CODE(Table9[[#This Row],[inv char]])</f>
        <v>46</v>
      </c>
      <c r="G38" t="s">
        <v>27</v>
      </c>
      <c r="H38" t="str" cm="1">
        <f t="array" ref="H38">_xlfn.XLOOKUP(TRUE, EXACT(Table9[[#This Row],[Complement]], Table9[orig]), Table9[char])</f>
        <v>d</v>
      </c>
      <c r="I38" t="s">
        <v>5</v>
      </c>
      <c r="J38" t="str">
        <f>Table9[[#This Row],[orig]] &amp; " "</f>
        <v xml:space="preserve">U </v>
      </c>
    </row>
    <row r="39" spans="1:10" x14ac:dyDescent="0.2">
      <c r="A39" t="s">
        <v>76</v>
      </c>
      <c r="B39" t="s">
        <v>76</v>
      </c>
      <c r="C39" s="1">
        <f>CODE(Table9[[#This Row],[char]])</f>
        <v>117</v>
      </c>
      <c r="D39" t="s">
        <v>87</v>
      </c>
      <c r="E39" t="str" cm="1">
        <f t="array" ref="E39">_xlfn.XLOOKUP(TRUE, EXACT(Table9[[#This Row],[inverse]], Table9[orig]), Table9[char])</f>
        <v>-</v>
      </c>
      <c r="F39">
        <f>CODE(Table9[[#This Row],[inv char]])</f>
        <v>45</v>
      </c>
      <c r="G39" t="s">
        <v>32</v>
      </c>
      <c r="H39" t="str" cm="1">
        <f t="array" ref="H39">_xlfn.XLOOKUP(TRUE, EXACT(Table9[[#This Row],[Complement]], Table9[orig]), Table9[char])</f>
        <v>D</v>
      </c>
      <c r="I39" t="s">
        <v>5</v>
      </c>
      <c r="J39" t="str">
        <f>Table9[[#This Row],[orig]] &amp; " "</f>
        <v xml:space="preserve">u </v>
      </c>
    </row>
    <row r="40" spans="1:10" x14ac:dyDescent="0.2">
      <c r="A40" s="6" t="s">
        <v>84</v>
      </c>
      <c r="B40" s="6" t="s">
        <v>84</v>
      </c>
      <c r="C40" s="1">
        <f>CODE(Table9[[#This Row],[char]])</f>
        <v>72</v>
      </c>
      <c r="D40" t="s">
        <v>75</v>
      </c>
      <c r="E40" t="str" cm="1">
        <f t="array" ref="E40">_xlfn.XLOOKUP(TRUE, EXACT(Table9[[#This Row],[inverse]], Table9[orig]), Table9[char])</f>
        <v>+</v>
      </c>
      <c r="F40">
        <f>CODE(Table9[[#This Row],[inv char]])</f>
        <v>43</v>
      </c>
      <c r="G40" t="s">
        <v>127</v>
      </c>
      <c r="H40" t="str" cm="1">
        <f t="array" ref="H40">_xlfn.CONCAT(_xlfn.XLOOKUP(TRUE, EXACT(A44, Table9[orig]), Table9[char]), _xlfn.XLOOKUP(TRUE, EXACT(A42, Table9[orig]), Table9[char]))</f>
        <v>.D</v>
      </c>
      <c r="I40" t="s">
        <v>5</v>
      </c>
      <c r="J40" t="str">
        <f>Table9[[#This Row],[orig]] &amp; " "</f>
        <v xml:space="preserve">H </v>
      </c>
    </row>
    <row r="41" spans="1:10" x14ac:dyDescent="0.2">
      <c r="A41" t="s">
        <v>27</v>
      </c>
      <c r="B41" t="s">
        <v>27</v>
      </c>
      <c r="C41" s="1">
        <f>CODE(Table9[[#This Row],[char]])</f>
        <v>100</v>
      </c>
      <c r="D41" t="s">
        <v>81</v>
      </c>
      <c r="E41" t="str" cm="1">
        <f t="array" ref="E41">_xlfn.XLOOKUP(TRUE, EXACT(Table9[[#This Row],[inverse]], Table9[orig]), Table9[char])</f>
        <v>k</v>
      </c>
      <c r="F41">
        <f>CODE(Table9[[#This Row],[inv char]])</f>
        <v>107</v>
      </c>
      <c r="G41" t="s">
        <v>77</v>
      </c>
      <c r="H41" t="str" cm="1">
        <f t="array" ref="H41">_xlfn.XLOOKUP(TRUE, EXACT(Table9[[#This Row],[Complement]], Table9[orig]), Table9[char])</f>
        <v>U</v>
      </c>
      <c r="I41" t="s">
        <v>6</v>
      </c>
      <c r="J41" t="str">
        <f>Table9[[#This Row],[orig]] &amp; " "</f>
        <v xml:space="preserve">d </v>
      </c>
    </row>
    <row r="42" spans="1:10" x14ac:dyDescent="0.2">
      <c r="A42" s="6" t="s">
        <v>32</v>
      </c>
      <c r="B42" s="6" t="s">
        <v>32</v>
      </c>
      <c r="C42" s="1">
        <f>CODE(Table9[[#This Row],[char]])</f>
        <v>68</v>
      </c>
      <c r="D42" t="s">
        <v>79</v>
      </c>
      <c r="E42" t="str" cm="1">
        <f t="array" ref="E42">_xlfn.XLOOKUP(TRUE, EXACT(Table9[[#This Row],[inverse]], Table9[orig]), Table9[char])</f>
        <v>%</v>
      </c>
      <c r="F42">
        <f>CODE(Table9[[#This Row],[inv char]])</f>
        <v>37</v>
      </c>
      <c r="G42" t="s">
        <v>76</v>
      </c>
      <c r="H42" t="str" cm="1">
        <f t="array" ref="H42">_xlfn.XLOOKUP(TRUE, EXACT(Table9[[#This Row],[Complement]], Table9[orig]), Table9[char])</f>
        <v>u</v>
      </c>
      <c r="I42" t="s">
        <v>6</v>
      </c>
      <c r="J42" t="str">
        <f>Table9[[#This Row],[orig]] &amp; " "</f>
        <v xml:space="preserve">D </v>
      </c>
    </row>
    <row r="43" spans="1:10" x14ac:dyDescent="0.2">
      <c r="A43" s="3" t="s">
        <v>5</v>
      </c>
      <c r="B43" s="3" t="s">
        <v>5</v>
      </c>
      <c r="C43" s="10">
        <f>CODE(Table9[[#This Row],[char]])</f>
        <v>89</v>
      </c>
      <c r="D43" s="3" t="s">
        <v>6</v>
      </c>
      <c r="E43" s="3" t="str" cm="1">
        <f t="array" ref="E43">_xlfn.XLOOKUP(TRUE, EXACT(Table9[[#This Row],[inverse]], Table9[orig]), Table9[char])</f>
        <v>p</v>
      </c>
      <c r="F43" s="3">
        <f>CODE(Table9[[#This Row],[inv char]])</f>
        <v>112</v>
      </c>
      <c r="G43" s="3">
        <v>0</v>
      </c>
      <c r="H43" s="3">
        <v>0</v>
      </c>
      <c r="I43" s="3" t="s">
        <v>5</v>
      </c>
      <c r="J43" t="str">
        <f>Table9[[#This Row],[orig]] &amp; " "</f>
        <v xml:space="preserve">Y </v>
      </c>
    </row>
    <row r="44" spans="1:10" x14ac:dyDescent="0.2">
      <c r="A44" s="6" t="s">
        <v>90</v>
      </c>
      <c r="B44" s="6" t="s">
        <v>128</v>
      </c>
      <c r="C44" s="1">
        <f>CODE(Table9[[#This Row],[char]])</f>
        <v>46</v>
      </c>
      <c r="D44" t="s">
        <v>77</v>
      </c>
      <c r="E44" t="str" cm="1">
        <f t="array" ref="E44">_xlfn.XLOOKUP(TRUE, EXACT(Table9[[#This Row],[inverse]], Table9[orig]), Table9[char])</f>
        <v>U</v>
      </c>
      <c r="F44">
        <f>CODE(Table9[[#This Row],[inv char]])</f>
        <v>85</v>
      </c>
      <c r="G44" t="s">
        <v>81</v>
      </c>
      <c r="H44" t="str" cm="1">
        <f t="array" ref="H44">_xlfn.XLOOKUP(TRUE, EXACT(Table9[[#This Row],[Complement]], Table9[orig]), Table9[char])</f>
        <v>k</v>
      </c>
      <c r="I44" t="s">
        <v>6</v>
      </c>
      <c r="J44" t="str">
        <f>Table9[[#This Row],[orig]] &amp; " "</f>
        <v xml:space="preserve">U' </v>
      </c>
    </row>
    <row r="45" spans="1:10" x14ac:dyDescent="0.2">
      <c r="A45" t="s">
        <v>87</v>
      </c>
      <c r="B45" t="s">
        <v>129</v>
      </c>
      <c r="C45" s="1">
        <f>CODE(Table9[[#This Row],[char]])</f>
        <v>45</v>
      </c>
      <c r="D45" t="s">
        <v>76</v>
      </c>
      <c r="E45" t="str" cm="1">
        <f t="array" ref="E45">_xlfn.XLOOKUP(TRUE, EXACT(Table9[[#This Row],[inverse]], Table9[orig]), Table9[char])</f>
        <v>u</v>
      </c>
      <c r="F45">
        <f>CODE(Table9[[#This Row],[inv char]])</f>
        <v>117</v>
      </c>
      <c r="G45" t="s">
        <v>79</v>
      </c>
      <c r="H45" t="str" cm="1">
        <f t="array" ref="H45">_xlfn.XLOOKUP(TRUE, EXACT(Table9[[#This Row],[Complement]], Table9[orig]), Table9[char])</f>
        <v>%</v>
      </c>
      <c r="I45" t="s">
        <v>6</v>
      </c>
      <c r="J45" t="str">
        <f>Table9[[#This Row],[orig]] &amp; " "</f>
        <v xml:space="preserve">u' </v>
      </c>
    </row>
    <row r="46" spans="1:10" x14ac:dyDescent="0.2">
      <c r="A46" s="6" t="s">
        <v>75</v>
      </c>
      <c r="B46" s="6" t="s">
        <v>130</v>
      </c>
      <c r="C46" s="1">
        <f>CODE(Table9[[#This Row],[char]])</f>
        <v>43</v>
      </c>
      <c r="D46" t="s">
        <v>84</v>
      </c>
      <c r="E46" t="str" cm="1">
        <f t="array" ref="E46">_xlfn.XLOOKUP(TRUE, EXACT(Table9[[#This Row],[inverse]], Table9[orig]), Table9[char])</f>
        <v>H</v>
      </c>
      <c r="F46">
        <f>CODE(Table9[[#This Row],[inv char]])</f>
        <v>72</v>
      </c>
      <c r="G46" t="s">
        <v>131</v>
      </c>
      <c r="H46" t="str" cm="1">
        <f t="array" ref="H46">_xlfn.CONCAT(_xlfn.XLOOKUP(TRUE, EXACT(A38, Table9[orig]), Table9[char]), _xlfn.XLOOKUP(TRUE, EXACT(A48, Table9[orig]), Table9[char]))</f>
        <v>U%</v>
      </c>
      <c r="I46" t="s">
        <v>6</v>
      </c>
      <c r="J46" t="str">
        <f>Table9[[#This Row],[orig]] &amp; " "</f>
        <v xml:space="preserve">H' </v>
      </c>
    </row>
    <row r="47" spans="1:10" x14ac:dyDescent="0.2">
      <c r="A47" t="s">
        <v>81</v>
      </c>
      <c r="B47" s="7" t="s">
        <v>132</v>
      </c>
      <c r="C47" s="1">
        <f>CODE(Table9[[#This Row],[char]])</f>
        <v>107</v>
      </c>
      <c r="D47" t="s">
        <v>27</v>
      </c>
      <c r="E47" t="str" cm="1">
        <f t="array" ref="E47">_xlfn.XLOOKUP(TRUE, EXACT(Table9[[#This Row],[inverse]], Table9[orig]), Table9[char])</f>
        <v>d</v>
      </c>
      <c r="F47">
        <f>CODE(Table9[[#This Row],[inv char]])</f>
        <v>100</v>
      </c>
      <c r="G47" t="s">
        <v>90</v>
      </c>
      <c r="H47" t="str" cm="1">
        <f t="array" ref="H47">_xlfn.XLOOKUP(TRUE, EXACT(Table9[[#This Row],[Complement]], Table9[orig]), Table9[char])</f>
        <v>.</v>
      </c>
      <c r="I47" t="s">
        <v>5</v>
      </c>
      <c r="J47" t="str">
        <f>Table9[[#This Row],[orig]] &amp; " "</f>
        <v xml:space="preserve">d' </v>
      </c>
    </row>
    <row r="48" spans="1:10" x14ac:dyDescent="0.2">
      <c r="A48" s="6" t="s">
        <v>79</v>
      </c>
      <c r="B48" s="6" t="s">
        <v>133</v>
      </c>
      <c r="C48" s="1">
        <f>CODE(Table9[[#This Row],[char]])</f>
        <v>37</v>
      </c>
      <c r="D48" t="s">
        <v>32</v>
      </c>
      <c r="E48" t="str" cm="1">
        <f t="array" ref="E48">_xlfn.XLOOKUP(TRUE, EXACT(Table9[[#This Row],[inverse]], Table9[orig]), Table9[char])</f>
        <v>D</v>
      </c>
      <c r="F48">
        <f>CODE(Table9[[#This Row],[inv char]])</f>
        <v>68</v>
      </c>
      <c r="G48" t="s">
        <v>87</v>
      </c>
      <c r="H48" t="str" cm="1">
        <f t="array" ref="H48">_xlfn.XLOOKUP(TRUE, EXACT(Table9[[#This Row],[Complement]], Table9[orig]), Table9[char])</f>
        <v>-</v>
      </c>
      <c r="I48" t="s">
        <v>5</v>
      </c>
      <c r="J48" t="str">
        <f>Table9[[#This Row],[orig]] &amp; " "</f>
        <v xml:space="preserve">D' </v>
      </c>
    </row>
    <row r="49" spans="1:10" x14ac:dyDescent="0.2">
      <c r="A49" s="3" t="s">
        <v>6</v>
      </c>
      <c r="B49" s="9" t="s">
        <v>134</v>
      </c>
      <c r="C49" s="10">
        <f>CODE(Table9[[#This Row],[char]])</f>
        <v>112</v>
      </c>
      <c r="D49" s="3" t="s">
        <v>5</v>
      </c>
      <c r="E49" s="3" t="str" cm="1">
        <f t="array" ref="E49">_xlfn.XLOOKUP(TRUE, EXACT(Table9[[#This Row],[inverse]], Table9[orig]), Table9[char])</f>
        <v>Y</v>
      </c>
      <c r="F49" s="3">
        <f>CODE(Table9[[#This Row],[inv char]])</f>
        <v>89</v>
      </c>
      <c r="G49" s="3">
        <v>0</v>
      </c>
      <c r="H49" s="3">
        <v>0</v>
      </c>
      <c r="I49" s="3" t="s">
        <v>6</v>
      </c>
      <c r="J49" t="str">
        <f>Table9[[#This Row],[orig]] &amp; " "</f>
        <v xml:space="preserve">Y' </v>
      </c>
    </row>
    <row r="50" spans="1:10" x14ac:dyDescent="0.2">
      <c r="A50" s="6" t="s">
        <v>110</v>
      </c>
      <c r="B50" s="6" t="s">
        <v>135</v>
      </c>
      <c r="C50" s="1">
        <f>CODE(Table9[[#This Row],[char]])</f>
        <v>92</v>
      </c>
      <c r="D50" t="s">
        <v>110</v>
      </c>
      <c r="E50" t="str" cm="1">
        <f t="array" ref="E50">_xlfn.XLOOKUP(TRUE, EXACT(Table9[[#This Row],[inverse]], Table9[orig]), Table9[char])</f>
        <v>\</v>
      </c>
      <c r="F50">
        <f>CODE(Table9[[#This Row],[inv char]])</f>
        <v>92</v>
      </c>
      <c r="G50" t="s">
        <v>99</v>
      </c>
      <c r="H50" t="str" cm="1">
        <f t="array" ref="H50">_xlfn.XLOOKUP(TRUE, EXACT(Table9[[#This Row],[Complement]], Table9[orig]), Table9[char])</f>
        <v>_</v>
      </c>
      <c r="I50" t="s">
        <v>7</v>
      </c>
      <c r="J50" t="str">
        <f>Table9[[#This Row],[orig]] &amp; " "</f>
        <v xml:space="preserve">U2 </v>
      </c>
    </row>
    <row r="51" spans="1:10" x14ac:dyDescent="0.2">
      <c r="A51" t="s">
        <v>107</v>
      </c>
      <c r="B51" t="s">
        <v>136</v>
      </c>
      <c r="C51" s="1">
        <f>CODE(Table9[[#This Row],[char]])</f>
        <v>118</v>
      </c>
      <c r="D51" t="s">
        <v>107</v>
      </c>
      <c r="E51" t="str" cm="1">
        <f t="array" ref="E51">_xlfn.XLOOKUP(TRUE, EXACT(Table9[[#This Row],[inverse]], Table9[orig]), Table9[char])</f>
        <v>v</v>
      </c>
      <c r="F51">
        <f>CODE(Table9[[#This Row],[inv char]])</f>
        <v>118</v>
      </c>
      <c r="G51" t="s">
        <v>95</v>
      </c>
      <c r="H51" t="str" cm="1">
        <f t="array" ref="H51">_xlfn.XLOOKUP(TRUE, EXACT(Table9[[#This Row],[Complement]], Table9[orig]), Table9[char])</f>
        <v>c</v>
      </c>
      <c r="I51" t="s">
        <v>7</v>
      </c>
      <c r="J51" t="str">
        <f>Table9[[#This Row],[orig]] &amp; " "</f>
        <v xml:space="preserve">u2 </v>
      </c>
    </row>
    <row r="52" spans="1:10" x14ac:dyDescent="0.2">
      <c r="A52" s="6" t="s">
        <v>104</v>
      </c>
      <c r="B52" s="6" t="s">
        <v>137</v>
      </c>
      <c r="C52" s="1">
        <f>CODE(Table9[[#This Row],[char]])</f>
        <v>47</v>
      </c>
      <c r="D52" t="s">
        <v>104</v>
      </c>
      <c r="E52" t="str" cm="1">
        <f t="array" ref="E52">_xlfn.XLOOKUP(TRUE, EXACT(Table9[[#This Row],[inverse]], Table9[orig]), Table9[char])</f>
        <v>/</v>
      </c>
      <c r="F52">
        <f>CODE(Table9[[#This Row],[inv char]])</f>
        <v>47</v>
      </c>
      <c r="G52" t="s">
        <v>138</v>
      </c>
      <c r="H52" t="str" cm="1">
        <f t="array" ref="H52">_xlfn.CONCAT(_xlfn.XLOOKUP(TRUE, EXACT(A50, Table9[orig]), Table9[char]), _xlfn.XLOOKUP(TRUE, EXACT(A54, Table9[orig]), Table9[char]))</f>
        <v>\c</v>
      </c>
      <c r="I52" t="s">
        <v>7</v>
      </c>
      <c r="J52" t="str">
        <f>Table9[[#This Row],[orig]] &amp; " "</f>
        <v xml:space="preserve">H2 </v>
      </c>
    </row>
    <row r="53" spans="1:10" x14ac:dyDescent="0.2">
      <c r="A53" t="s">
        <v>99</v>
      </c>
      <c r="B53" t="s">
        <v>139</v>
      </c>
      <c r="C53" s="1">
        <f>CODE(Table9[[#This Row],[char]])</f>
        <v>95</v>
      </c>
      <c r="D53" t="s">
        <v>99</v>
      </c>
      <c r="E53" t="str" cm="1">
        <f t="array" ref="E53">_xlfn.XLOOKUP(TRUE, EXACT(Table9[[#This Row],[inverse]], Table9[orig]), Table9[char])</f>
        <v>_</v>
      </c>
      <c r="F53">
        <f>CODE(Table9[[#This Row],[inv char]])</f>
        <v>95</v>
      </c>
      <c r="G53" t="s">
        <v>110</v>
      </c>
      <c r="H53" t="str" cm="1">
        <f t="array" ref="H53">_xlfn.XLOOKUP(TRUE, EXACT(Table9[[#This Row],[Complement]], Table9[orig]), Table9[char])</f>
        <v>\</v>
      </c>
      <c r="I53" t="s">
        <v>7</v>
      </c>
      <c r="J53" t="str">
        <f>Table9[[#This Row],[orig]] &amp; " "</f>
        <v xml:space="preserve">d2 </v>
      </c>
    </row>
    <row r="54" spans="1:10" x14ac:dyDescent="0.2">
      <c r="A54" s="6" t="s">
        <v>95</v>
      </c>
      <c r="B54" s="6" t="s">
        <v>26</v>
      </c>
      <c r="C54" s="1">
        <f>CODE(Table9[[#This Row],[char]])</f>
        <v>99</v>
      </c>
      <c r="D54" t="s">
        <v>95</v>
      </c>
      <c r="E54" t="str" cm="1">
        <f t="array" ref="E54">_xlfn.XLOOKUP(TRUE, EXACT(Table9[[#This Row],[inverse]], Table9[orig]), Table9[char])</f>
        <v>c</v>
      </c>
      <c r="F54">
        <f>CODE(Table9[[#This Row],[inv char]])</f>
        <v>99</v>
      </c>
      <c r="G54" t="s">
        <v>107</v>
      </c>
      <c r="H54" t="str" cm="1">
        <f t="array" ref="H54">_xlfn.XLOOKUP(TRUE, EXACT(Table9[[#This Row],[Complement]], Table9[orig]), Table9[char])</f>
        <v>v</v>
      </c>
      <c r="I54" t="s">
        <v>7</v>
      </c>
      <c r="J54" t="str">
        <f>Table9[[#This Row],[orig]] &amp; " "</f>
        <v xml:space="preserve">D2 </v>
      </c>
    </row>
    <row r="55" spans="1:10" x14ac:dyDescent="0.2">
      <c r="A55" s="3" t="s">
        <v>7</v>
      </c>
      <c r="B55" s="3" t="s">
        <v>140</v>
      </c>
      <c r="C55" s="10">
        <f>CODE(Table9[[#This Row],[char]])</f>
        <v>73</v>
      </c>
      <c r="D55" s="3" t="s">
        <v>7</v>
      </c>
      <c r="E55" s="3" t="str" cm="1">
        <f t="array" ref="E55">_xlfn.XLOOKUP(TRUE, EXACT(Table9[[#This Row],[inverse]], Table9[orig]), Table9[char])</f>
        <v>I</v>
      </c>
      <c r="F55" s="3">
        <f>CODE(Table9[[#This Row],[inv char]])</f>
        <v>73</v>
      </c>
      <c r="G55" s="3">
        <v>0</v>
      </c>
      <c r="H55" s="3">
        <v>0</v>
      </c>
      <c r="I55" s="3" t="s">
        <v>7</v>
      </c>
      <c r="J55" t="str">
        <f>Table9[[#This Row],[orig]] &amp; " "</f>
        <v xml:space="preserve">Y2 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A3DB-9A11-6048-9586-CB3664D588B5}">
  <dimension ref="A1:Z55"/>
  <sheetViews>
    <sheetView workbookViewId="0">
      <selection sqref="A1:Z55"/>
    </sheetView>
  </sheetViews>
  <sheetFormatPr baseColWidth="10" defaultRowHeight="15" x14ac:dyDescent="0.2"/>
  <sheetData>
    <row r="1" spans="1:26" x14ac:dyDescent="0.2">
      <c r="A1" s="2" t="s">
        <v>34</v>
      </c>
      <c r="B1" s="2" t="s">
        <v>50</v>
      </c>
      <c r="C1" s="2" t="s">
        <v>2</v>
      </c>
      <c r="D1" s="2" t="s">
        <v>51</v>
      </c>
      <c r="E1" s="2" t="s">
        <v>4</v>
      </c>
      <c r="F1" s="2" t="s">
        <v>52</v>
      </c>
      <c r="G1" s="2" t="s">
        <v>3</v>
      </c>
      <c r="H1" s="2" t="s">
        <v>53</v>
      </c>
      <c r="I1" s="2" t="s">
        <v>5</v>
      </c>
      <c r="J1" s="2" t="s">
        <v>54</v>
      </c>
      <c r="K1" s="2" t="s">
        <v>7</v>
      </c>
      <c r="L1" s="2" t="s">
        <v>55</v>
      </c>
      <c r="M1" s="2" t="s">
        <v>6</v>
      </c>
      <c r="N1" s="2" t="s">
        <v>56</v>
      </c>
      <c r="O1" s="2" t="s">
        <v>8</v>
      </c>
      <c r="P1" s="2" t="s">
        <v>57</v>
      </c>
      <c r="Q1" s="2" t="s">
        <v>10</v>
      </c>
      <c r="R1" s="2" t="s">
        <v>58</v>
      </c>
      <c r="S1" s="2" t="s">
        <v>9</v>
      </c>
      <c r="T1" s="2" t="s">
        <v>59</v>
      </c>
      <c r="U1" s="2" t="s">
        <v>17</v>
      </c>
      <c r="V1" s="2" t="s">
        <v>60</v>
      </c>
      <c r="W1" s="2" t="s">
        <v>61</v>
      </c>
      <c r="X1" s="2" t="s">
        <v>62</v>
      </c>
      <c r="Y1" s="2" t="s">
        <v>63</v>
      </c>
      <c r="Z1" s="2" t="s">
        <v>64</v>
      </c>
    </row>
    <row r="2" spans="1:26" x14ac:dyDescent="0.2">
      <c r="A2" t="str">
        <f>Tables!E5</f>
        <v>R</v>
      </c>
      <c r="B2" s="5" t="str" cm="1">
        <f t="array" ref="B2">_xlfn.XLOOKUP(TRUE, EXACT(Table2[[#This Row],[orig]], Table9[orig]), Table9[char])</f>
        <v>R</v>
      </c>
      <c r="C2" t="str" cm="1">
        <f t="array" ref="C2">_xlfn.XLOOKUP(TRUE, EXACT(Table2[[#This Row],[orig]], Table4[orig]), Table4[(X)])</f>
        <v>R</v>
      </c>
      <c r="D2" s="5" t="str" cm="1">
        <f t="array" ref="D2">_xlfn.XLOOKUP(TRUE, EXACT(Table2[[#This Row],[X]], Table9[orig]), Table9[char])</f>
        <v>R</v>
      </c>
      <c r="E2" t="str" cm="1">
        <f t="array" ref="E2">_xlfn.XLOOKUP(TRUE, EXACT(C2, Table4[orig]), Table4[(X)])</f>
        <v>R</v>
      </c>
      <c r="F2" s="5" t="str" cm="1">
        <f t="array" ref="F2">_xlfn.XLOOKUP(TRUE, EXACT(Table2[[#This Row],[X2]], Table9[orig]), Table9[char])</f>
        <v>R</v>
      </c>
      <c r="G2" t="str" cm="1">
        <f t="array" ref="G2">_xlfn.XLOOKUP(TRUE, EXACT(E2, Table4[orig]), Table4[(X)])</f>
        <v>R</v>
      </c>
      <c r="H2" s="5" t="str" cm="1">
        <f t="array" ref="H2">_xlfn.XLOOKUP(TRUE, EXACT(Table2[[#This Row],[X'']], Table9[orig]), Table9[char])</f>
        <v>R</v>
      </c>
      <c r="I2" t="str" cm="1">
        <f t="array" ref="I2">_xlfn.XLOOKUP(TRUE, EXACT(Table2[orig], Table1[orig]), Table1[(Y)])</f>
        <v>F</v>
      </c>
      <c r="J2" s="5" t="str" cm="1">
        <f t="array" ref="J2">_xlfn.XLOOKUP(TRUE, EXACT(Table2[[#This Row],[Y]], Table9[orig]), Table9[char])</f>
        <v>F</v>
      </c>
      <c r="K2" t="str" cm="1">
        <f t="array" ref="K2">_xlfn.XLOOKUP(TRUE, EXACT(I2, Table1[orig]), Table1[(Y)])</f>
        <v>L</v>
      </c>
      <c r="L2" s="5" t="str" cm="1">
        <f t="array" ref="L2">_xlfn.XLOOKUP(TRUE, EXACT(Table2[[#This Row],[Y2]], Table9[orig]), Table9[char])</f>
        <v>L</v>
      </c>
      <c r="M2" t="str" cm="1">
        <f t="array" ref="M2">_xlfn.XLOOKUP(TRUE, EXACT(K2, Table1[orig]), Table1[(Y)])</f>
        <v>B</v>
      </c>
      <c r="N2" s="5" t="str" cm="1">
        <f t="array" ref="N2">_xlfn.XLOOKUP(TRUE, EXACT(Table2[[#This Row],[Y'']], Table9[orig]), Table9[char])</f>
        <v>B</v>
      </c>
      <c r="O2" t="str" cm="1">
        <f t="array" ref="O2">_xlfn.XLOOKUP(TRUE, EXACT(Table2[[#This Row],[orig]], Table3[orig]), Table3[(Z)])</f>
        <v>D</v>
      </c>
      <c r="P2" s="5" t="str" cm="1">
        <f t="array" ref="P2">_xlfn.XLOOKUP(TRUE, EXACT(Table2[[#This Row],[Z]], Table9[orig]), Table9[char])</f>
        <v>D</v>
      </c>
      <c r="Q2" t="str" cm="1">
        <f t="array" ref="Q2">_xlfn.XLOOKUP(TRUE, EXACT(O2, Table3[orig]), Table3[(Z)])</f>
        <v>L</v>
      </c>
      <c r="R2" s="5" t="str" cm="1">
        <f t="array" ref="R2">_xlfn.XLOOKUP(TRUE, EXACT(Table2[[#This Row],[Z2]], Table9[orig]), Table9[char])</f>
        <v>L</v>
      </c>
      <c r="S2" t="str" cm="1">
        <f t="array" ref="S2">_xlfn.XLOOKUP(TRUE, EXACT(Q2, Table3[orig]), Table3[(Z)])</f>
        <v>U</v>
      </c>
      <c r="T2" s="5" t="str" cm="1">
        <f t="array" ref="T2">_xlfn.XLOOKUP(TRUE, EXACT(Table2[[#This Row],[Z'']], Table9[orig]), Table9[char])</f>
        <v>U</v>
      </c>
      <c r="U2" t="str" cm="1">
        <f t="array" ref="U2">_xlfn.XLOOKUP(TRUE, EXACT(Table2[[#This Row],[orig]], Table5[orig]), Table5[(T-reflection)])</f>
        <v>L'</v>
      </c>
      <c r="V2" s="5" t="str" cm="1">
        <f t="array" ref="V2">_xlfn.XLOOKUP(TRUE, EXACT(Table2[[#This Row],[T-reflection]], Table9[orig]), Table9[char])</f>
        <v>G</v>
      </c>
      <c r="W2" t="str" cm="1">
        <f t="array" ref="W2">_xlfn.XLOOKUP(TRUE, EXACT(Table2[[#This Row],[orig]], Table6[orig]), Table6[(H-reflection)])</f>
        <v>R'</v>
      </c>
      <c r="X2" s="5" t="str" cm="1">
        <f t="array" ref="X2">_xlfn.XLOOKUP(TRUE, EXACT(Table2[[#This Row],[H-reflection]], Table9[orig]), Table9[char])</f>
        <v>A</v>
      </c>
      <c r="Y2" t="str" cm="1">
        <f t="array" ref="Y2">_xlfn.XLOOKUP(TRUE, EXACT(Table2[[#This Row],[orig]], Table7[orig]), Table7[(S-reflection)])</f>
        <v>R'</v>
      </c>
      <c r="Z2" s="5" t="str" cm="1">
        <f t="array" ref="Z2">_xlfn.XLOOKUP(TRUE, EXACT(Table2[[#This Row],[S-reflection]], Table9[orig]), Table9[char])</f>
        <v>A</v>
      </c>
    </row>
    <row r="3" spans="1:26" x14ac:dyDescent="0.2">
      <c r="A3" t="str">
        <f>Tables!E6</f>
        <v>r</v>
      </c>
      <c r="B3" s="5" t="str" cm="1">
        <f t="array" ref="B3">_xlfn.XLOOKUP(TRUE, EXACT(Table2[[#This Row],[orig]], Table9[orig]), Table9[char])</f>
        <v>r</v>
      </c>
      <c r="C3" t="str" cm="1">
        <f t="array" ref="C3">_xlfn.XLOOKUP(TRUE, EXACT(Table2[[#This Row],[orig]], Table4[orig]), Table4[(X)])</f>
        <v>r</v>
      </c>
      <c r="D3" s="5" t="str" cm="1">
        <f t="array" ref="D3">_xlfn.XLOOKUP(TRUE, EXACT(Table2[[#This Row],[X]], Table9[orig]), Table9[char])</f>
        <v>r</v>
      </c>
      <c r="E3" t="str" cm="1">
        <f t="array" ref="E3">_xlfn.XLOOKUP(TRUE, EXACT(C3, Table4[orig]), Table4[(X)])</f>
        <v>r</v>
      </c>
      <c r="F3" s="5" t="str" cm="1">
        <f t="array" ref="F3">_xlfn.XLOOKUP(TRUE, EXACT(Table2[[#This Row],[X2]], Table9[orig]), Table9[char])</f>
        <v>r</v>
      </c>
      <c r="G3" t="str" cm="1">
        <f t="array" ref="G3">_xlfn.XLOOKUP(TRUE, EXACT(E3, Table4[orig]), Table4[(X)])</f>
        <v>r</v>
      </c>
      <c r="H3" s="5" t="str" cm="1">
        <f t="array" ref="H3">_xlfn.XLOOKUP(TRUE, EXACT(Table2[[#This Row],[X'']], Table9[orig]), Table9[char])</f>
        <v>r</v>
      </c>
      <c r="I3" t="str" cm="1">
        <f t="array" ref="I3">_xlfn.XLOOKUP(TRUE, EXACT(A3, Table1[orig]), Table1[(Y)])</f>
        <v>f</v>
      </c>
      <c r="J3" s="5" t="str" cm="1">
        <f t="array" ref="J3">_xlfn.XLOOKUP(TRUE, EXACT(Table2[[#This Row],[Y]], Table9[orig]), Table9[char])</f>
        <v>f</v>
      </c>
      <c r="K3" t="str" cm="1">
        <f t="array" ref="K3">_xlfn.XLOOKUP(TRUE, EXACT(I3, Table1[orig]), Table1[(Y)])</f>
        <v>l</v>
      </c>
      <c r="L3" s="5" t="str" cm="1">
        <f t="array" ref="L3">_xlfn.XLOOKUP(TRUE, EXACT(Table2[[#This Row],[Y2]], Table9[orig]), Table9[char])</f>
        <v>l</v>
      </c>
      <c r="M3" t="str" cm="1">
        <f t="array" ref="M3">_xlfn.XLOOKUP(TRUE, EXACT(K3, Table1[orig]), Table1[(Y)])</f>
        <v>b</v>
      </c>
      <c r="N3" s="5" t="str" cm="1">
        <f t="array" ref="N3">_xlfn.XLOOKUP(TRUE, EXACT(Table2[[#This Row],[Y'']], Table9[orig]), Table9[char])</f>
        <v>b</v>
      </c>
      <c r="O3" t="str" cm="1">
        <f t="array" ref="O3">_xlfn.XLOOKUP(TRUE, EXACT(Table2[[#This Row],[orig]], Table3[orig]), Table3[(Z)])</f>
        <v>d</v>
      </c>
      <c r="P3" s="5" t="str" cm="1">
        <f t="array" ref="P3">_xlfn.XLOOKUP(TRUE, EXACT(Table2[[#This Row],[Z]], Table9[orig]), Table9[char])</f>
        <v>d</v>
      </c>
      <c r="Q3" t="str" cm="1">
        <f t="array" ref="Q3">_xlfn.XLOOKUP(TRUE, EXACT(O3, Table3[orig]), Table3[(Z)])</f>
        <v>l</v>
      </c>
      <c r="R3" s="5" t="str" cm="1">
        <f t="array" ref="R3">_xlfn.XLOOKUP(TRUE, EXACT(Table2[[#This Row],[Z2]], Table9[orig]), Table9[char])</f>
        <v>l</v>
      </c>
      <c r="S3" t="str" cm="1">
        <f t="array" ref="S3">_xlfn.XLOOKUP(TRUE, EXACT(Q3, Table3[orig]), Table3[(Z)])</f>
        <v>u</v>
      </c>
      <c r="T3" s="5" t="str" cm="1">
        <f t="array" ref="T3">_xlfn.XLOOKUP(TRUE, EXACT(Table2[[#This Row],[Z'']], Table9[orig]), Table9[char])</f>
        <v>u</v>
      </c>
      <c r="U3" t="str" cm="1">
        <f t="array" ref="U3">_xlfn.XLOOKUP(TRUE, EXACT(Table2[[#This Row],[orig]], Table5[orig]), Table5[(T-reflection)])</f>
        <v>l'</v>
      </c>
      <c r="V3" s="5" t="str" cm="1">
        <f t="array" ref="V3">_xlfn.XLOOKUP(TRUE, EXACT(Table2[[#This Row],[T-reflection]], Table9[orig]), Table9[char])</f>
        <v>g</v>
      </c>
      <c r="W3" t="str" cm="1">
        <f t="array" ref="W3">_xlfn.XLOOKUP(TRUE, EXACT(Table2[[#This Row],[orig]], Table6[orig]), Table6[(H-reflection)])</f>
        <v>r'</v>
      </c>
      <c r="X3" s="5" t="str" cm="1">
        <f t="array" ref="X3">_xlfn.XLOOKUP(TRUE, EXACT(Table2[[#This Row],[H-reflection]], Table9[orig]), Table9[char])</f>
        <v>a</v>
      </c>
      <c r="Y3" t="str" cm="1">
        <f t="array" ref="Y3">_xlfn.XLOOKUP(TRUE, EXACT(Table2[[#This Row],[orig]], Table7[orig]), Table7[(S-reflection)])</f>
        <v>r'</v>
      </c>
      <c r="Z3" s="5" t="str" cm="1">
        <f t="array" ref="Z3">_xlfn.XLOOKUP(TRUE, EXACT(Table2[[#This Row],[S-reflection]], Table9[orig]), Table9[char])</f>
        <v>a</v>
      </c>
    </row>
    <row r="4" spans="1:26" x14ac:dyDescent="0.2">
      <c r="A4" t="str">
        <f>Tables!E7</f>
        <v>T</v>
      </c>
      <c r="B4" s="5" t="str" cm="1">
        <f t="array" ref="B4">_xlfn.XLOOKUP(TRUE, EXACT(Table2[[#This Row],[orig]], Table9[orig]), Table9[char])</f>
        <v>T</v>
      </c>
      <c r="C4" t="str" cm="1">
        <f t="array" ref="C4">_xlfn.XLOOKUP(TRUE, EXACT(Table2[[#This Row],[orig]], Table4[orig]), Table4[(X)])</f>
        <v>T</v>
      </c>
      <c r="D4" s="5" t="str" cm="1">
        <f t="array" ref="D4">_xlfn.XLOOKUP(TRUE, EXACT(Table2[[#This Row],[X]], Table9[orig]), Table9[char])</f>
        <v>T</v>
      </c>
      <c r="E4" t="str" cm="1">
        <f t="array" ref="E4">_xlfn.XLOOKUP(TRUE, EXACT(C4, Table4[orig]), Table4[(X)])</f>
        <v>T</v>
      </c>
      <c r="F4" s="5" t="str" cm="1">
        <f t="array" ref="F4">_xlfn.XLOOKUP(TRUE, EXACT(Table2[[#This Row],[X2]], Table9[orig]), Table9[char])</f>
        <v>T</v>
      </c>
      <c r="G4" t="str" cm="1">
        <f t="array" ref="G4">_xlfn.XLOOKUP(TRUE, EXACT(E4, Table4[orig]), Table4[(X)])</f>
        <v>T</v>
      </c>
      <c r="H4" s="5" t="str" cm="1">
        <f t="array" ref="H4">_xlfn.XLOOKUP(TRUE, EXACT(Table2[[#This Row],[X'']], Table9[orig]), Table9[char])</f>
        <v>T</v>
      </c>
      <c r="I4" t="str" cm="1">
        <f t="array" ref="I4">_xlfn.XLOOKUP(TRUE, EXACT(A4, Table1[orig]), Table1[(Y)])</f>
        <v>S</v>
      </c>
      <c r="J4" s="5" t="str" cm="1">
        <f t="array" ref="J4">_xlfn.XLOOKUP(TRUE, EXACT(Table2[[#This Row],[Y]], Table9[orig]), Table9[char])</f>
        <v>S</v>
      </c>
      <c r="K4" t="str" cm="1">
        <f t="array" ref="K4">_xlfn.XLOOKUP(TRUE, EXACT(I4, Table1[orig]), Table1[(Y)])</f>
        <v>T'</v>
      </c>
      <c r="L4" s="5" t="str" cm="1">
        <f t="array" ref="L4">_xlfn.XLOOKUP(TRUE, EXACT(Table2[[#This Row],[Y2]], Table9[orig]), Table9[char])</f>
        <v>C</v>
      </c>
      <c r="M4" t="str" cm="1">
        <f t="array" ref="M4">_xlfn.XLOOKUP(TRUE, EXACT(K4, Table1[orig]), Table1[(Y)])</f>
        <v>S'</v>
      </c>
      <c r="N4" s="5" t="str" cm="1">
        <f t="array" ref="N4">_xlfn.XLOOKUP(TRUE, EXACT(Table2[[#This Row],[Y'']], Table9[orig]), Table9[char])</f>
        <v>V</v>
      </c>
      <c r="O4" t="str" cm="1">
        <f t="array" ref="O4">_xlfn.XLOOKUP(TRUE, EXACT(Table2[[#This Row],[orig]], Table3[orig]), Table3[(Z)])</f>
        <v>H'</v>
      </c>
      <c r="P4" s="5" t="str" cm="1">
        <f t="array" ref="P4">_xlfn.XLOOKUP(TRUE, EXACT(Table2[[#This Row],[Z]], Table9[orig]), Table9[char])</f>
        <v>+</v>
      </c>
      <c r="Q4" t="str" cm="1">
        <f t="array" ref="Q4">_xlfn.XLOOKUP(TRUE, EXACT(O4, Table3[orig]), Table3[(Z)])</f>
        <v>T'</v>
      </c>
      <c r="R4" s="5" t="str" cm="1">
        <f t="array" ref="R4">_xlfn.XLOOKUP(TRUE, EXACT(Table2[[#This Row],[Z2]], Table9[orig]), Table9[char])</f>
        <v>C</v>
      </c>
      <c r="S4" t="str" cm="1">
        <f t="array" ref="S4">_xlfn.XLOOKUP(TRUE, EXACT(Q4, Table3[orig]), Table3[(Z)])</f>
        <v>H</v>
      </c>
      <c r="T4" s="5" t="str" cm="1">
        <f t="array" ref="T4">_xlfn.XLOOKUP(TRUE, EXACT(Table2[[#This Row],[Z'']], Table9[orig]), Table9[char])</f>
        <v>H</v>
      </c>
      <c r="U4" t="str" cm="1">
        <f t="array" ref="U4">_xlfn.XLOOKUP(TRUE, EXACT(Table2[[#This Row],[orig]], Table5[orig]), Table5[(T-reflection)])</f>
        <v>T</v>
      </c>
      <c r="V4" s="5" t="str" cm="1">
        <f t="array" ref="V4">_xlfn.XLOOKUP(TRUE, EXACT(Table2[[#This Row],[T-reflection]], Table9[orig]), Table9[char])</f>
        <v>T</v>
      </c>
      <c r="W4" t="str" cm="1">
        <f t="array" ref="W4">_xlfn.XLOOKUP(TRUE, EXACT(Table2[[#This Row],[orig]], Table6[orig]), Table6[(H-reflection)])</f>
        <v>T'</v>
      </c>
      <c r="X4" s="5" t="str" cm="1">
        <f t="array" ref="X4">_xlfn.XLOOKUP(TRUE, EXACT(Table2[[#This Row],[H-reflection]], Table9[orig]), Table9[char])</f>
        <v>C</v>
      </c>
      <c r="Y4" t="str" cm="1">
        <f t="array" ref="Y4">_xlfn.XLOOKUP(TRUE, EXACT(Table2[[#This Row],[orig]], Table7[orig]), Table7[(S-reflection)])</f>
        <v>T'</v>
      </c>
      <c r="Z4" s="5" t="str" cm="1">
        <f t="array" ref="Z4">_xlfn.XLOOKUP(TRUE, EXACT(Table2[[#This Row],[S-reflection]], Table9[orig]), Table9[char])</f>
        <v>C</v>
      </c>
    </row>
    <row r="5" spans="1:26" x14ac:dyDescent="0.2">
      <c r="A5" t="str">
        <f>Tables!E8</f>
        <v>l</v>
      </c>
      <c r="B5" s="5" t="str" cm="1">
        <f t="array" ref="B5">_xlfn.XLOOKUP(TRUE, EXACT(Table2[[#This Row],[orig]], Table9[orig]), Table9[char])</f>
        <v>l</v>
      </c>
      <c r="C5" t="str" cm="1">
        <f t="array" ref="C5">_xlfn.XLOOKUP(TRUE, EXACT(Table2[[#This Row],[orig]], Table4[orig]), Table4[(X)])</f>
        <v>l</v>
      </c>
      <c r="D5" s="5" t="str" cm="1">
        <f t="array" ref="D5">_xlfn.XLOOKUP(TRUE, EXACT(Table2[[#This Row],[X]], Table9[orig]), Table9[char])</f>
        <v>l</v>
      </c>
      <c r="E5" t="str" cm="1">
        <f t="array" ref="E5">_xlfn.XLOOKUP(TRUE, EXACT(C5, Table4[orig]), Table4[(X)])</f>
        <v>l</v>
      </c>
      <c r="F5" s="5" t="str" cm="1">
        <f t="array" ref="F5">_xlfn.XLOOKUP(TRUE, EXACT(Table2[[#This Row],[X2]], Table9[orig]), Table9[char])</f>
        <v>l</v>
      </c>
      <c r="G5" t="str" cm="1">
        <f t="array" ref="G5">_xlfn.XLOOKUP(TRUE, EXACT(E5, Table4[orig]), Table4[(X)])</f>
        <v>l</v>
      </c>
      <c r="H5" s="5" t="str" cm="1">
        <f t="array" ref="H5">_xlfn.XLOOKUP(TRUE, EXACT(Table2[[#This Row],[X'']], Table9[orig]), Table9[char])</f>
        <v>l</v>
      </c>
      <c r="I5" t="str" cm="1">
        <f t="array" ref="I5">_xlfn.XLOOKUP(TRUE, EXACT(A5, Table1[orig]), Table1[(Y)])</f>
        <v>b</v>
      </c>
      <c r="J5" s="5" t="str" cm="1">
        <f t="array" ref="J5">_xlfn.XLOOKUP(TRUE, EXACT(Table2[[#This Row],[Y]], Table9[orig]), Table9[char])</f>
        <v>b</v>
      </c>
      <c r="K5" t="str" cm="1">
        <f t="array" ref="K5">_xlfn.XLOOKUP(TRUE, EXACT(I5, Table1[orig]), Table1[(Y)])</f>
        <v>r</v>
      </c>
      <c r="L5" s="5" t="str" cm="1">
        <f t="array" ref="L5">_xlfn.XLOOKUP(TRUE, EXACT(Table2[[#This Row],[Y2]], Table9[orig]), Table9[char])</f>
        <v>r</v>
      </c>
      <c r="M5" t="str" cm="1">
        <f t="array" ref="M5">_xlfn.XLOOKUP(TRUE, EXACT(K5, Table1[orig]), Table1[(Y)])</f>
        <v>f</v>
      </c>
      <c r="N5" s="5" t="str" cm="1">
        <f t="array" ref="N5">_xlfn.XLOOKUP(TRUE, EXACT(Table2[[#This Row],[Y'']], Table9[orig]), Table9[char])</f>
        <v>f</v>
      </c>
      <c r="O5" t="str" cm="1">
        <f t="array" ref="O5">_xlfn.XLOOKUP(TRUE, EXACT(Table2[[#This Row],[orig]], Table3[orig]), Table3[(Z)])</f>
        <v>u</v>
      </c>
      <c r="P5" s="5" t="str" cm="1">
        <f t="array" ref="P5">_xlfn.XLOOKUP(TRUE, EXACT(Table2[[#This Row],[Z]], Table9[orig]), Table9[char])</f>
        <v>u</v>
      </c>
      <c r="Q5" t="str" cm="1">
        <f t="array" ref="Q5">_xlfn.XLOOKUP(TRUE, EXACT(O5, Table3[orig]), Table3[(Z)])</f>
        <v>r</v>
      </c>
      <c r="R5" s="5" t="str" cm="1">
        <f t="array" ref="R5">_xlfn.XLOOKUP(TRUE, EXACT(Table2[[#This Row],[Z2]], Table9[orig]), Table9[char])</f>
        <v>r</v>
      </c>
      <c r="S5" t="str" cm="1">
        <f t="array" ref="S5">_xlfn.XLOOKUP(TRUE, EXACT(Q5, Table3[orig]), Table3[(Z)])</f>
        <v>d</v>
      </c>
      <c r="T5" s="5" t="str" cm="1">
        <f t="array" ref="T5">_xlfn.XLOOKUP(TRUE, EXACT(Table2[[#This Row],[Z'']], Table9[orig]), Table9[char])</f>
        <v>d</v>
      </c>
      <c r="U5" t="str" cm="1">
        <f t="array" ref="U5">_xlfn.XLOOKUP(TRUE, EXACT(Table2[[#This Row],[orig]], Table5[orig]), Table5[(T-reflection)])</f>
        <v>r'</v>
      </c>
      <c r="V5" s="5" t="str" cm="1">
        <f t="array" ref="V5">_xlfn.XLOOKUP(TRUE, EXACT(Table2[[#This Row],[T-reflection]], Table9[orig]), Table9[char])</f>
        <v>a</v>
      </c>
      <c r="W5" t="str" cm="1">
        <f t="array" ref="W5">_xlfn.XLOOKUP(TRUE, EXACT(Table2[[#This Row],[orig]], Table6[orig]), Table6[(H-reflection)])</f>
        <v>l'</v>
      </c>
      <c r="X5" s="5" t="str" cm="1">
        <f t="array" ref="X5">_xlfn.XLOOKUP(TRUE, EXACT(Table2[[#This Row],[H-reflection]], Table9[orig]), Table9[char])</f>
        <v>g</v>
      </c>
      <c r="Y5" t="str" cm="1">
        <f t="array" ref="Y5">_xlfn.XLOOKUP(TRUE, EXACT(Table2[[#This Row],[orig]], Table7[orig]), Table7[(S-reflection)])</f>
        <v>l'</v>
      </c>
      <c r="Z5" s="5" t="str" cm="1">
        <f t="array" ref="Z5">_xlfn.XLOOKUP(TRUE, EXACT(Table2[[#This Row],[S-reflection]], Table9[orig]), Table9[char])</f>
        <v>g</v>
      </c>
    </row>
    <row r="6" spans="1:26" x14ac:dyDescent="0.2">
      <c r="A6" t="str">
        <f>Tables!E9</f>
        <v>L</v>
      </c>
      <c r="B6" s="5" t="str" cm="1">
        <f t="array" ref="B6">_xlfn.XLOOKUP(TRUE, EXACT(Table2[[#This Row],[orig]], Table9[orig]), Table9[char])</f>
        <v>L</v>
      </c>
      <c r="C6" t="str" cm="1">
        <f t="array" ref="C6">_xlfn.XLOOKUP(TRUE, EXACT(Table2[[#This Row],[orig]], Table4[orig]), Table4[(X)])</f>
        <v>L</v>
      </c>
      <c r="D6" s="5" t="str" cm="1">
        <f t="array" ref="D6">_xlfn.XLOOKUP(TRUE, EXACT(Table2[[#This Row],[X]], Table9[orig]), Table9[char])</f>
        <v>L</v>
      </c>
      <c r="E6" t="str" cm="1">
        <f t="array" ref="E6">_xlfn.XLOOKUP(TRUE, EXACT(C6, Table4[orig]), Table4[(X)])</f>
        <v>L</v>
      </c>
      <c r="F6" s="5" t="str" cm="1">
        <f t="array" ref="F6">_xlfn.XLOOKUP(TRUE, EXACT(Table2[[#This Row],[X2]], Table9[orig]), Table9[char])</f>
        <v>L</v>
      </c>
      <c r="G6" t="str" cm="1">
        <f t="array" ref="G6">_xlfn.XLOOKUP(TRUE, EXACT(E6, Table4[orig]), Table4[(X)])</f>
        <v>L</v>
      </c>
      <c r="H6" s="5" t="str" cm="1">
        <f t="array" ref="H6">_xlfn.XLOOKUP(TRUE, EXACT(Table2[[#This Row],[X'']], Table9[orig]), Table9[char])</f>
        <v>L</v>
      </c>
      <c r="I6" t="str" cm="1">
        <f t="array" ref="I6">_xlfn.XLOOKUP(TRUE, EXACT(A6, Table1[orig]), Table1[(Y)])</f>
        <v>B</v>
      </c>
      <c r="J6" s="5" t="str" cm="1">
        <f t="array" ref="J6">_xlfn.XLOOKUP(TRUE, EXACT(Table2[[#This Row],[Y]], Table9[orig]), Table9[char])</f>
        <v>B</v>
      </c>
      <c r="K6" t="str" cm="1">
        <f t="array" ref="K6">_xlfn.XLOOKUP(TRUE, EXACT(I6, Table1[orig]), Table1[(Y)])</f>
        <v>R</v>
      </c>
      <c r="L6" s="5" t="str" cm="1">
        <f t="array" ref="L6">_xlfn.XLOOKUP(TRUE, EXACT(Table2[[#This Row],[Y2]], Table9[orig]), Table9[char])</f>
        <v>R</v>
      </c>
      <c r="M6" t="str" cm="1">
        <f t="array" ref="M6">_xlfn.XLOOKUP(TRUE, EXACT(K6, Table1[orig]), Table1[(Y)])</f>
        <v>F</v>
      </c>
      <c r="N6" s="5" t="str" cm="1">
        <f t="array" ref="N6">_xlfn.XLOOKUP(TRUE, EXACT(Table2[[#This Row],[Y'']], Table9[orig]), Table9[char])</f>
        <v>F</v>
      </c>
      <c r="O6" t="str" cm="1">
        <f t="array" ref="O6">_xlfn.XLOOKUP(TRUE, EXACT(Table2[[#This Row],[orig]], Table3[orig]), Table3[(Z)])</f>
        <v>U</v>
      </c>
      <c r="P6" s="5" t="str" cm="1">
        <f t="array" ref="P6">_xlfn.XLOOKUP(TRUE, EXACT(Table2[[#This Row],[Z]], Table9[orig]), Table9[char])</f>
        <v>U</v>
      </c>
      <c r="Q6" t="str" cm="1">
        <f t="array" ref="Q6">_xlfn.XLOOKUP(TRUE, EXACT(O6, Table3[orig]), Table3[(Z)])</f>
        <v>R</v>
      </c>
      <c r="R6" s="5" t="str" cm="1">
        <f t="array" ref="R6">_xlfn.XLOOKUP(TRUE, EXACT(Table2[[#This Row],[Z2]], Table9[orig]), Table9[char])</f>
        <v>R</v>
      </c>
      <c r="S6" t="str" cm="1">
        <f t="array" ref="S6">_xlfn.XLOOKUP(TRUE, EXACT(Q6, Table3[orig]), Table3[(Z)])</f>
        <v>D</v>
      </c>
      <c r="T6" s="5" t="str" cm="1">
        <f t="array" ref="T6">_xlfn.XLOOKUP(TRUE, EXACT(Table2[[#This Row],[Z'']], Table9[orig]), Table9[char])</f>
        <v>D</v>
      </c>
      <c r="U6" t="str" cm="1">
        <f t="array" ref="U6">_xlfn.XLOOKUP(TRUE, EXACT(Table2[[#This Row],[orig]], Table5[orig]), Table5[(T-reflection)])</f>
        <v>R'</v>
      </c>
      <c r="V6" s="5" t="str" cm="1">
        <f t="array" ref="V6">_xlfn.XLOOKUP(TRUE, EXACT(Table2[[#This Row],[T-reflection]], Table9[orig]), Table9[char])</f>
        <v>A</v>
      </c>
      <c r="W6" t="str" cm="1">
        <f t="array" ref="W6">_xlfn.XLOOKUP(TRUE, EXACT(Table2[[#This Row],[orig]], Table6[orig]), Table6[(H-reflection)])</f>
        <v>L'</v>
      </c>
      <c r="X6" s="5" t="str" cm="1">
        <f t="array" ref="X6">_xlfn.XLOOKUP(TRUE, EXACT(Table2[[#This Row],[H-reflection]], Table9[orig]), Table9[char])</f>
        <v>G</v>
      </c>
      <c r="Y6" t="str" cm="1">
        <f t="array" ref="Y6">_xlfn.XLOOKUP(TRUE, EXACT(Table2[[#This Row],[orig]], Table7[orig]), Table7[(S-reflection)])</f>
        <v>L'</v>
      </c>
      <c r="Z6" s="5" t="str" cm="1">
        <f t="array" ref="Z6">_xlfn.XLOOKUP(TRUE, EXACT(Table2[[#This Row],[S-reflection]], Table9[orig]), Table9[char])</f>
        <v>G</v>
      </c>
    </row>
    <row r="7" spans="1:26" x14ac:dyDescent="0.2">
      <c r="A7" s="3" t="str">
        <f>Tables!E10</f>
        <v>X</v>
      </c>
      <c r="B7" s="8" t="str" cm="1">
        <f t="array" ref="B7">_xlfn.XLOOKUP(TRUE, EXACT(Table2[[#This Row],[orig]], Table9[orig]), Table9[char])</f>
        <v>X</v>
      </c>
      <c r="C7" s="3" t="str" cm="1">
        <f t="array" ref="C7">_xlfn.XLOOKUP(TRUE, EXACT(Table2[[#This Row],[orig]], Table4[orig]), Table4[(X)])</f>
        <v>X</v>
      </c>
      <c r="D7" s="8" t="str" cm="1">
        <f t="array" ref="D7">_xlfn.XLOOKUP(TRUE, EXACT(Table2[[#This Row],[X]], Table9[orig]), Table9[char])</f>
        <v>X</v>
      </c>
      <c r="E7" s="3" t="str" cm="1">
        <f t="array" ref="E7">_xlfn.XLOOKUP(TRUE, EXACT(C7, Table4[orig]), Table4[(X)])</f>
        <v>X</v>
      </c>
      <c r="F7" s="8" t="str" cm="1">
        <f t="array" ref="F7">_xlfn.XLOOKUP(TRUE, EXACT(Table2[[#This Row],[X2]], Table9[orig]), Table9[char])</f>
        <v>X</v>
      </c>
      <c r="G7" s="3" t="str" cm="1">
        <f t="array" ref="G7">_xlfn.XLOOKUP(TRUE, EXACT(E7, Table4[orig]), Table4[(X)])</f>
        <v>X</v>
      </c>
      <c r="H7" s="8" t="str" cm="1">
        <f t="array" ref="H7">_xlfn.XLOOKUP(TRUE, EXACT(Table2[[#This Row],[X'']], Table9[orig]), Table9[char])</f>
        <v>X</v>
      </c>
      <c r="I7" s="3" t="str" cm="1">
        <f t="array" ref="I7">_xlfn.XLOOKUP(TRUE, EXACT(A7, Table1[orig]), Table1[(Y)])</f>
        <v>Z</v>
      </c>
      <c r="J7" s="8" t="str" cm="1">
        <f t="array" ref="J7">_xlfn.XLOOKUP(TRUE, EXACT(Table2[[#This Row],[Y]], Table9[orig]), Table9[char])</f>
        <v>Z</v>
      </c>
      <c r="K7" s="3" t="str" cm="1">
        <f t="array" ref="K7">_xlfn.XLOOKUP(TRUE, EXACT(I7, Table1[orig]), Table1[(Y)])</f>
        <v>X'</v>
      </c>
      <c r="L7" s="8" t="str" cm="1">
        <f t="array" ref="L7">_xlfn.XLOOKUP(TRUE, EXACT(Table2[[#This Row],[Y2]], Table9[orig]), Table9[char])</f>
        <v>!</v>
      </c>
      <c r="M7" s="3" t="str" cm="1">
        <f t="array" ref="M7">_xlfn.XLOOKUP(TRUE, EXACT(K7, Table1[orig]), Table1[(Y)])</f>
        <v>Z'</v>
      </c>
      <c r="N7" s="8" t="str" cm="1">
        <f t="array" ref="N7">_xlfn.XLOOKUP(TRUE, EXACT(Table2[[#This Row],[Y'']], Table9[orig]), Table9[char])</f>
        <v>#</v>
      </c>
      <c r="O7" s="3" t="str" cm="1">
        <f t="array" ref="O7">_xlfn.XLOOKUP(TRUE, EXACT(Table2[[#This Row],[orig]], Table3[orig]), Table3[(Z)])</f>
        <v>Y'</v>
      </c>
      <c r="P7" s="8" t="str" cm="1">
        <f t="array" ref="P7">_xlfn.XLOOKUP(TRUE, EXACT(Table2[[#This Row],[Z]], Table9[orig]), Table9[char])</f>
        <v>p</v>
      </c>
      <c r="Q7" s="3" t="str" cm="1">
        <f t="array" ref="Q7">_xlfn.XLOOKUP(TRUE, EXACT(O7, Table3[orig]), Table3[(Z)])</f>
        <v>X'</v>
      </c>
      <c r="R7" s="8" t="str" cm="1">
        <f t="array" ref="R7">_xlfn.XLOOKUP(TRUE, EXACT(Table2[[#This Row],[Z2]], Table9[orig]), Table9[char])</f>
        <v>!</v>
      </c>
      <c r="S7" s="3" t="str" cm="1">
        <f t="array" ref="S7">_xlfn.XLOOKUP(TRUE, EXACT(Q7, Table3[orig]), Table3[(Z)])</f>
        <v>Y</v>
      </c>
      <c r="T7" s="8" t="str" cm="1">
        <f t="array" ref="T7">_xlfn.XLOOKUP(TRUE, EXACT(Table2[[#This Row],[Z'']], Table9[orig]), Table9[char])</f>
        <v>Y</v>
      </c>
      <c r="U7" s="3" t="str" cm="1">
        <f t="array" ref="U7">_xlfn.XLOOKUP(TRUE, EXACT(Table2[[#This Row],[orig]], Table5[orig]), Table5[(T-reflection)])</f>
        <v>X</v>
      </c>
      <c r="V7" s="8" t="str" cm="1">
        <f t="array" ref="V7">_xlfn.XLOOKUP(TRUE, EXACT(Table2[[#This Row],[T-reflection]], Table9[orig]), Table9[char])</f>
        <v>X</v>
      </c>
      <c r="W7" s="3" t="str" cm="1">
        <f t="array" ref="W7">_xlfn.XLOOKUP(TRUE, EXACT(Table2[[#This Row],[orig]], Table6[orig]), Table6[(H-reflection)])</f>
        <v>X'</v>
      </c>
      <c r="X7" s="8" t="str" cm="1">
        <f t="array" ref="X7">_xlfn.XLOOKUP(TRUE, EXACT(Table2[[#This Row],[H-reflection]], Table9[orig]), Table9[char])</f>
        <v>!</v>
      </c>
      <c r="Y7" s="3" t="str" cm="1">
        <f t="array" ref="Y7">_xlfn.XLOOKUP(TRUE, EXACT(Table2[[#This Row],[orig]], Table7[orig]), Table7[(S-reflection)])</f>
        <v>X'</v>
      </c>
      <c r="Z7" s="5" t="str" cm="1">
        <f t="array" ref="Z7">_xlfn.XLOOKUP(TRUE, EXACT(Table2[[#This Row],[S-reflection]], Table9[orig]), Table9[char])</f>
        <v>!</v>
      </c>
    </row>
    <row r="8" spans="1:26" x14ac:dyDescent="0.2">
      <c r="A8" t="str">
        <f>Tables!E11</f>
        <v>R'</v>
      </c>
      <c r="B8" s="5" t="str" cm="1">
        <f t="array" ref="B8">_xlfn.XLOOKUP(TRUE, EXACT(Table2[[#This Row],[orig]], Table9[orig]), Table9[char])</f>
        <v>A</v>
      </c>
      <c r="C8" t="str" cm="1">
        <f t="array" ref="C8">_xlfn.XLOOKUP(TRUE, EXACT(Table2[[#This Row],[orig]], Table4[orig]), Table4[(X)])</f>
        <v>R'</v>
      </c>
      <c r="D8" s="5" t="str" cm="1">
        <f t="array" ref="D8">_xlfn.XLOOKUP(TRUE, EXACT(Table2[[#This Row],[X]], Table9[orig]), Table9[char])</f>
        <v>A</v>
      </c>
      <c r="E8" t="str" cm="1">
        <f t="array" ref="E8">_xlfn.XLOOKUP(TRUE, EXACT(C8, Table4[orig]), Table4[(X)])</f>
        <v>R'</v>
      </c>
      <c r="F8" s="5" t="str" cm="1">
        <f t="array" ref="F8">_xlfn.XLOOKUP(TRUE, EXACT(Table2[[#This Row],[X2]], Table9[orig]), Table9[char])</f>
        <v>A</v>
      </c>
      <c r="G8" t="str" cm="1">
        <f t="array" ref="G8">_xlfn.XLOOKUP(TRUE, EXACT(E8, Table4[orig]), Table4[(X)])</f>
        <v>R'</v>
      </c>
      <c r="H8" s="5" t="str" cm="1">
        <f t="array" ref="H8">_xlfn.XLOOKUP(TRUE, EXACT(Table2[[#This Row],[X'']], Table9[orig]), Table9[char])</f>
        <v>A</v>
      </c>
      <c r="I8" t="str" cm="1">
        <f t="array" ref="I8">_xlfn.XLOOKUP(TRUE, EXACT(A8, Table1[orig]), Table1[(Y)])</f>
        <v>F'</v>
      </c>
      <c r="J8" s="5" t="str" cm="1">
        <f t="array" ref="J8">_xlfn.XLOOKUP(TRUE, EXACT(Table2[[#This Row],[Y]], Table9[orig]), Table9[char])</f>
        <v>Q</v>
      </c>
      <c r="K8" t="str" cm="1">
        <f t="array" ref="K8">_xlfn.XLOOKUP(TRUE, EXACT(I8, Table1[orig]), Table1[(Y)])</f>
        <v>L'</v>
      </c>
      <c r="L8" s="5" t="str" cm="1">
        <f t="array" ref="L8">_xlfn.XLOOKUP(TRUE, EXACT(Table2[[#This Row],[Y2]], Table9[orig]), Table9[char])</f>
        <v>G</v>
      </c>
      <c r="M8" t="str" cm="1">
        <f t="array" ref="M8">_xlfn.XLOOKUP(TRUE, EXACT(K8, Table1[orig]), Table1[(Y)])</f>
        <v>B'</v>
      </c>
      <c r="N8" s="5" t="str" cm="1">
        <f t="array" ref="N8">_xlfn.XLOOKUP(TRUE, EXACT(Table2[[#This Row],[Y'']], Table9[orig]), Table9[char])</f>
        <v>@</v>
      </c>
      <c r="O8" t="str" cm="1">
        <f t="array" ref="O8">_xlfn.XLOOKUP(TRUE, EXACT(Table2[[#This Row],[orig]], Table3[orig]), Table3[(Z)])</f>
        <v>D'</v>
      </c>
      <c r="P8" s="5" t="str" cm="1">
        <f t="array" ref="P8">_xlfn.XLOOKUP(TRUE, EXACT(Table2[[#This Row],[Z]], Table9[orig]), Table9[char])</f>
        <v>%</v>
      </c>
      <c r="Q8" t="str" cm="1">
        <f t="array" ref="Q8">_xlfn.XLOOKUP(TRUE, EXACT(O8, Table3[orig]), Table3[(Z)])</f>
        <v>L'</v>
      </c>
      <c r="R8" s="5" t="str" cm="1">
        <f t="array" ref="R8">_xlfn.XLOOKUP(TRUE, EXACT(Table2[[#This Row],[Z2]], Table9[orig]), Table9[char])</f>
        <v>G</v>
      </c>
      <c r="S8" t="str" cm="1">
        <f t="array" ref="S8">_xlfn.XLOOKUP(TRUE, EXACT(Q8, Table3[orig]), Table3[(Z)])</f>
        <v>U'</v>
      </c>
      <c r="T8" s="5" t="str" cm="1">
        <f t="array" ref="T8">_xlfn.XLOOKUP(TRUE, EXACT(Table2[[#This Row],[Z'']], Table9[orig]), Table9[char])</f>
        <v>.</v>
      </c>
      <c r="U8" t="str" cm="1">
        <f t="array" ref="U8">_xlfn.XLOOKUP(TRUE, EXACT(Table2[[#This Row],[orig]], Table5[orig]), Table5[(T-reflection)])</f>
        <v>L</v>
      </c>
      <c r="V8" s="5" t="str" cm="1">
        <f t="array" ref="V8">_xlfn.XLOOKUP(TRUE, EXACT(Table2[[#This Row],[T-reflection]], Table9[orig]), Table9[char])</f>
        <v>L</v>
      </c>
      <c r="W8" t="str" cm="1">
        <f t="array" ref="W8">_xlfn.XLOOKUP(TRUE, EXACT(Table2[[#This Row],[orig]], Table6[orig]), Table6[(H-reflection)])</f>
        <v>R</v>
      </c>
      <c r="X8" s="5" t="str" cm="1">
        <f t="array" ref="X8">_xlfn.XLOOKUP(TRUE, EXACT(Table2[[#This Row],[H-reflection]], Table9[orig]), Table9[char])</f>
        <v>R</v>
      </c>
      <c r="Y8" t="str" cm="1">
        <f t="array" ref="Y8">_xlfn.XLOOKUP(TRUE, EXACT(Table2[[#This Row],[orig]], Table7[orig]), Table7[(S-reflection)])</f>
        <v>R</v>
      </c>
      <c r="Z8" s="5" t="str" cm="1">
        <f t="array" ref="Z8">_xlfn.XLOOKUP(TRUE, EXACT(Table2[[#This Row],[S-reflection]], Table9[orig]), Table9[char])</f>
        <v>R</v>
      </c>
    </row>
    <row r="9" spans="1:26" x14ac:dyDescent="0.2">
      <c r="A9" t="str">
        <f>Tables!E12</f>
        <v>r'</v>
      </c>
      <c r="B9" s="5" t="str" cm="1">
        <f t="array" ref="B9">_xlfn.XLOOKUP(TRUE, EXACT(Table2[[#This Row],[orig]], Table9[orig]), Table9[char])</f>
        <v>a</v>
      </c>
      <c r="C9" t="str" cm="1">
        <f t="array" ref="C9">_xlfn.XLOOKUP(TRUE, EXACT(Table2[[#This Row],[orig]], Table4[orig]), Table4[(X)])</f>
        <v>r'</v>
      </c>
      <c r="D9" s="5" t="str" cm="1">
        <f t="array" ref="D9">_xlfn.XLOOKUP(TRUE, EXACT(Table2[[#This Row],[X]], Table9[orig]), Table9[char])</f>
        <v>a</v>
      </c>
      <c r="E9" t="str" cm="1">
        <f t="array" ref="E9">_xlfn.XLOOKUP(TRUE, EXACT(C9, Table4[orig]), Table4[(X)])</f>
        <v>r'</v>
      </c>
      <c r="F9" s="5" t="str" cm="1">
        <f t="array" ref="F9">_xlfn.XLOOKUP(TRUE, EXACT(Table2[[#This Row],[X2]], Table9[orig]), Table9[char])</f>
        <v>a</v>
      </c>
      <c r="G9" t="str" cm="1">
        <f t="array" ref="G9">_xlfn.XLOOKUP(TRUE, EXACT(E9, Table4[orig]), Table4[(X)])</f>
        <v>r'</v>
      </c>
      <c r="H9" s="5" t="str" cm="1">
        <f t="array" ref="H9">_xlfn.XLOOKUP(TRUE, EXACT(Table2[[#This Row],[X'']], Table9[orig]), Table9[char])</f>
        <v>a</v>
      </c>
      <c r="I9" t="str" cm="1">
        <f t="array" ref="I9">_xlfn.XLOOKUP(TRUE, EXACT(A9, Table1[orig]), Table1[(Y)])</f>
        <v>f'</v>
      </c>
      <c r="J9" s="5" t="str" cm="1">
        <f t="array" ref="J9">_xlfn.XLOOKUP(TRUE, EXACT(Table2[[#This Row],[Y]], Table9[orig]), Table9[char])</f>
        <v>q</v>
      </c>
      <c r="K9" t="str" cm="1">
        <f t="array" ref="K9">_xlfn.XLOOKUP(TRUE, EXACT(I9, Table1[orig]), Table1[(Y)])</f>
        <v>l'</v>
      </c>
      <c r="L9" s="5" t="str" cm="1">
        <f t="array" ref="L9">_xlfn.XLOOKUP(TRUE, EXACT(Table2[[#This Row],[Y2]], Table9[orig]), Table9[char])</f>
        <v>g</v>
      </c>
      <c r="M9" t="str" cm="1">
        <f t="array" ref="M9">_xlfn.XLOOKUP(TRUE, EXACT(K9, Table1[orig]), Table1[(Y)])</f>
        <v>b'</v>
      </c>
      <c r="N9" s="5" t="str" cm="1">
        <f t="array" ref="N9">_xlfn.XLOOKUP(TRUE, EXACT(Table2[[#This Row],[Y'']], Table9[orig]), Table9[char])</f>
        <v>&amp;</v>
      </c>
      <c r="O9" t="str" cm="1">
        <f t="array" ref="O9">_xlfn.XLOOKUP(TRUE, EXACT(Table2[[#This Row],[orig]], Table3[orig]), Table3[(Z)])</f>
        <v>d'</v>
      </c>
      <c r="P9" s="5" t="str" cm="1">
        <f t="array" ref="P9">_xlfn.XLOOKUP(TRUE, EXACT(Table2[[#This Row],[Z]], Table9[orig]), Table9[char])</f>
        <v>k</v>
      </c>
      <c r="Q9" t="str" cm="1">
        <f t="array" ref="Q9">_xlfn.XLOOKUP(TRUE, EXACT(O9, Table3[orig]), Table3[(Z)])</f>
        <v>l'</v>
      </c>
      <c r="R9" s="5" t="str" cm="1">
        <f t="array" ref="R9">_xlfn.XLOOKUP(TRUE, EXACT(Table2[[#This Row],[Z2]], Table9[orig]), Table9[char])</f>
        <v>g</v>
      </c>
      <c r="S9" t="str" cm="1">
        <f t="array" ref="S9">_xlfn.XLOOKUP(TRUE, EXACT(Q9, Table3[orig]), Table3[(Z)])</f>
        <v>u'</v>
      </c>
      <c r="T9" s="5" t="str" cm="1">
        <f t="array" ref="T9">_xlfn.XLOOKUP(TRUE, EXACT(Table2[[#This Row],[Z'']], Table9[orig]), Table9[char])</f>
        <v>-</v>
      </c>
      <c r="U9" t="str" cm="1">
        <f t="array" ref="U9">_xlfn.XLOOKUP(TRUE, EXACT(Table2[[#This Row],[orig]], Table5[orig]), Table5[(T-reflection)])</f>
        <v>l</v>
      </c>
      <c r="V9" s="5" t="str" cm="1">
        <f t="array" ref="V9">_xlfn.XLOOKUP(TRUE, EXACT(Table2[[#This Row],[T-reflection]], Table9[orig]), Table9[char])</f>
        <v>l</v>
      </c>
      <c r="W9" t="str" cm="1">
        <f t="array" ref="W9">_xlfn.XLOOKUP(TRUE, EXACT(Table2[[#This Row],[orig]], Table6[orig]), Table6[(H-reflection)])</f>
        <v>r</v>
      </c>
      <c r="X9" s="5" t="str" cm="1">
        <f t="array" ref="X9">_xlfn.XLOOKUP(TRUE, EXACT(Table2[[#This Row],[H-reflection]], Table9[orig]), Table9[char])</f>
        <v>r</v>
      </c>
      <c r="Y9" t="str" cm="1">
        <f t="array" ref="Y9">_xlfn.XLOOKUP(TRUE, EXACT(Table2[[#This Row],[orig]], Table7[orig]), Table7[(S-reflection)])</f>
        <v>r</v>
      </c>
      <c r="Z9" s="5" t="str" cm="1">
        <f t="array" ref="Z9">_xlfn.XLOOKUP(TRUE, EXACT(Table2[[#This Row],[S-reflection]], Table9[orig]), Table9[char])</f>
        <v>r</v>
      </c>
    </row>
    <row r="10" spans="1:26" x14ac:dyDescent="0.2">
      <c r="A10" t="str">
        <f>Tables!E13</f>
        <v>T'</v>
      </c>
      <c r="B10" s="5" t="str" cm="1">
        <f t="array" ref="B10">_xlfn.XLOOKUP(TRUE, EXACT(Table2[[#This Row],[orig]], Table9[orig]), Table9[char])</f>
        <v>C</v>
      </c>
      <c r="C10" t="str" cm="1">
        <f t="array" ref="C10">_xlfn.XLOOKUP(TRUE, EXACT(Table2[[#This Row],[orig]], Table4[orig]), Table4[(X)])</f>
        <v>T'</v>
      </c>
      <c r="D10" s="5" t="str" cm="1">
        <f t="array" ref="D10">_xlfn.XLOOKUP(TRUE, EXACT(Table2[[#This Row],[X]], Table9[orig]), Table9[char])</f>
        <v>C</v>
      </c>
      <c r="E10" t="str" cm="1">
        <f t="array" ref="E10">_xlfn.XLOOKUP(TRUE, EXACT(C10, Table4[orig]), Table4[(X)])</f>
        <v>T'</v>
      </c>
      <c r="F10" s="5" t="str" cm="1">
        <f t="array" ref="F10">_xlfn.XLOOKUP(TRUE, EXACT(Table2[[#This Row],[X2]], Table9[orig]), Table9[char])</f>
        <v>C</v>
      </c>
      <c r="G10" t="str" cm="1">
        <f t="array" ref="G10">_xlfn.XLOOKUP(TRUE, EXACT(E10, Table4[orig]), Table4[(X)])</f>
        <v>T'</v>
      </c>
      <c r="H10" s="5" t="str" cm="1">
        <f t="array" ref="H10">_xlfn.XLOOKUP(TRUE, EXACT(Table2[[#This Row],[X'']], Table9[orig]), Table9[char])</f>
        <v>C</v>
      </c>
      <c r="I10" t="str" cm="1">
        <f t="array" ref="I10">_xlfn.XLOOKUP(TRUE, EXACT(A10, Table1[orig]), Table1[(Y)])</f>
        <v>S'</v>
      </c>
      <c r="J10" s="5" t="str" cm="1">
        <f t="array" ref="J10">_xlfn.XLOOKUP(TRUE, EXACT(Table2[[#This Row],[Y]], Table9[orig]), Table9[char])</f>
        <v>V</v>
      </c>
      <c r="K10" t="str" cm="1">
        <f t="array" ref="K10">_xlfn.XLOOKUP(TRUE, EXACT(I10, Table1[orig]), Table1[(Y)])</f>
        <v>T</v>
      </c>
      <c r="L10" s="5" t="str" cm="1">
        <f t="array" ref="L10">_xlfn.XLOOKUP(TRUE, EXACT(Table2[[#This Row],[Y2]], Table9[orig]), Table9[char])</f>
        <v>T</v>
      </c>
      <c r="M10" t="str" cm="1">
        <f t="array" ref="M10">_xlfn.XLOOKUP(TRUE, EXACT(K10, Table1[orig]), Table1[(Y)])</f>
        <v>S</v>
      </c>
      <c r="N10" s="5" t="str" cm="1">
        <f t="array" ref="N10">_xlfn.XLOOKUP(TRUE, EXACT(Table2[[#This Row],[Y'']], Table9[orig]), Table9[char])</f>
        <v>S</v>
      </c>
      <c r="O10" t="str" cm="1">
        <f t="array" ref="O10">_xlfn.XLOOKUP(TRUE, EXACT(Table2[[#This Row],[orig]], Table3[orig]), Table3[(Z)])</f>
        <v>H</v>
      </c>
      <c r="P10" s="5" t="str" cm="1">
        <f t="array" ref="P10">_xlfn.XLOOKUP(TRUE, EXACT(Table2[[#This Row],[Z]], Table9[orig]), Table9[char])</f>
        <v>H</v>
      </c>
      <c r="Q10" t="str" cm="1">
        <f t="array" ref="Q10">_xlfn.XLOOKUP(TRUE, EXACT(O10, Table3[orig]), Table3[(Z)])</f>
        <v>T</v>
      </c>
      <c r="R10" s="5" t="str" cm="1">
        <f t="array" ref="R10">_xlfn.XLOOKUP(TRUE, EXACT(Table2[[#This Row],[Z2]], Table9[orig]), Table9[char])</f>
        <v>T</v>
      </c>
      <c r="S10" t="str" cm="1">
        <f t="array" ref="S10">_xlfn.XLOOKUP(TRUE, EXACT(Q10, Table3[orig]), Table3[(Z)])</f>
        <v>H'</v>
      </c>
      <c r="T10" s="5" t="str" cm="1">
        <f t="array" ref="T10">_xlfn.XLOOKUP(TRUE, EXACT(Table2[[#This Row],[Z'']], Table9[orig]), Table9[char])</f>
        <v>+</v>
      </c>
      <c r="U10" t="str" cm="1">
        <f t="array" ref="U10">_xlfn.XLOOKUP(TRUE, EXACT(Table2[[#This Row],[orig]], Table5[orig]), Table5[(T-reflection)])</f>
        <v>T'</v>
      </c>
      <c r="V10" s="5" t="str" cm="1">
        <f t="array" ref="V10">_xlfn.XLOOKUP(TRUE, EXACT(Table2[[#This Row],[T-reflection]], Table9[orig]), Table9[char])</f>
        <v>C</v>
      </c>
      <c r="W10" t="str" cm="1">
        <f t="array" ref="W10">_xlfn.XLOOKUP(TRUE, EXACT(Table2[[#This Row],[orig]], Table6[orig]), Table6[(H-reflection)])</f>
        <v>T</v>
      </c>
      <c r="X10" s="5" t="str" cm="1">
        <f t="array" ref="X10">_xlfn.XLOOKUP(TRUE, EXACT(Table2[[#This Row],[H-reflection]], Table9[orig]), Table9[char])</f>
        <v>T</v>
      </c>
      <c r="Y10" t="str" cm="1">
        <f t="array" ref="Y10">_xlfn.XLOOKUP(TRUE, EXACT(Table2[[#This Row],[orig]], Table7[orig]), Table7[(S-reflection)])</f>
        <v>T</v>
      </c>
      <c r="Z10" s="5" t="str" cm="1">
        <f t="array" ref="Z10">_xlfn.XLOOKUP(TRUE, EXACT(Table2[[#This Row],[S-reflection]], Table9[orig]), Table9[char])</f>
        <v>T</v>
      </c>
    </row>
    <row r="11" spans="1:26" x14ac:dyDescent="0.2">
      <c r="A11" t="str">
        <f>Tables!E14</f>
        <v>l'</v>
      </c>
      <c r="B11" s="5" t="str" cm="1">
        <f t="array" ref="B11">_xlfn.XLOOKUP(TRUE, EXACT(Table2[[#This Row],[orig]], Table9[orig]), Table9[char])</f>
        <v>g</v>
      </c>
      <c r="C11" t="str" cm="1">
        <f t="array" ref="C11">_xlfn.XLOOKUP(TRUE, EXACT(Table2[[#This Row],[orig]], Table4[orig]), Table4[(X)])</f>
        <v>l'</v>
      </c>
      <c r="D11" s="5" t="str" cm="1">
        <f t="array" ref="D11">_xlfn.XLOOKUP(TRUE, EXACT(Table2[[#This Row],[X]], Table9[orig]), Table9[char])</f>
        <v>g</v>
      </c>
      <c r="E11" t="str" cm="1">
        <f t="array" ref="E11">_xlfn.XLOOKUP(TRUE, EXACT(C11, Table4[orig]), Table4[(X)])</f>
        <v>l'</v>
      </c>
      <c r="F11" s="5" t="str" cm="1">
        <f t="array" ref="F11">_xlfn.XLOOKUP(TRUE, EXACT(Table2[[#This Row],[X2]], Table9[orig]), Table9[char])</f>
        <v>g</v>
      </c>
      <c r="G11" t="str" cm="1">
        <f t="array" ref="G11">_xlfn.XLOOKUP(TRUE, EXACT(E11, Table4[orig]), Table4[(X)])</f>
        <v>l'</v>
      </c>
      <c r="H11" s="5" t="str" cm="1">
        <f t="array" ref="H11">_xlfn.XLOOKUP(TRUE, EXACT(Table2[[#This Row],[X'']], Table9[orig]), Table9[char])</f>
        <v>g</v>
      </c>
      <c r="I11" t="str" cm="1">
        <f t="array" ref="I11">_xlfn.XLOOKUP(TRUE, EXACT(A11, Table1[orig]), Table1[(Y)])</f>
        <v>b'</v>
      </c>
      <c r="J11" s="5" t="str" cm="1">
        <f t="array" ref="J11">_xlfn.XLOOKUP(TRUE, EXACT(Table2[[#This Row],[Y]], Table9[orig]), Table9[char])</f>
        <v>&amp;</v>
      </c>
      <c r="K11" t="str" cm="1">
        <f t="array" ref="K11">_xlfn.XLOOKUP(TRUE, EXACT(I11, Table1[orig]), Table1[(Y)])</f>
        <v>r'</v>
      </c>
      <c r="L11" s="5" t="str" cm="1">
        <f t="array" ref="L11">_xlfn.XLOOKUP(TRUE, EXACT(Table2[[#This Row],[Y2]], Table9[orig]), Table9[char])</f>
        <v>a</v>
      </c>
      <c r="M11" t="str" cm="1">
        <f t="array" ref="M11">_xlfn.XLOOKUP(TRUE, EXACT(K11, Table1[orig]), Table1[(Y)])</f>
        <v>f'</v>
      </c>
      <c r="N11" s="5" t="str" cm="1">
        <f t="array" ref="N11">_xlfn.XLOOKUP(TRUE, EXACT(Table2[[#This Row],[Y'']], Table9[orig]), Table9[char])</f>
        <v>q</v>
      </c>
      <c r="O11" t="str" cm="1">
        <f t="array" ref="O11">_xlfn.XLOOKUP(TRUE, EXACT(Table2[[#This Row],[orig]], Table3[orig]), Table3[(Z)])</f>
        <v>u'</v>
      </c>
      <c r="P11" s="5" t="str" cm="1">
        <f t="array" ref="P11">_xlfn.XLOOKUP(TRUE, EXACT(Table2[[#This Row],[Z]], Table9[orig]), Table9[char])</f>
        <v>-</v>
      </c>
      <c r="Q11" t="str" cm="1">
        <f t="array" ref="Q11">_xlfn.XLOOKUP(TRUE, EXACT(O11, Table3[orig]), Table3[(Z)])</f>
        <v>r'</v>
      </c>
      <c r="R11" s="5" t="str" cm="1">
        <f t="array" ref="R11">_xlfn.XLOOKUP(TRUE, EXACT(Table2[[#This Row],[Z2]], Table9[orig]), Table9[char])</f>
        <v>a</v>
      </c>
      <c r="S11" t="str" cm="1">
        <f t="array" ref="S11">_xlfn.XLOOKUP(TRUE, EXACT(Q11, Table3[orig]), Table3[(Z)])</f>
        <v>d'</v>
      </c>
      <c r="T11" s="5" t="str" cm="1">
        <f t="array" ref="T11">_xlfn.XLOOKUP(TRUE, EXACT(Table2[[#This Row],[Z'']], Table9[orig]), Table9[char])</f>
        <v>k</v>
      </c>
      <c r="U11" t="str" cm="1">
        <f t="array" ref="U11">_xlfn.XLOOKUP(TRUE, EXACT(Table2[[#This Row],[orig]], Table5[orig]), Table5[(T-reflection)])</f>
        <v>r</v>
      </c>
      <c r="V11" s="5" t="str" cm="1">
        <f t="array" ref="V11">_xlfn.XLOOKUP(TRUE, EXACT(Table2[[#This Row],[T-reflection]], Table9[orig]), Table9[char])</f>
        <v>r</v>
      </c>
      <c r="W11" t="str" cm="1">
        <f t="array" ref="W11">_xlfn.XLOOKUP(TRUE, EXACT(Table2[[#This Row],[orig]], Table6[orig]), Table6[(H-reflection)])</f>
        <v>l</v>
      </c>
      <c r="X11" s="5" t="str" cm="1">
        <f t="array" ref="X11">_xlfn.XLOOKUP(TRUE, EXACT(Table2[[#This Row],[H-reflection]], Table9[orig]), Table9[char])</f>
        <v>l</v>
      </c>
      <c r="Y11" t="str" cm="1">
        <f t="array" ref="Y11">_xlfn.XLOOKUP(TRUE, EXACT(Table2[[#This Row],[orig]], Table7[orig]), Table7[(S-reflection)])</f>
        <v>l</v>
      </c>
      <c r="Z11" s="5" t="str" cm="1">
        <f t="array" ref="Z11">_xlfn.XLOOKUP(TRUE, EXACT(Table2[[#This Row],[S-reflection]], Table9[orig]), Table9[char])</f>
        <v>l</v>
      </c>
    </row>
    <row r="12" spans="1:26" x14ac:dyDescent="0.2">
      <c r="A12" t="str">
        <f>Tables!E15</f>
        <v>L'</v>
      </c>
      <c r="B12" s="5" t="str" cm="1">
        <f t="array" ref="B12">_xlfn.XLOOKUP(TRUE, EXACT(Table2[[#This Row],[orig]], Table9[orig]), Table9[char])</f>
        <v>G</v>
      </c>
      <c r="C12" t="str" cm="1">
        <f t="array" ref="C12">_xlfn.XLOOKUP(TRUE, EXACT(Table2[[#This Row],[orig]], Table4[orig]), Table4[(X)])</f>
        <v>L'</v>
      </c>
      <c r="D12" s="5" t="str" cm="1">
        <f t="array" ref="D12">_xlfn.XLOOKUP(TRUE, EXACT(Table2[[#This Row],[X]], Table9[orig]), Table9[char])</f>
        <v>G</v>
      </c>
      <c r="E12" t="str" cm="1">
        <f t="array" ref="E12">_xlfn.XLOOKUP(TRUE, EXACT(C12, Table4[orig]), Table4[(X)])</f>
        <v>L'</v>
      </c>
      <c r="F12" s="5" t="str" cm="1">
        <f t="array" ref="F12">_xlfn.XLOOKUP(TRUE, EXACT(Table2[[#This Row],[X2]], Table9[orig]), Table9[char])</f>
        <v>G</v>
      </c>
      <c r="G12" t="str" cm="1">
        <f t="array" ref="G12">_xlfn.XLOOKUP(TRUE, EXACT(E12, Table4[orig]), Table4[(X)])</f>
        <v>L'</v>
      </c>
      <c r="H12" s="5" t="str" cm="1">
        <f t="array" ref="H12">_xlfn.XLOOKUP(TRUE, EXACT(Table2[[#This Row],[X'']], Table9[orig]), Table9[char])</f>
        <v>G</v>
      </c>
      <c r="I12" t="str" cm="1">
        <f t="array" ref="I12">_xlfn.XLOOKUP(TRUE, EXACT(A12, Table1[orig]), Table1[(Y)])</f>
        <v>B'</v>
      </c>
      <c r="J12" s="5" t="str" cm="1">
        <f t="array" ref="J12">_xlfn.XLOOKUP(TRUE, EXACT(Table2[[#This Row],[Y]], Table9[orig]), Table9[char])</f>
        <v>@</v>
      </c>
      <c r="K12" t="str" cm="1">
        <f t="array" ref="K12">_xlfn.XLOOKUP(TRUE, EXACT(I12, Table1[orig]), Table1[(Y)])</f>
        <v>R'</v>
      </c>
      <c r="L12" s="5" t="str" cm="1">
        <f t="array" ref="L12">_xlfn.XLOOKUP(TRUE, EXACT(Table2[[#This Row],[Y2]], Table9[orig]), Table9[char])</f>
        <v>A</v>
      </c>
      <c r="M12" t="str" cm="1">
        <f t="array" ref="M12">_xlfn.XLOOKUP(TRUE, EXACT(K12, Table1[orig]), Table1[(Y)])</f>
        <v>F'</v>
      </c>
      <c r="N12" s="5" t="str" cm="1">
        <f t="array" ref="N12">_xlfn.XLOOKUP(TRUE, EXACT(Table2[[#This Row],[Y'']], Table9[orig]), Table9[char])</f>
        <v>Q</v>
      </c>
      <c r="O12" t="str" cm="1">
        <f t="array" ref="O12">_xlfn.XLOOKUP(TRUE, EXACT(Table2[[#This Row],[orig]], Table3[orig]), Table3[(Z)])</f>
        <v>U'</v>
      </c>
      <c r="P12" s="5" t="str" cm="1">
        <f t="array" ref="P12">_xlfn.XLOOKUP(TRUE, EXACT(Table2[[#This Row],[Z]], Table9[orig]), Table9[char])</f>
        <v>.</v>
      </c>
      <c r="Q12" t="str" cm="1">
        <f t="array" ref="Q12">_xlfn.XLOOKUP(TRUE, EXACT(O12, Table3[orig]), Table3[(Z)])</f>
        <v>R'</v>
      </c>
      <c r="R12" s="5" t="str" cm="1">
        <f t="array" ref="R12">_xlfn.XLOOKUP(TRUE, EXACT(Table2[[#This Row],[Z2]], Table9[orig]), Table9[char])</f>
        <v>A</v>
      </c>
      <c r="S12" t="str" cm="1">
        <f t="array" ref="S12">_xlfn.XLOOKUP(TRUE, EXACT(Q12, Table3[orig]), Table3[(Z)])</f>
        <v>D'</v>
      </c>
      <c r="T12" s="5" t="str" cm="1">
        <f t="array" ref="T12">_xlfn.XLOOKUP(TRUE, EXACT(Table2[[#This Row],[Z'']], Table9[orig]), Table9[char])</f>
        <v>%</v>
      </c>
      <c r="U12" t="str" cm="1">
        <f t="array" ref="U12">_xlfn.XLOOKUP(TRUE, EXACT(Table2[[#This Row],[orig]], Table5[orig]), Table5[(T-reflection)])</f>
        <v>R</v>
      </c>
      <c r="V12" s="5" t="str" cm="1">
        <f t="array" ref="V12">_xlfn.XLOOKUP(TRUE, EXACT(Table2[[#This Row],[T-reflection]], Table9[orig]), Table9[char])</f>
        <v>R</v>
      </c>
      <c r="W12" t="str" cm="1">
        <f t="array" ref="W12">_xlfn.XLOOKUP(TRUE, EXACT(Table2[[#This Row],[orig]], Table6[orig]), Table6[(H-reflection)])</f>
        <v>L</v>
      </c>
      <c r="X12" s="5" t="str" cm="1">
        <f t="array" ref="X12">_xlfn.XLOOKUP(TRUE, EXACT(Table2[[#This Row],[H-reflection]], Table9[orig]), Table9[char])</f>
        <v>L</v>
      </c>
      <c r="Y12" t="str" cm="1">
        <f t="array" ref="Y12">_xlfn.XLOOKUP(TRUE, EXACT(Table2[[#This Row],[orig]], Table7[orig]), Table7[(S-reflection)])</f>
        <v>L</v>
      </c>
      <c r="Z12" s="5" t="str" cm="1">
        <f t="array" ref="Z12">_xlfn.XLOOKUP(TRUE, EXACT(Table2[[#This Row],[S-reflection]], Table9[orig]), Table9[char])</f>
        <v>L</v>
      </c>
    </row>
    <row r="13" spans="1:26" x14ac:dyDescent="0.2">
      <c r="A13" s="3" t="str">
        <f>Tables!E16</f>
        <v>X'</v>
      </c>
      <c r="B13" s="8" t="str" cm="1">
        <f t="array" ref="B13">_xlfn.XLOOKUP(TRUE, EXACT(Table2[[#This Row],[orig]], Table9[orig]), Table9[char])</f>
        <v>!</v>
      </c>
      <c r="C13" s="3" t="str" cm="1">
        <f t="array" ref="C13">_xlfn.XLOOKUP(TRUE, EXACT(Table2[[#This Row],[orig]], Table4[orig]), Table4[(X)])</f>
        <v>X'</v>
      </c>
      <c r="D13" s="8" t="str" cm="1">
        <f t="array" ref="D13">_xlfn.XLOOKUP(TRUE, EXACT(Table2[[#This Row],[X]], Table9[orig]), Table9[char])</f>
        <v>!</v>
      </c>
      <c r="E13" s="3" t="str" cm="1">
        <f t="array" ref="E13">_xlfn.XLOOKUP(TRUE, EXACT(C13, Table4[orig]), Table4[(X)])</f>
        <v>X'</v>
      </c>
      <c r="F13" s="8" t="str" cm="1">
        <f t="array" ref="F13">_xlfn.XLOOKUP(TRUE, EXACT(Table2[[#This Row],[X2]], Table9[orig]), Table9[char])</f>
        <v>!</v>
      </c>
      <c r="G13" s="3" t="str" cm="1">
        <f t="array" ref="G13">_xlfn.XLOOKUP(TRUE, EXACT(E13, Table4[orig]), Table4[(X)])</f>
        <v>X'</v>
      </c>
      <c r="H13" s="8" t="str" cm="1">
        <f t="array" ref="H13">_xlfn.XLOOKUP(TRUE, EXACT(Table2[[#This Row],[X'']], Table9[orig]), Table9[char])</f>
        <v>!</v>
      </c>
      <c r="I13" s="3" t="str" cm="1">
        <f t="array" ref="I13">_xlfn.XLOOKUP(TRUE, EXACT(A13, Table1[orig]), Table1[(Y)])</f>
        <v>Z'</v>
      </c>
      <c r="J13" s="8" t="str" cm="1">
        <f t="array" ref="J13">_xlfn.XLOOKUP(TRUE, EXACT(Table2[[#This Row],[Y]], Table9[orig]), Table9[char])</f>
        <v>#</v>
      </c>
      <c r="K13" s="3" t="str" cm="1">
        <f t="array" ref="K13">_xlfn.XLOOKUP(TRUE, EXACT(I13, Table1[orig]), Table1[(Y)])</f>
        <v>X</v>
      </c>
      <c r="L13" s="8" t="str" cm="1">
        <f t="array" ref="L13">_xlfn.XLOOKUP(TRUE, EXACT(Table2[[#This Row],[Y2]], Table9[orig]), Table9[char])</f>
        <v>X</v>
      </c>
      <c r="M13" s="3" t="str" cm="1">
        <f t="array" ref="M13">_xlfn.XLOOKUP(TRUE, EXACT(K13, Table1[orig]), Table1[(Y)])</f>
        <v>Z</v>
      </c>
      <c r="N13" s="8" t="str" cm="1">
        <f t="array" ref="N13">_xlfn.XLOOKUP(TRUE, EXACT(Table2[[#This Row],[Y'']], Table9[orig]), Table9[char])</f>
        <v>Z</v>
      </c>
      <c r="O13" s="3" t="str" cm="1">
        <f t="array" ref="O13">_xlfn.XLOOKUP(TRUE, EXACT(Table2[[#This Row],[orig]], Table3[orig]), Table3[(Z)])</f>
        <v>Y</v>
      </c>
      <c r="P13" s="8" t="str" cm="1">
        <f t="array" ref="P13">_xlfn.XLOOKUP(TRUE, EXACT(Table2[[#This Row],[Z]], Table9[orig]), Table9[char])</f>
        <v>Y</v>
      </c>
      <c r="Q13" s="3" t="str" cm="1">
        <f t="array" ref="Q13">_xlfn.XLOOKUP(TRUE, EXACT(O13, Table3[orig]), Table3[(Z)])</f>
        <v>X</v>
      </c>
      <c r="R13" s="8" t="str" cm="1">
        <f t="array" ref="R13">_xlfn.XLOOKUP(TRUE, EXACT(Table2[[#This Row],[Z2]], Table9[orig]), Table9[char])</f>
        <v>X</v>
      </c>
      <c r="S13" s="3" t="str" cm="1">
        <f t="array" ref="S13">_xlfn.XLOOKUP(TRUE, EXACT(Q13, Table3[orig]), Table3[(Z)])</f>
        <v>Y'</v>
      </c>
      <c r="T13" s="8" t="str" cm="1">
        <f t="array" ref="T13">_xlfn.XLOOKUP(TRUE, EXACT(Table2[[#This Row],[Z'']], Table9[orig]), Table9[char])</f>
        <v>p</v>
      </c>
      <c r="U13" s="3" t="str" cm="1">
        <f t="array" ref="U13">_xlfn.XLOOKUP(TRUE, EXACT(Table2[[#This Row],[orig]], Table5[orig]), Table5[(T-reflection)])</f>
        <v>X'</v>
      </c>
      <c r="V13" s="8" t="str" cm="1">
        <f t="array" ref="V13">_xlfn.XLOOKUP(TRUE, EXACT(Table2[[#This Row],[T-reflection]], Table9[orig]), Table9[char])</f>
        <v>!</v>
      </c>
      <c r="W13" s="3" t="str" cm="1">
        <f t="array" ref="W13">_xlfn.XLOOKUP(TRUE, EXACT(Table2[[#This Row],[orig]], Table6[orig]), Table6[(H-reflection)])</f>
        <v>X</v>
      </c>
      <c r="X13" s="8" t="str" cm="1">
        <f t="array" ref="X13">_xlfn.XLOOKUP(TRUE, EXACT(Table2[[#This Row],[H-reflection]], Table9[orig]), Table9[char])</f>
        <v>X</v>
      </c>
      <c r="Y13" s="3" t="str" cm="1">
        <f t="array" ref="Y13">_xlfn.XLOOKUP(TRUE, EXACT(Table2[[#This Row],[orig]], Table7[orig]), Table7[(S-reflection)])</f>
        <v>X</v>
      </c>
      <c r="Z13" s="5" t="str" cm="1">
        <f t="array" ref="Z13">_xlfn.XLOOKUP(TRUE, EXACT(Table2[[#This Row],[S-reflection]], Table9[orig]), Table9[char])</f>
        <v>X</v>
      </c>
    </row>
    <row r="14" spans="1:26" x14ac:dyDescent="0.2">
      <c r="A14" t="str">
        <f>Tables!E17</f>
        <v>R2</v>
      </c>
      <c r="B14" s="5" t="str" cm="1">
        <f t="array" ref="B14">_xlfn.XLOOKUP(TRUE, EXACT(Table2[[#This Row],[orig]], Table9[orig]), Table9[char])</f>
        <v>J</v>
      </c>
      <c r="C14" t="str" cm="1">
        <f t="array" ref="C14">_xlfn.XLOOKUP(TRUE, EXACT(Table2[[#This Row],[orig]], Table4[orig]), Table4[(X)])</f>
        <v>R2</v>
      </c>
      <c r="D14" s="5" t="str" cm="1">
        <f t="array" ref="D14">_xlfn.XLOOKUP(TRUE, EXACT(Table2[[#This Row],[X]], Table9[orig]), Table9[char])</f>
        <v>J</v>
      </c>
      <c r="E14" t="str" cm="1">
        <f t="array" ref="E14">_xlfn.XLOOKUP(TRUE, EXACT(C14, Table4[orig]), Table4[(X)])</f>
        <v>R2</v>
      </c>
      <c r="F14" s="5" t="str" cm="1">
        <f t="array" ref="F14">_xlfn.XLOOKUP(TRUE, EXACT(Table2[[#This Row],[X2]], Table9[orig]), Table9[char])</f>
        <v>J</v>
      </c>
      <c r="G14" t="str" cm="1">
        <f t="array" ref="G14">_xlfn.XLOOKUP(TRUE, EXACT(E14, Table4[orig]), Table4[(X)])</f>
        <v>R2</v>
      </c>
      <c r="H14" s="5" t="str" cm="1">
        <f t="array" ref="H14">_xlfn.XLOOKUP(TRUE, EXACT(Table2[[#This Row],[X'']], Table9[orig]), Table9[char])</f>
        <v>J</v>
      </c>
      <c r="I14" t="str" cm="1">
        <f t="array" ref="I14">_xlfn.XLOOKUP(TRUE, EXACT(A14, Table1[orig]), Table1[(Y)])</f>
        <v>F2</v>
      </c>
      <c r="J14" s="5" t="str" cm="1">
        <f t="array" ref="J14">_xlfn.XLOOKUP(TRUE, EXACT(Table2[[#This Row],[Y]], Table9[orig]), Table9[char])</f>
        <v>$</v>
      </c>
      <c r="K14" t="str" cm="1">
        <f t="array" ref="K14">_xlfn.XLOOKUP(TRUE, EXACT(I14, Table1[orig]), Table1[(Y)])</f>
        <v>L2</v>
      </c>
      <c r="L14" s="5" t="str" cm="1">
        <f t="array" ref="L14">_xlfn.XLOOKUP(TRUE, EXACT(Table2[[#This Row],[Y2]], Table9[orig]), Table9[char])</f>
        <v>N</v>
      </c>
      <c r="M14" t="str" cm="1">
        <f t="array" ref="M14">_xlfn.XLOOKUP(TRUE, EXACT(K14, Table1[orig]), Table1[(Y)])</f>
        <v>B2</v>
      </c>
      <c r="N14" s="5" t="str" cm="1">
        <f t="array" ref="N14">_xlfn.XLOOKUP(TRUE, EXACT(Table2[[#This Row],[Y'']], Table9[orig]), Table9[char])</f>
        <v>`</v>
      </c>
      <c r="O14" t="str" cm="1">
        <f t="array" ref="O14">_xlfn.XLOOKUP(TRUE, EXACT(Table2[[#This Row],[orig]], Table3[orig]), Table3[(Z)])</f>
        <v>D2</v>
      </c>
      <c r="P14" s="5" t="str" cm="1">
        <f t="array" ref="P14">_xlfn.XLOOKUP(TRUE, EXACT(Table2[[#This Row],[Z]], Table9[orig]), Table9[char])</f>
        <v>c</v>
      </c>
      <c r="Q14" t="str" cm="1">
        <f t="array" ref="Q14">_xlfn.XLOOKUP(TRUE, EXACT(O14, Table3[orig]), Table3[(Z)])</f>
        <v>L2</v>
      </c>
      <c r="R14" s="5" t="str" cm="1">
        <f t="array" ref="R14">_xlfn.XLOOKUP(TRUE, EXACT(Table2[[#This Row],[Z2]], Table9[orig]), Table9[char])</f>
        <v>N</v>
      </c>
      <c r="S14" t="str" cm="1">
        <f t="array" ref="S14">_xlfn.XLOOKUP(TRUE, EXACT(Q14, Table3[orig]), Table3[(Z)])</f>
        <v>U2</v>
      </c>
      <c r="T14" s="5" t="str" cm="1">
        <f t="array" ref="T14">_xlfn.XLOOKUP(TRUE, EXACT(Table2[[#This Row],[Z'']], Table9[orig]), Table9[char])</f>
        <v>\</v>
      </c>
      <c r="U14" t="str" cm="1">
        <f t="array" ref="U14">_xlfn.XLOOKUP(TRUE, EXACT(Table2[[#This Row],[orig]], Table5[orig]), Table5[(T-reflection)])</f>
        <v>L2</v>
      </c>
      <c r="V14" s="5" t="str" cm="1">
        <f t="array" ref="V14">_xlfn.XLOOKUP(TRUE, EXACT(Table2[[#This Row],[T-reflection]], Table9[orig]), Table9[char])</f>
        <v>N</v>
      </c>
      <c r="W14" t="str" cm="1">
        <f t="array" ref="W14">_xlfn.XLOOKUP(TRUE, EXACT(Table2[[#This Row],[orig]], Table6[orig]), Table6[(H-reflection)])</f>
        <v>R2</v>
      </c>
      <c r="X14" s="5" t="str" cm="1">
        <f t="array" ref="X14">_xlfn.XLOOKUP(TRUE, EXACT(Table2[[#This Row],[H-reflection]], Table9[orig]), Table9[char])</f>
        <v>J</v>
      </c>
      <c r="Y14" t="str" cm="1">
        <f t="array" ref="Y14">_xlfn.XLOOKUP(TRUE, EXACT(Table2[[#This Row],[orig]], Table7[orig]), Table7[(S-reflection)])</f>
        <v>R2</v>
      </c>
      <c r="Z14" s="5" t="str" cm="1">
        <f t="array" ref="Z14">_xlfn.XLOOKUP(TRUE, EXACT(Table2[[#This Row],[S-reflection]], Table9[orig]), Table9[char])</f>
        <v>J</v>
      </c>
    </row>
    <row r="15" spans="1:26" x14ac:dyDescent="0.2">
      <c r="A15" t="str">
        <f>Tables!E18</f>
        <v>r2</v>
      </c>
      <c r="B15" s="5" t="str" cm="1">
        <f t="array" ref="B15">_xlfn.XLOOKUP(TRUE, EXACT(Table2[[#This Row],[orig]], Table9[orig]), Table9[char])</f>
        <v>j</v>
      </c>
      <c r="C15" t="str" cm="1">
        <f t="array" ref="C15">_xlfn.XLOOKUP(TRUE, EXACT(Table2[[#This Row],[orig]], Table4[orig]), Table4[(X)])</f>
        <v>r2</v>
      </c>
      <c r="D15" s="5" t="str" cm="1">
        <f t="array" ref="D15">_xlfn.XLOOKUP(TRUE, EXACT(Table2[[#This Row],[X]], Table9[orig]), Table9[char])</f>
        <v>j</v>
      </c>
      <c r="E15" t="str" cm="1">
        <f t="array" ref="E15">_xlfn.XLOOKUP(TRUE, EXACT(C15, Table4[orig]), Table4[(X)])</f>
        <v>r2</v>
      </c>
      <c r="F15" s="5" t="str" cm="1">
        <f t="array" ref="F15">_xlfn.XLOOKUP(TRUE, EXACT(Table2[[#This Row],[X2]], Table9[orig]), Table9[char])</f>
        <v>j</v>
      </c>
      <c r="G15" t="str" cm="1">
        <f t="array" ref="G15">_xlfn.XLOOKUP(TRUE, EXACT(E15, Table4[orig]), Table4[(X)])</f>
        <v>r2</v>
      </c>
      <c r="H15" s="5" t="str" cm="1">
        <f t="array" ref="H15">_xlfn.XLOOKUP(TRUE, EXACT(Table2[[#This Row],[X'']], Table9[orig]), Table9[char])</f>
        <v>j</v>
      </c>
      <c r="I15" t="str" cm="1">
        <f t="array" ref="I15">_xlfn.XLOOKUP(TRUE, EXACT(A15, Table1[orig]), Table1[(Y)])</f>
        <v>f2</v>
      </c>
      <c r="J15" s="5" t="str" cm="1">
        <f t="array" ref="J15">_xlfn.XLOOKUP(TRUE, EXACT(Table2[[#This Row],[Y]], Table9[orig]), Table9[char])</f>
        <v>?</v>
      </c>
      <c r="K15" t="str" cm="1">
        <f t="array" ref="K15">_xlfn.XLOOKUP(TRUE, EXACT(I15, Table1[orig]), Table1[(Y)])</f>
        <v>l2</v>
      </c>
      <c r="L15" s="5" t="str" cm="1">
        <f t="array" ref="L15">_xlfn.XLOOKUP(TRUE, EXACT(Table2[[#This Row],[Y2]], Table9[orig]), Table9[char])</f>
        <v>n</v>
      </c>
      <c r="M15" t="str" cm="1">
        <f t="array" ref="M15">_xlfn.XLOOKUP(TRUE, EXACT(K15, Table1[orig]), Table1[(Y)])</f>
        <v>b2</v>
      </c>
      <c r="N15" s="5" t="str" cm="1">
        <f t="array" ref="N15">_xlfn.XLOOKUP(TRUE, EXACT(Table2[[#This Row],[Y'']], Table9[orig]), Table9[char])</f>
        <v>~</v>
      </c>
      <c r="O15" t="str" cm="1">
        <f t="array" ref="O15">_xlfn.XLOOKUP(TRUE, EXACT(Table2[[#This Row],[orig]], Table3[orig]), Table3[(Z)])</f>
        <v>d2</v>
      </c>
      <c r="P15" s="5" t="str" cm="1">
        <f t="array" ref="P15">_xlfn.XLOOKUP(TRUE, EXACT(Table2[[#This Row],[Z]], Table9[orig]), Table9[char])</f>
        <v>_</v>
      </c>
      <c r="Q15" t="str" cm="1">
        <f t="array" ref="Q15">_xlfn.XLOOKUP(TRUE, EXACT(O15, Table3[orig]), Table3[(Z)])</f>
        <v>l2</v>
      </c>
      <c r="R15" s="5" t="str" cm="1">
        <f t="array" ref="R15">_xlfn.XLOOKUP(TRUE, EXACT(Table2[[#This Row],[Z2]], Table9[orig]), Table9[char])</f>
        <v>n</v>
      </c>
      <c r="S15" t="str" cm="1">
        <f t="array" ref="S15">_xlfn.XLOOKUP(TRUE, EXACT(Q15, Table3[orig]), Table3[(Z)])</f>
        <v>u2</v>
      </c>
      <c r="T15" s="5" t="str" cm="1">
        <f t="array" ref="T15">_xlfn.XLOOKUP(TRUE, EXACT(Table2[[#This Row],[Z'']], Table9[orig]), Table9[char])</f>
        <v>v</v>
      </c>
      <c r="U15" t="str" cm="1">
        <f t="array" ref="U15">_xlfn.XLOOKUP(TRUE, EXACT(Table2[[#This Row],[orig]], Table5[orig]), Table5[(T-reflection)])</f>
        <v>l2</v>
      </c>
      <c r="V15" s="5" t="str" cm="1">
        <f t="array" ref="V15">_xlfn.XLOOKUP(TRUE, EXACT(Table2[[#This Row],[T-reflection]], Table9[orig]), Table9[char])</f>
        <v>n</v>
      </c>
      <c r="W15" t="str" cm="1">
        <f t="array" ref="W15">_xlfn.XLOOKUP(TRUE, EXACT(Table2[[#This Row],[orig]], Table6[orig]), Table6[(H-reflection)])</f>
        <v>r2</v>
      </c>
      <c r="X15" s="5" t="str" cm="1">
        <f t="array" ref="X15">_xlfn.XLOOKUP(TRUE, EXACT(Table2[[#This Row],[H-reflection]], Table9[orig]), Table9[char])</f>
        <v>j</v>
      </c>
      <c r="Y15" t="str" cm="1">
        <f t="array" ref="Y15">_xlfn.XLOOKUP(TRUE, EXACT(Table2[[#This Row],[orig]], Table7[orig]), Table7[(S-reflection)])</f>
        <v>r2</v>
      </c>
      <c r="Z15" s="5" t="str" cm="1">
        <f t="array" ref="Z15">_xlfn.XLOOKUP(TRUE, EXACT(Table2[[#This Row],[S-reflection]], Table9[orig]), Table9[char])</f>
        <v>j</v>
      </c>
    </row>
    <row r="16" spans="1:26" x14ac:dyDescent="0.2">
      <c r="A16" t="str">
        <f>Tables!E19</f>
        <v>T2</v>
      </c>
      <c r="B16" s="5" t="str" cm="1">
        <f t="array" ref="B16">_xlfn.XLOOKUP(TRUE, EXACT(Table2[[#This Row],[orig]], Table9[orig]), Table9[char])</f>
        <v>K</v>
      </c>
      <c r="C16" t="str" cm="1">
        <f t="array" ref="C16">_xlfn.XLOOKUP(TRUE, EXACT(Table2[[#This Row],[orig]], Table4[orig]), Table4[(X)])</f>
        <v>T2</v>
      </c>
      <c r="D16" s="5" t="str" cm="1">
        <f t="array" ref="D16">_xlfn.XLOOKUP(TRUE, EXACT(Table2[[#This Row],[X]], Table9[orig]), Table9[char])</f>
        <v>K</v>
      </c>
      <c r="E16" t="str" cm="1">
        <f t="array" ref="E16">_xlfn.XLOOKUP(TRUE, EXACT(C16, Table4[orig]), Table4[(X)])</f>
        <v>T2</v>
      </c>
      <c r="F16" s="5" t="str" cm="1">
        <f t="array" ref="F16">_xlfn.XLOOKUP(TRUE, EXACT(Table2[[#This Row],[X2]], Table9[orig]), Table9[char])</f>
        <v>K</v>
      </c>
      <c r="G16" t="str" cm="1">
        <f t="array" ref="G16">_xlfn.XLOOKUP(TRUE, EXACT(E16, Table4[orig]), Table4[(X)])</f>
        <v>T2</v>
      </c>
      <c r="H16" s="5" t="str" cm="1">
        <f t="array" ref="H16">_xlfn.XLOOKUP(TRUE, EXACT(Table2[[#This Row],[X'']], Table9[orig]), Table9[char])</f>
        <v>K</v>
      </c>
      <c r="I16" t="str" cm="1">
        <f t="array" ref="I16">_xlfn.XLOOKUP(TRUE, EXACT(A16, Table1[orig]), Table1[(Y)])</f>
        <v>S2</v>
      </c>
      <c r="J16" s="5" t="str" cm="1">
        <f t="array" ref="J16">_xlfn.XLOOKUP(TRUE, EXACT(Table2[[#This Row],[Y]], Table9[orig]), Table9[char])</f>
        <v>^</v>
      </c>
      <c r="K16" t="str" cm="1">
        <f t="array" ref="K16">_xlfn.XLOOKUP(TRUE, EXACT(I16, Table1[orig]), Table1[(Y)])</f>
        <v>T2</v>
      </c>
      <c r="L16" s="5" t="str" cm="1">
        <f t="array" ref="L16">_xlfn.XLOOKUP(TRUE, EXACT(Table2[[#This Row],[Y2]], Table9[orig]), Table9[char])</f>
        <v>K</v>
      </c>
      <c r="M16" t="str" cm="1">
        <f t="array" ref="M16">_xlfn.XLOOKUP(TRUE, EXACT(K16, Table1[orig]), Table1[(Y)])</f>
        <v>S2</v>
      </c>
      <c r="N16" s="5" t="str" cm="1">
        <f t="array" ref="N16">_xlfn.XLOOKUP(TRUE, EXACT(Table2[[#This Row],[Y'']], Table9[orig]), Table9[char])</f>
        <v>^</v>
      </c>
      <c r="O16" t="str" cm="1">
        <f t="array" ref="O16">_xlfn.XLOOKUP(TRUE, EXACT(Table2[[#This Row],[orig]], Table3[orig]), Table3[(Z)])</f>
        <v>H2</v>
      </c>
      <c r="P16" s="5" t="str" cm="1">
        <f t="array" ref="P16">_xlfn.XLOOKUP(TRUE, EXACT(Table2[[#This Row],[Z]], Table9[orig]), Table9[char])</f>
        <v>/</v>
      </c>
      <c r="Q16" t="str" cm="1">
        <f t="array" ref="Q16">_xlfn.XLOOKUP(TRUE, EXACT(O16, Table3[orig]), Table3[(Z)])</f>
        <v>T2</v>
      </c>
      <c r="R16" s="5" t="str" cm="1">
        <f t="array" ref="R16">_xlfn.XLOOKUP(TRUE, EXACT(Table2[[#This Row],[Z2]], Table9[orig]), Table9[char])</f>
        <v>K</v>
      </c>
      <c r="S16" t="str" cm="1">
        <f t="array" ref="S16">_xlfn.XLOOKUP(TRUE, EXACT(Q16, Table3[orig]), Table3[(Z)])</f>
        <v>H2</v>
      </c>
      <c r="T16" s="5" t="str" cm="1">
        <f t="array" ref="T16">_xlfn.XLOOKUP(TRUE, EXACT(Table2[[#This Row],[Z'']], Table9[orig]), Table9[char])</f>
        <v>/</v>
      </c>
      <c r="U16" t="str" cm="1">
        <f t="array" ref="U16">_xlfn.XLOOKUP(TRUE, EXACT(Table2[[#This Row],[orig]], Table5[orig]), Table5[(T-reflection)])</f>
        <v>T2</v>
      </c>
      <c r="V16" s="5" t="str" cm="1">
        <f t="array" ref="V16">_xlfn.XLOOKUP(TRUE, EXACT(Table2[[#This Row],[T-reflection]], Table9[orig]), Table9[char])</f>
        <v>K</v>
      </c>
      <c r="W16" t="str" cm="1">
        <f t="array" ref="W16">_xlfn.XLOOKUP(TRUE, EXACT(Table2[[#This Row],[orig]], Table6[orig]), Table6[(H-reflection)])</f>
        <v>T2</v>
      </c>
      <c r="X16" s="5" t="str" cm="1">
        <f t="array" ref="X16">_xlfn.XLOOKUP(TRUE, EXACT(Table2[[#This Row],[H-reflection]], Table9[orig]), Table9[char])</f>
        <v>K</v>
      </c>
      <c r="Y16" t="str" cm="1">
        <f t="array" ref="Y16">_xlfn.XLOOKUP(TRUE, EXACT(Table2[[#This Row],[orig]], Table7[orig]), Table7[(S-reflection)])</f>
        <v>T2</v>
      </c>
      <c r="Z16" s="5" t="str" cm="1">
        <f t="array" ref="Z16">_xlfn.XLOOKUP(TRUE, EXACT(Table2[[#This Row],[S-reflection]], Table9[orig]), Table9[char])</f>
        <v>K</v>
      </c>
    </row>
    <row r="17" spans="1:26" x14ac:dyDescent="0.2">
      <c r="A17" t="str">
        <f>Tables!E20</f>
        <v>l2</v>
      </c>
      <c r="B17" s="5" t="str" cm="1">
        <f t="array" ref="B17">_xlfn.XLOOKUP(TRUE, EXACT(Table2[[#This Row],[orig]], Table9[orig]), Table9[char])</f>
        <v>n</v>
      </c>
      <c r="C17" t="str" cm="1">
        <f t="array" ref="C17">_xlfn.XLOOKUP(TRUE, EXACT(Table2[[#This Row],[orig]], Table4[orig]), Table4[(X)])</f>
        <v>l2</v>
      </c>
      <c r="D17" s="5" t="str" cm="1">
        <f t="array" ref="D17">_xlfn.XLOOKUP(TRUE, EXACT(Table2[[#This Row],[X]], Table9[orig]), Table9[char])</f>
        <v>n</v>
      </c>
      <c r="E17" t="str" cm="1">
        <f t="array" ref="E17">_xlfn.XLOOKUP(TRUE, EXACT(C17, Table4[orig]), Table4[(X)])</f>
        <v>l2</v>
      </c>
      <c r="F17" s="5" t="str" cm="1">
        <f t="array" ref="F17">_xlfn.XLOOKUP(TRUE, EXACT(Table2[[#This Row],[X2]], Table9[orig]), Table9[char])</f>
        <v>n</v>
      </c>
      <c r="G17" t="str" cm="1">
        <f t="array" ref="G17">_xlfn.XLOOKUP(TRUE, EXACT(E17, Table4[orig]), Table4[(X)])</f>
        <v>l2</v>
      </c>
      <c r="H17" s="5" t="str" cm="1">
        <f t="array" ref="H17">_xlfn.XLOOKUP(TRUE, EXACT(Table2[[#This Row],[X'']], Table9[orig]), Table9[char])</f>
        <v>n</v>
      </c>
      <c r="I17" t="str" cm="1">
        <f t="array" ref="I17">_xlfn.XLOOKUP(TRUE, EXACT(A17, Table1[orig]), Table1[(Y)])</f>
        <v>b2</v>
      </c>
      <c r="J17" s="5" t="str" cm="1">
        <f t="array" ref="J17">_xlfn.XLOOKUP(TRUE, EXACT(Table2[[#This Row],[Y]], Table9[orig]), Table9[char])</f>
        <v>~</v>
      </c>
      <c r="K17" t="str" cm="1">
        <f t="array" ref="K17">_xlfn.XLOOKUP(TRUE, EXACT(I17, Table1[orig]), Table1[(Y)])</f>
        <v>r2</v>
      </c>
      <c r="L17" s="5" t="str" cm="1">
        <f t="array" ref="L17">_xlfn.XLOOKUP(TRUE, EXACT(Table2[[#This Row],[Y2]], Table9[orig]), Table9[char])</f>
        <v>j</v>
      </c>
      <c r="M17" t="str" cm="1">
        <f t="array" ref="M17">_xlfn.XLOOKUP(TRUE, EXACT(K17, Table1[orig]), Table1[(Y)])</f>
        <v>f2</v>
      </c>
      <c r="N17" s="5" t="str" cm="1">
        <f t="array" ref="N17">_xlfn.XLOOKUP(TRUE, EXACT(Table2[[#This Row],[Y'']], Table9[orig]), Table9[char])</f>
        <v>?</v>
      </c>
      <c r="O17" t="str" cm="1">
        <f t="array" ref="O17">_xlfn.XLOOKUP(TRUE, EXACT(Table2[[#This Row],[orig]], Table3[orig]), Table3[(Z)])</f>
        <v>u2</v>
      </c>
      <c r="P17" s="5" t="str" cm="1">
        <f t="array" ref="P17">_xlfn.XLOOKUP(TRUE, EXACT(Table2[[#This Row],[Z]], Table9[orig]), Table9[char])</f>
        <v>v</v>
      </c>
      <c r="Q17" t="str" cm="1">
        <f t="array" ref="Q17">_xlfn.XLOOKUP(TRUE, EXACT(O17, Table3[orig]), Table3[(Z)])</f>
        <v>r2</v>
      </c>
      <c r="R17" s="5" t="str" cm="1">
        <f t="array" ref="R17">_xlfn.XLOOKUP(TRUE, EXACT(Table2[[#This Row],[Z2]], Table9[orig]), Table9[char])</f>
        <v>j</v>
      </c>
      <c r="S17" t="str" cm="1">
        <f t="array" ref="S17">_xlfn.XLOOKUP(TRUE, EXACT(Q17, Table3[orig]), Table3[(Z)])</f>
        <v>d2</v>
      </c>
      <c r="T17" s="5" t="str" cm="1">
        <f t="array" ref="T17">_xlfn.XLOOKUP(TRUE, EXACT(Table2[[#This Row],[Z'']], Table9[orig]), Table9[char])</f>
        <v>_</v>
      </c>
      <c r="U17" t="str" cm="1">
        <f t="array" ref="U17">_xlfn.XLOOKUP(TRUE, EXACT(Table2[[#This Row],[orig]], Table5[orig]), Table5[(T-reflection)])</f>
        <v>r2</v>
      </c>
      <c r="V17" s="5" t="str" cm="1">
        <f t="array" ref="V17">_xlfn.XLOOKUP(TRUE, EXACT(Table2[[#This Row],[T-reflection]], Table9[orig]), Table9[char])</f>
        <v>j</v>
      </c>
      <c r="W17" t="str" cm="1">
        <f t="array" ref="W17">_xlfn.XLOOKUP(TRUE, EXACT(Table2[[#This Row],[orig]], Table6[orig]), Table6[(H-reflection)])</f>
        <v>l2</v>
      </c>
      <c r="X17" s="5" t="str" cm="1">
        <f t="array" ref="X17">_xlfn.XLOOKUP(TRUE, EXACT(Table2[[#This Row],[H-reflection]], Table9[orig]), Table9[char])</f>
        <v>n</v>
      </c>
      <c r="Y17" t="str" cm="1">
        <f t="array" ref="Y17">_xlfn.XLOOKUP(TRUE, EXACT(Table2[[#This Row],[orig]], Table7[orig]), Table7[(S-reflection)])</f>
        <v>l2</v>
      </c>
      <c r="Z17" s="5" t="str" cm="1">
        <f t="array" ref="Z17">_xlfn.XLOOKUP(TRUE, EXACT(Table2[[#This Row],[S-reflection]], Table9[orig]), Table9[char])</f>
        <v>n</v>
      </c>
    </row>
    <row r="18" spans="1:26" x14ac:dyDescent="0.2">
      <c r="A18" t="str">
        <f>Tables!E21</f>
        <v>L2</v>
      </c>
      <c r="B18" s="5" t="str" cm="1">
        <f t="array" ref="B18">_xlfn.XLOOKUP(TRUE, EXACT(Table2[[#This Row],[orig]], Table9[orig]), Table9[char])</f>
        <v>N</v>
      </c>
      <c r="C18" t="str" cm="1">
        <f t="array" ref="C18">_xlfn.XLOOKUP(TRUE, EXACT(Table2[[#This Row],[orig]], Table4[orig]), Table4[(X)])</f>
        <v>L2</v>
      </c>
      <c r="D18" s="5" t="str" cm="1">
        <f t="array" ref="D18">_xlfn.XLOOKUP(TRUE, EXACT(Table2[[#This Row],[X]], Table9[orig]), Table9[char])</f>
        <v>N</v>
      </c>
      <c r="E18" t="str" cm="1">
        <f t="array" ref="E18">_xlfn.XLOOKUP(TRUE, EXACT(C18, Table4[orig]), Table4[(X)])</f>
        <v>L2</v>
      </c>
      <c r="F18" s="5" t="str" cm="1">
        <f t="array" ref="F18">_xlfn.XLOOKUP(TRUE, EXACT(Table2[[#This Row],[X2]], Table9[orig]), Table9[char])</f>
        <v>N</v>
      </c>
      <c r="G18" t="str" cm="1">
        <f t="array" ref="G18">_xlfn.XLOOKUP(TRUE, EXACT(E18, Table4[orig]), Table4[(X)])</f>
        <v>L2</v>
      </c>
      <c r="H18" s="5" t="str" cm="1">
        <f t="array" ref="H18">_xlfn.XLOOKUP(TRUE, EXACT(Table2[[#This Row],[X'']], Table9[orig]), Table9[char])</f>
        <v>N</v>
      </c>
      <c r="I18" t="str" cm="1">
        <f t="array" ref="I18">_xlfn.XLOOKUP(TRUE, EXACT(A18, Table1[orig]), Table1[(Y)])</f>
        <v>B2</v>
      </c>
      <c r="J18" s="5" t="str" cm="1">
        <f t="array" ref="J18">_xlfn.XLOOKUP(TRUE, EXACT(Table2[[#This Row],[Y]], Table9[orig]), Table9[char])</f>
        <v>`</v>
      </c>
      <c r="K18" t="str" cm="1">
        <f t="array" ref="K18">_xlfn.XLOOKUP(TRUE, EXACT(I18, Table1[orig]), Table1[(Y)])</f>
        <v>R2</v>
      </c>
      <c r="L18" s="5" t="str" cm="1">
        <f t="array" ref="L18">_xlfn.XLOOKUP(TRUE, EXACT(Table2[[#This Row],[Y2]], Table9[orig]), Table9[char])</f>
        <v>J</v>
      </c>
      <c r="M18" t="str" cm="1">
        <f t="array" ref="M18">_xlfn.XLOOKUP(TRUE, EXACT(K18, Table1[orig]), Table1[(Y)])</f>
        <v>F2</v>
      </c>
      <c r="N18" s="5" t="str" cm="1">
        <f t="array" ref="N18">_xlfn.XLOOKUP(TRUE, EXACT(Table2[[#This Row],[Y'']], Table9[orig]), Table9[char])</f>
        <v>$</v>
      </c>
      <c r="O18" t="str" cm="1">
        <f t="array" ref="O18">_xlfn.XLOOKUP(TRUE, EXACT(Table2[[#This Row],[orig]], Table3[orig]), Table3[(Z)])</f>
        <v>U2</v>
      </c>
      <c r="P18" s="5" t="str" cm="1">
        <f t="array" ref="P18">_xlfn.XLOOKUP(TRUE, EXACT(Table2[[#This Row],[Z]], Table9[orig]), Table9[char])</f>
        <v>\</v>
      </c>
      <c r="Q18" t="str" cm="1">
        <f t="array" ref="Q18">_xlfn.XLOOKUP(TRUE, EXACT(O18, Table3[orig]), Table3[(Z)])</f>
        <v>R2</v>
      </c>
      <c r="R18" s="5" t="str" cm="1">
        <f t="array" ref="R18">_xlfn.XLOOKUP(TRUE, EXACT(Table2[[#This Row],[Z2]], Table9[orig]), Table9[char])</f>
        <v>J</v>
      </c>
      <c r="S18" t="str" cm="1">
        <f t="array" ref="S18">_xlfn.XLOOKUP(TRUE, EXACT(Q18, Table3[orig]), Table3[(Z)])</f>
        <v>D2</v>
      </c>
      <c r="T18" s="5" t="str" cm="1">
        <f t="array" ref="T18">_xlfn.XLOOKUP(TRUE, EXACT(Table2[[#This Row],[Z'']], Table9[orig]), Table9[char])</f>
        <v>c</v>
      </c>
      <c r="U18" t="str" cm="1">
        <f t="array" ref="U18">_xlfn.XLOOKUP(TRUE, EXACT(Table2[[#This Row],[orig]], Table5[orig]), Table5[(T-reflection)])</f>
        <v>R2</v>
      </c>
      <c r="V18" s="5" t="str" cm="1">
        <f t="array" ref="V18">_xlfn.XLOOKUP(TRUE, EXACT(Table2[[#This Row],[T-reflection]], Table9[orig]), Table9[char])</f>
        <v>J</v>
      </c>
      <c r="W18" t="str" cm="1">
        <f t="array" ref="W18">_xlfn.XLOOKUP(TRUE, EXACT(Table2[[#This Row],[orig]], Table6[orig]), Table6[(H-reflection)])</f>
        <v>L2</v>
      </c>
      <c r="X18" s="5" t="str" cm="1">
        <f t="array" ref="X18">_xlfn.XLOOKUP(TRUE, EXACT(Table2[[#This Row],[H-reflection]], Table9[orig]), Table9[char])</f>
        <v>N</v>
      </c>
      <c r="Y18" t="str" cm="1">
        <f t="array" ref="Y18">_xlfn.XLOOKUP(TRUE, EXACT(Table2[[#This Row],[orig]], Table7[orig]), Table7[(S-reflection)])</f>
        <v>L2</v>
      </c>
      <c r="Z18" s="5" t="str" cm="1">
        <f t="array" ref="Z18">_xlfn.XLOOKUP(TRUE, EXACT(Table2[[#This Row],[S-reflection]], Table9[orig]), Table9[char])</f>
        <v>N</v>
      </c>
    </row>
    <row r="19" spans="1:26" x14ac:dyDescent="0.2">
      <c r="A19" s="3" t="str">
        <f>Tables!E22</f>
        <v>X2</v>
      </c>
      <c r="B19" s="8" t="str" cm="1">
        <f t="array" ref="B19">_xlfn.XLOOKUP(TRUE, EXACT(Table2[[#This Row],[orig]], Table9[orig]), Table9[char])</f>
        <v>P</v>
      </c>
      <c r="C19" s="3" t="str" cm="1">
        <f t="array" ref="C19">_xlfn.XLOOKUP(TRUE, EXACT(Table2[[#This Row],[orig]], Table4[orig]), Table4[(X)])</f>
        <v>X2</v>
      </c>
      <c r="D19" s="8" t="str" cm="1">
        <f t="array" ref="D19">_xlfn.XLOOKUP(TRUE, EXACT(Table2[[#This Row],[X]], Table9[orig]), Table9[char])</f>
        <v>P</v>
      </c>
      <c r="E19" s="3" t="str" cm="1">
        <f t="array" ref="E19">_xlfn.XLOOKUP(TRUE, EXACT(C19, Table4[orig]), Table4[(X)])</f>
        <v>X2</v>
      </c>
      <c r="F19" s="8" t="str" cm="1">
        <f t="array" ref="F19">_xlfn.XLOOKUP(TRUE, EXACT(Table2[[#This Row],[X2]], Table9[orig]), Table9[char])</f>
        <v>P</v>
      </c>
      <c r="G19" s="3" t="str" cm="1">
        <f t="array" ref="G19">_xlfn.XLOOKUP(TRUE, EXACT(E19, Table4[orig]), Table4[(X)])</f>
        <v>X2</v>
      </c>
      <c r="H19" s="8" t="str" cm="1">
        <f t="array" ref="H19">_xlfn.XLOOKUP(TRUE, EXACT(Table2[[#This Row],[X'']], Table9[orig]), Table9[char])</f>
        <v>P</v>
      </c>
      <c r="I19" s="3" t="str" cm="1">
        <f t="array" ref="I19">_xlfn.XLOOKUP(TRUE, EXACT(A19, Table1[orig]), Table1[(Y)])</f>
        <v>Z2</v>
      </c>
      <c r="J19" s="8" t="str" cm="1">
        <f t="array" ref="J19">_xlfn.XLOOKUP(TRUE, EXACT(Table2[[#This Row],[Y]], Table9[orig]), Table9[char])</f>
        <v>=</v>
      </c>
      <c r="K19" s="3" t="str" cm="1">
        <f t="array" ref="K19">_xlfn.XLOOKUP(TRUE, EXACT(I19, Table1[orig]), Table1[(Y)])</f>
        <v>X2</v>
      </c>
      <c r="L19" s="8" t="str" cm="1">
        <f t="array" ref="L19">_xlfn.XLOOKUP(TRUE, EXACT(Table2[[#This Row],[Y2]], Table9[orig]), Table9[char])</f>
        <v>P</v>
      </c>
      <c r="M19" s="3" t="str" cm="1">
        <f t="array" ref="M19">_xlfn.XLOOKUP(TRUE, EXACT(K19, Table1[orig]), Table1[(Y)])</f>
        <v>Z2</v>
      </c>
      <c r="N19" s="8" t="str" cm="1">
        <f t="array" ref="N19">_xlfn.XLOOKUP(TRUE, EXACT(Table2[[#This Row],[Y'']], Table9[orig]), Table9[char])</f>
        <v>=</v>
      </c>
      <c r="O19" s="3" t="str" cm="1">
        <f t="array" ref="O19">_xlfn.XLOOKUP(TRUE, EXACT(Table2[[#This Row],[orig]], Table3[orig]), Table3[(Z)])</f>
        <v>Y2</v>
      </c>
      <c r="P19" s="8" t="str" cm="1">
        <f t="array" ref="P19">_xlfn.XLOOKUP(TRUE, EXACT(Table2[[#This Row],[Z]], Table9[orig]), Table9[char])</f>
        <v>I</v>
      </c>
      <c r="Q19" s="3" t="str" cm="1">
        <f t="array" ref="Q19">_xlfn.XLOOKUP(TRUE, EXACT(O19, Table3[orig]), Table3[(Z)])</f>
        <v>X2</v>
      </c>
      <c r="R19" s="8" t="str" cm="1">
        <f t="array" ref="R19">_xlfn.XLOOKUP(TRUE, EXACT(Table2[[#This Row],[Z2]], Table9[orig]), Table9[char])</f>
        <v>P</v>
      </c>
      <c r="S19" s="3" t="str" cm="1">
        <f t="array" ref="S19">_xlfn.XLOOKUP(TRUE, EXACT(Q19, Table3[orig]), Table3[(Z)])</f>
        <v>Y2</v>
      </c>
      <c r="T19" s="8" t="str" cm="1">
        <f t="array" ref="T19">_xlfn.XLOOKUP(TRUE, EXACT(Table2[[#This Row],[Z'']], Table9[orig]), Table9[char])</f>
        <v>I</v>
      </c>
      <c r="U19" s="3" t="str" cm="1">
        <f t="array" ref="U19">_xlfn.XLOOKUP(TRUE, EXACT(Table2[[#This Row],[orig]], Table5[orig]), Table5[(T-reflection)])</f>
        <v>X2</v>
      </c>
      <c r="V19" s="8" t="str" cm="1">
        <f t="array" ref="V19">_xlfn.XLOOKUP(TRUE, EXACT(Table2[[#This Row],[T-reflection]], Table9[orig]), Table9[char])</f>
        <v>P</v>
      </c>
      <c r="W19" s="3" t="str" cm="1">
        <f t="array" ref="W19">_xlfn.XLOOKUP(TRUE, EXACT(Table2[[#This Row],[orig]], Table6[orig]), Table6[(H-reflection)])</f>
        <v>X2</v>
      </c>
      <c r="X19" s="8" t="str" cm="1">
        <f t="array" ref="X19">_xlfn.XLOOKUP(TRUE, EXACT(Table2[[#This Row],[H-reflection]], Table9[orig]), Table9[char])</f>
        <v>P</v>
      </c>
      <c r="Y19" s="3" t="str" cm="1">
        <f t="array" ref="Y19">_xlfn.XLOOKUP(TRUE, EXACT(Table2[[#This Row],[orig]], Table7[orig]), Table7[(S-reflection)])</f>
        <v>X2</v>
      </c>
      <c r="Z19" s="5" t="str" cm="1">
        <f t="array" ref="Z19">_xlfn.XLOOKUP(TRUE, EXACT(Table2[[#This Row],[S-reflection]], Table9[orig]), Table9[char])</f>
        <v>P</v>
      </c>
    </row>
    <row r="20" spans="1:26" x14ac:dyDescent="0.2">
      <c r="A20" t="str">
        <f>Tables!E23</f>
        <v>F</v>
      </c>
      <c r="B20" s="5" t="str" cm="1">
        <f t="array" ref="B20">_xlfn.XLOOKUP(TRUE, EXACT(Table2[[#This Row],[orig]], Table9[orig]), Table9[char])</f>
        <v>F</v>
      </c>
      <c r="C20" t="str" cm="1">
        <f t="array" ref="C20">_xlfn.XLOOKUP(TRUE, EXACT(Table2[[#This Row],[orig]], Table4[orig]), Table4[(X)])</f>
        <v>U</v>
      </c>
      <c r="D20" s="5" t="str" cm="1">
        <f t="array" ref="D20">_xlfn.XLOOKUP(TRUE, EXACT(Table2[[#This Row],[X]], Table9[orig]), Table9[char])</f>
        <v>U</v>
      </c>
      <c r="E20" t="str" cm="1">
        <f t="array" ref="E20">_xlfn.XLOOKUP(TRUE, EXACT(C20, Table4[orig]), Table4[(X)])</f>
        <v>B</v>
      </c>
      <c r="F20" s="5" t="str" cm="1">
        <f t="array" ref="F20">_xlfn.XLOOKUP(TRUE, EXACT(Table2[[#This Row],[X2]], Table9[orig]), Table9[char])</f>
        <v>B</v>
      </c>
      <c r="G20" t="str" cm="1">
        <f t="array" ref="G20">_xlfn.XLOOKUP(TRUE, EXACT(E20, Table4[orig]), Table4[(X)])</f>
        <v>D</v>
      </c>
      <c r="H20" s="5" t="str" cm="1">
        <f t="array" ref="H20">_xlfn.XLOOKUP(TRUE, EXACT(Table2[[#This Row],[X'']], Table9[orig]), Table9[char])</f>
        <v>D</v>
      </c>
      <c r="I20" t="str" cm="1">
        <f t="array" ref="I20">_xlfn.XLOOKUP(TRUE, EXACT(A20, Table1[orig]), Table1[(Y)])</f>
        <v>L</v>
      </c>
      <c r="J20" s="5" t="str" cm="1">
        <f t="array" ref="J20">_xlfn.XLOOKUP(TRUE, EXACT(Table2[[#This Row],[Y]], Table9[orig]), Table9[char])</f>
        <v>L</v>
      </c>
      <c r="K20" t="str" cm="1">
        <f t="array" ref="K20">_xlfn.XLOOKUP(TRUE, EXACT(I20, Table1[orig]), Table1[(Y)])</f>
        <v>B</v>
      </c>
      <c r="L20" s="5" t="str" cm="1">
        <f t="array" ref="L20">_xlfn.XLOOKUP(TRUE, EXACT(Table2[[#This Row],[Y2]], Table9[orig]), Table9[char])</f>
        <v>B</v>
      </c>
      <c r="M20" t="str" cm="1">
        <f t="array" ref="M20">_xlfn.XLOOKUP(TRUE, EXACT(K20, Table1[orig]), Table1[(Y)])</f>
        <v>R</v>
      </c>
      <c r="N20" s="5" t="str" cm="1">
        <f t="array" ref="N20">_xlfn.XLOOKUP(TRUE, EXACT(Table2[[#This Row],[Y'']], Table9[orig]), Table9[char])</f>
        <v>R</v>
      </c>
      <c r="O20" t="str" cm="1">
        <f t="array" ref="O20">_xlfn.XLOOKUP(TRUE, EXACT(Table2[[#This Row],[orig]], Table3[orig]), Table3[(Z)])</f>
        <v>F</v>
      </c>
      <c r="P20" s="5" t="str" cm="1">
        <f t="array" ref="P20">_xlfn.XLOOKUP(TRUE, EXACT(Table2[[#This Row],[Z]], Table9[orig]), Table9[char])</f>
        <v>F</v>
      </c>
      <c r="Q20" t="str" cm="1">
        <f t="array" ref="Q20">_xlfn.XLOOKUP(TRUE, EXACT(O20, Table3[orig]), Table3[(Z)])</f>
        <v>F</v>
      </c>
      <c r="R20" s="5" t="str" cm="1">
        <f t="array" ref="R20">_xlfn.XLOOKUP(TRUE, EXACT(Table2[[#This Row],[Z2]], Table9[orig]), Table9[char])</f>
        <v>F</v>
      </c>
      <c r="S20" t="str" cm="1">
        <f t="array" ref="S20">_xlfn.XLOOKUP(TRUE, EXACT(Q20, Table3[orig]), Table3[(Z)])</f>
        <v>F</v>
      </c>
      <c r="T20" s="5" t="str" cm="1">
        <f t="array" ref="T20">_xlfn.XLOOKUP(TRUE, EXACT(Table2[[#This Row],[Z'']], Table9[orig]), Table9[char])</f>
        <v>F</v>
      </c>
      <c r="U20" t="str" cm="1">
        <f t="array" ref="U20">_xlfn.XLOOKUP(TRUE, EXACT(Table2[[#This Row],[orig]], Table5[orig]), Table5[(T-reflection)])</f>
        <v>F'</v>
      </c>
      <c r="V20" s="5" t="str" cm="1">
        <f t="array" ref="V20">_xlfn.XLOOKUP(TRUE, EXACT(Table2[[#This Row],[T-reflection]], Table9[orig]), Table9[char])</f>
        <v>Q</v>
      </c>
      <c r="W20" t="str" cm="1">
        <f t="array" ref="W20">_xlfn.XLOOKUP(TRUE, EXACT(Table2[[#This Row],[orig]], Table6[orig]), Table6[(H-reflection)])</f>
        <v>F'</v>
      </c>
      <c r="X20" s="5" t="str" cm="1">
        <f t="array" ref="X20">_xlfn.XLOOKUP(TRUE, EXACT(Table2[[#This Row],[H-reflection]], Table9[orig]), Table9[char])</f>
        <v>Q</v>
      </c>
      <c r="Y20" t="str" cm="1">
        <f t="array" ref="Y20">_xlfn.XLOOKUP(TRUE, EXACT(Table2[[#This Row],[orig]], Table7[orig]), Table7[(S-reflection)])</f>
        <v>B'</v>
      </c>
      <c r="Z20" s="5" t="str" cm="1">
        <f t="array" ref="Z20">_xlfn.XLOOKUP(TRUE, EXACT(Table2[[#This Row],[S-reflection]], Table9[orig]), Table9[char])</f>
        <v>@</v>
      </c>
    </row>
    <row r="21" spans="1:26" x14ac:dyDescent="0.2">
      <c r="A21" t="str">
        <f>Tables!E24</f>
        <v>f</v>
      </c>
      <c r="B21" s="5" t="str" cm="1">
        <f t="array" ref="B21">_xlfn.XLOOKUP(TRUE, EXACT(Table2[[#This Row],[orig]], Table9[orig]), Table9[char])</f>
        <v>f</v>
      </c>
      <c r="C21" t="str" cm="1">
        <f t="array" ref="C21">_xlfn.XLOOKUP(TRUE, EXACT(Table2[[#This Row],[orig]], Table4[orig]), Table4[(X)])</f>
        <v>u</v>
      </c>
      <c r="D21" s="5" t="str" cm="1">
        <f t="array" ref="D21">_xlfn.XLOOKUP(TRUE, EXACT(Table2[[#This Row],[X]], Table9[orig]), Table9[char])</f>
        <v>u</v>
      </c>
      <c r="E21" t="str" cm="1">
        <f t="array" ref="E21">_xlfn.XLOOKUP(TRUE, EXACT(C21, Table4[orig]), Table4[(X)])</f>
        <v>b</v>
      </c>
      <c r="F21" s="5" t="str" cm="1">
        <f t="array" ref="F21">_xlfn.XLOOKUP(TRUE, EXACT(Table2[[#This Row],[X2]], Table9[orig]), Table9[char])</f>
        <v>b</v>
      </c>
      <c r="G21" t="str" cm="1">
        <f t="array" ref="G21">_xlfn.XLOOKUP(TRUE, EXACT(E21, Table4[orig]), Table4[(X)])</f>
        <v>d</v>
      </c>
      <c r="H21" s="5" t="str" cm="1">
        <f t="array" ref="H21">_xlfn.XLOOKUP(TRUE, EXACT(Table2[[#This Row],[X'']], Table9[orig]), Table9[char])</f>
        <v>d</v>
      </c>
      <c r="I21" t="str" cm="1">
        <f t="array" ref="I21">_xlfn.XLOOKUP(TRUE, EXACT(A21, Table1[orig]), Table1[(Y)])</f>
        <v>l</v>
      </c>
      <c r="J21" s="5" t="str" cm="1">
        <f t="array" ref="J21">_xlfn.XLOOKUP(TRUE, EXACT(Table2[[#This Row],[Y]], Table9[orig]), Table9[char])</f>
        <v>l</v>
      </c>
      <c r="K21" t="str" cm="1">
        <f t="array" ref="K21">_xlfn.XLOOKUP(TRUE, EXACT(I21, Table1[orig]), Table1[(Y)])</f>
        <v>b</v>
      </c>
      <c r="L21" s="5" t="str" cm="1">
        <f t="array" ref="L21">_xlfn.XLOOKUP(TRUE, EXACT(Table2[[#This Row],[Y2]], Table9[orig]), Table9[char])</f>
        <v>b</v>
      </c>
      <c r="M21" t="str" cm="1">
        <f t="array" ref="M21">_xlfn.XLOOKUP(TRUE, EXACT(K21, Table1[orig]), Table1[(Y)])</f>
        <v>r</v>
      </c>
      <c r="N21" s="5" t="str" cm="1">
        <f t="array" ref="N21">_xlfn.XLOOKUP(TRUE, EXACT(Table2[[#This Row],[Y'']], Table9[orig]), Table9[char])</f>
        <v>r</v>
      </c>
      <c r="O21" t="str" cm="1">
        <f t="array" ref="O21">_xlfn.XLOOKUP(TRUE, EXACT(Table2[[#This Row],[orig]], Table3[orig]), Table3[(Z)])</f>
        <v>f</v>
      </c>
      <c r="P21" s="5" t="str" cm="1">
        <f t="array" ref="P21">_xlfn.XLOOKUP(TRUE, EXACT(Table2[[#This Row],[Z]], Table9[orig]), Table9[char])</f>
        <v>f</v>
      </c>
      <c r="Q21" t="str" cm="1">
        <f t="array" ref="Q21">_xlfn.XLOOKUP(TRUE, EXACT(O21, Table3[orig]), Table3[(Z)])</f>
        <v>f</v>
      </c>
      <c r="R21" s="5" t="str" cm="1">
        <f t="array" ref="R21">_xlfn.XLOOKUP(TRUE, EXACT(Table2[[#This Row],[Z2]], Table9[orig]), Table9[char])</f>
        <v>f</v>
      </c>
      <c r="S21" t="str" cm="1">
        <f t="array" ref="S21">_xlfn.XLOOKUP(TRUE, EXACT(Q21, Table3[orig]), Table3[(Z)])</f>
        <v>f</v>
      </c>
      <c r="T21" s="5" t="str" cm="1">
        <f t="array" ref="T21">_xlfn.XLOOKUP(TRUE, EXACT(Table2[[#This Row],[Z'']], Table9[orig]), Table9[char])</f>
        <v>f</v>
      </c>
      <c r="U21" t="str" cm="1">
        <f t="array" ref="U21">_xlfn.XLOOKUP(TRUE, EXACT(Table2[[#This Row],[orig]], Table5[orig]), Table5[(T-reflection)])</f>
        <v>f'</v>
      </c>
      <c r="V21" s="5" t="str" cm="1">
        <f t="array" ref="V21">_xlfn.XLOOKUP(TRUE, EXACT(Table2[[#This Row],[T-reflection]], Table9[orig]), Table9[char])</f>
        <v>q</v>
      </c>
      <c r="W21" t="str" cm="1">
        <f t="array" ref="W21">_xlfn.XLOOKUP(TRUE, EXACT(Table2[[#This Row],[orig]], Table6[orig]), Table6[(H-reflection)])</f>
        <v>f'</v>
      </c>
      <c r="X21" s="5" t="str" cm="1">
        <f t="array" ref="X21">_xlfn.XLOOKUP(TRUE, EXACT(Table2[[#This Row],[H-reflection]], Table9[orig]), Table9[char])</f>
        <v>q</v>
      </c>
      <c r="Y21" t="str" cm="1">
        <f t="array" ref="Y21">_xlfn.XLOOKUP(TRUE, EXACT(Table2[[#This Row],[orig]], Table7[orig]), Table7[(S-reflection)])</f>
        <v>b'</v>
      </c>
      <c r="Z21" s="5" t="str" cm="1">
        <f t="array" ref="Z21">_xlfn.XLOOKUP(TRUE, EXACT(Table2[[#This Row],[S-reflection]], Table9[orig]), Table9[char])</f>
        <v>&amp;</v>
      </c>
    </row>
    <row r="22" spans="1:26" x14ac:dyDescent="0.2">
      <c r="A22" t="str">
        <f>Tables!E25</f>
        <v>S</v>
      </c>
      <c r="B22" s="5" t="str" cm="1">
        <f t="array" ref="B22">_xlfn.XLOOKUP(TRUE, EXACT(Table2[[#This Row],[orig]], Table9[orig]), Table9[char])</f>
        <v>S</v>
      </c>
      <c r="C22" t="str" cm="1">
        <f t="array" ref="C22">_xlfn.XLOOKUP(TRUE, EXACT(Table2[[#This Row],[orig]], Table4[orig]), Table4[(X)])</f>
        <v>H</v>
      </c>
      <c r="D22" s="5" t="str" cm="1">
        <f t="array" ref="D22">_xlfn.XLOOKUP(TRUE, EXACT(Table2[[#This Row],[X]], Table9[orig]), Table9[char])</f>
        <v>H</v>
      </c>
      <c r="E22" t="str" cm="1">
        <f t="array" ref="E22">_xlfn.XLOOKUP(TRUE, EXACT(C22, Table4[orig]), Table4[(X)])</f>
        <v>S'</v>
      </c>
      <c r="F22" s="5" t="str" cm="1">
        <f t="array" ref="F22">_xlfn.XLOOKUP(TRUE, EXACT(Table2[[#This Row],[X2]], Table9[orig]), Table9[char])</f>
        <v>V</v>
      </c>
      <c r="G22" t="str" cm="1">
        <f t="array" ref="G22">_xlfn.XLOOKUP(TRUE, EXACT(E22, Table4[orig]), Table4[(X)])</f>
        <v>H'</v>
      </c>
      <c r="H22" s="5" t="str" cm="1">
        <f t="array" ref="H22">_xlfn.XLOOKUP(TRUE, EXACT(Table2[[#This Row],[X'']], Table9[orig]), Table9[char])</f>
        <v>+</v>
      </c>
      <c r="I22" t="str" cm="1">
        <f t="array" ref="I22">_xlfn.XLOOKUP(TRUE, EXACT(A22, Table1[orig]), Table1[(Y)])</f>
        <v>T'</v>
      </c>
      <c r="J22" s="5" t="str" cm="1">
        <f t="array" ref="J22">_xlfn.XLOOKUP(TRUE, EXACT(Table2[[#This Row],[Y]], Table9[orig]), Table9[char])</f>
        <v>C</v>
      </c>
      <c r="K22" t="str" cm="1">
        <f t="array" ref="K22">_xlfn.XLOOKUP(TRUE, EXACT(I22, Table1[orig]), Table1[(Y)])</f>
        <v>S'</v>
      </c>
      <c r="L22" s="5" t="str" cm="1">
        <f t="array" ref="L22">_xlfn.XLOOKUP(TRUE, EXACT(Table2[[#This Row],[Y2]], Table9[orig]), Table9[char])</f>
        <v>V</v>
      </c>
      <c r="M22" t="str" cm="1">
        <f t="array" ref="M22">_xlfn.XLOOKUP(TRUE, EXACT(K22, Table1[orig]), Table1[(Y)])</f>
        <v>T</v>
      </c>
      <c r="N22" s="5" t="str" cm="1">
        <f t="array" ref="N22">_xlfn.XLOOKUP(TRUE, EXACT(Table2[[#This Row],[Y'']], Table9[orig]), Table9[char])</f>
        <v>T</v>
      </c>
      <c r="O22" t="str" cm="1">
        <f t="array" ref="O22">_xlfn.XLOOKUP(TRUE, EXACT(Table2[[#This Row],[orig]], Table3[orig]), Table3[(Z)])</f>
        <v>S</v>
      </c>
      <c r="P22" s="5" t="str" cm="1">
        <f t="array" ref="P22">_xlfn.XLOOKUP(TRUE, EXACT(Table2[[#This Row],[Z]], Table9[orig]), Table9[char])</f>
        <v>S</v>
      </c>
      <c r="Q22" t="str" cm="1">
        <f t="array" ref="Q22">_xlfn.XLOOKUP(TRUE, EXACT(O22, Table3[orig]), Table3[(Z)])</f>
        <v>S</v>
      </c>
      <c r="R22" s="5" t="str" cm="1">
        <f t="array" ref="R22">_xlfn.XLOOKUP(TRUE, EXACT(Table2[[#This Row],[Z2]], Table9[orig]), Table9[char])</f>
        <v>S</v>
      </c>
      <c r="S22" t="str" cm="1">
        <f t="array" ref="S22">_xlfn.XLOOKUP(TRUE, EXACT(Q22, Table3[orig]), Table3[(Z)])</f>
        <v>S</v>
      </c>
      <c r="T22" s="5" t="str" cm="1">
        <f t="array" ref="T22">_xlfn.XLOOKUP(TRUE, EXACT(Table2[[#This Row],[Z'']], Table9[orig]), Table9[char])</f>
        <v>S</v>
      </c>
      <c r="U22" t="str" cm="1">
        <f t="array" ref="U22">_xlfn.XLOOKUP(TRUE, EXACT(Table2[[#This Row],[orig]], Table5[orig]), Table5[(T-reflection)])</f>
        <v>S'</v>
      </c>
      <c r="V22" s="5" t="str" cm="1">
        <f t="array" ref="V22">_xlfn.XLOOKUP(TRUE, EXACT(Table2[[#This Row],[T-reflection]], Table9[orig]), Table9[char])</f>
        <v>V</v>
      </c>
      <c r="W22" t="str" cm="1">
        <f t="array" ref="W22">_xlfn.XLOOKUP(TRUE, EXACT(Table2[[#This Row],[orig]], Table6[orig]), Table6[(H-reflection)])</f>
        <v>S'</v>
      </c>
      <c r="X22" s="5" t="str" cm="1">
        <f t="array" ref="X22">_xlfn.XLOOKUP(TRUE, EXACT(Table2[[#This Row],[H-reflection]], Table9[orig]), Table9[char])</f>
        <v>V</v>
      </c>
      <c r="Y22" t="str" cm="1">
        <f t="array" ref="Y22">_xlfn.XLOOKUP(TRUE, EXACT(Table2[[#This Row],[orig]], Table7[orig]), Table7[(S-reflection)])</f>
        <v>S</v>
      </c>
      <c r="Z22" s="5" t="str" cm="1">
        <f t="array" ref="Z22">_xlfn.XLOOKUP(TRUE, EXACT(Table2[[#This Row],[S-reflection]], Table9[orig]), Table9[char])</f>
        <v>S</v>
      </c>
    </row>
    <row r="23" spans="1:26" x14ac:dyDescent="0.2">
      <c r="A23" t="str">
        <f>Tables!E26</f>
        <v>b</v>
      </c>
      <c r="B23" s="5" t="str" cm="1">
        <f t="array" ref="B23">_xlfn.XLOOKUP(TRUE, EXACT(Table2[[#This Row],[orig]], Table9[orig]), Table9[char])</f>
        <v>b</v>
      </c>
      <c r="C23" t="str" cm="1">
        <f t="array" ref="C23">_xlfn.XLOOKUP(TRUE, EXACT(Table2[[#This Row],[orig]], Table4[orig]), Table4[(X)])</f>
        <v>d</v>
      </c>
      <c r="D23" s="5" t="str" cm="1">
        <f t="array" ref="D23">_xlfn.XLOOKUP(TRUE, EXACT(Table2[[#This Row],[X]], Table9[orig]), Table9[char])</f>
        <v>d</v>
      </c>
      <c r="E23" t="str" cm="1">
        <f t="array" ref="E23">_xlfn.XLOOKUP(TRUE, EXACT(C23, Table4[orig]), Table4[(X)])</f>
        <v>f</v>
      </c>
      <c r="F23" s="5" t="str" cm="1">
        <f t="array" ref="F23">_xlfn.XLOOKUP(TRUE, EXACT(Table2[[#This Row],[X2]], Table9[orig]), Table9[char])</f>
        <v>f</v>
      </c>
      <c r="G23" t="str" cm="1">
        <f t="array" ref="G23">_xlfn.XLOOKUP(TRUE, EXACT(E23, Table4[orig]), Table4[(X)])</f>
        <v>u</v>
      </c>
      <c r="H23" s="5" t="str" cm="1">
        <f t="array" ref="H23">_xlfn.XLOOKUP(TRUE, EXACT(Table2[[#This Row],[X'']], Table9[orig]), Table9[char])</f>
        <v>u</v>
      </c>
      <c r="I23" t="str" cm="1">
        <f t="array" ref="I23">_xlfn.XLOOKUP(TRUE, EXACT(A23, Table1[orig]), Table1[(Y)])</f>
        <v>r</v>
      </c>
      <c r="J23" s="5" t="str" cm="1">
        <f t="array" ref="J23">_xlfn.XLOOKUP(TRUE, EXACT(Table2[[#This Row],[Y]], Table9[orig]), Table9[char])</f>
        <v>r</v>
      </c>
      <c r="K23" t="str" cm="1">
        <f t="array" ref="K23">_xlfn.XLOOKUP(TRUE, EXACT(I23, Table1[orig]), Table1[(Y)])</f>
        <v>f</v>
      </c>
      <c r="L23" s="5" t="str" cm="1">
        <f t="array" ref="L23">_xlfn.XLOOKUP(TRUE, EXACT(Table2[[#This Row],[Y2]], Table9[orig]), Table9[char])</f>
        <v>f</v>
      </c>
      <c r="M23" t="str" cm="1">
        <f t="array" ref="M23">_xlfn.XLOOKUP(TRUE, EXACT(K23, Table1[orig]), Table1[(Y)])</f>
        <v>l</v>
      </c>
      <c r="N23" s="5" t="str" cm="1">
        <f t="array" ref="N23">_xlfn.XLOOKUP(TRUE, EXACT(Table2[[#This Row],[Y'']], Table9[orig]), Table9[char])</f>
        <v>l</v>
      </c>
      <c r="O23" t="str" cm="1">
        <f t="array" ref="O23">_xlfn.XLOOKUP(TRUE, EXACT(Table2[[#This Row],[orig]], Table3[orig]), Table3[(Z)])</f>
        <v>b</v>
      </c>
      <c r="P23" s="5" t="str" cm="1">
        <f t="array" ref="P23">_xlfn.XLOOKUP(TRUE, EXACT(Table2[[#This Row],[Z]], Table9[orig]), Table9[char])</f>
        <v>b</v>
      </c>
      <c r="Q23" t="str" cm="1">
        <f t="array" ref="Q23">_xlfn.XLOOKUP(TRUE, EXACT(O23, Table3[orig]), Table3[(Z)])</f>
        <v>b</v>
      </c>
      <c r="R23" s="5" t="str" cm="1">
        <f t="array" ref="R23">_xlfn.XLOOKUP(TRUE, EXACT(Table2[[#This Row],[Z2]], Table9[orig]), Table9[char])</f>
        <v>b</v>
      </c>
      <c r="S23" t="str" cm="1">
        <f t="array" ref="S23">_xlfn.XLOOKUP(TRUE, EXACT(Q23, Table3[orig]), Table3[(Z)])</f>
        <v>b</v>
      </c>
      <c r="T23" s="5" t="str" cm="1">
        <f t="array" ref="T23">_xlfn.XLOOKUP(TRUE, EXACT(Table2[[#This Row],[Z'']], Table9[orig]), Table9[char])</f>
        <v>b</v>
      </c>
      <c r="U23" t="str" cm="1">
        <f t="array" ref="U23">_xlfn.XLOOKUP(TRUE, EXACT(Table2[[#This Row],[orig]], Table5[orig]), Table5[(T-reflection)])</f>
        <v>b'</v>
      </c>
      <c r="V23" s="5" t="str" cm="1">
        <f t="array" ref="V23">_xlfn.XLOOKUP(TRUE, EXACT(Table2[[#This Row],[T-reflection]], Table9[orig]), Table9[char])</f>
        <v>&amp;</v>
      </c>
      <c r="W23" t="str" cm="1">
        <f t="array" ref="W23">_xlfn.XLOOKUP(TRUE, EXACT(Table2[[#This Row],[orig]], Table6[orig]), Table6[(H-reflection)])</f>
        <v>b'</v>
      </c>
      <c r="X23" s="5" t="str" cm="1">
        <f t="array" ref="X23">_xlfn.XLOOKUP(TRUE, EXACT(Table2[[#This Row],[H-reflection]], Table9[orig]), Table9[char])</f>
        <v>&amp;</v>
      </c>
      <c r="Y23" t="str" cm="1">
        <f t="array" ref="Y23">_xlfn.XLOOKUP(TRUE, EXACT(Table2[[#This Row],[orig]], Table7[orig]), Table7[(S-reflection)])</f>
        <v>f'</v>
      </c>
      <c r="Z23" s="5" t="str" cm="1">
        <f t="array" ref="Z23">_xlfn.XLOOKUP(TRUE, EXACT(Table2[[#This Row],[S-reflection]], Table9[orig]), Table9[char])</f>
        <v>q</v>
      </c>
    </row>
    <row r="24" spans="1:26" x14ac:dyDescent="0.2">
      <c r="A24" t="str">
        <f>Tables!E27</f>
        <v>B</v>
      </c>
      <c r="B24" s="5" t="str" cm="1">
        <f t="array" ref="B24">_xlfn.XLOOKUP(TRUE, EXACT(Table2[[#This Row],[orig]], Table9[orig]), Table9[char])</f>
        <v>B</v>
      </c>
      <c r="C24" t="str" cm="1">
        <f t="array" ref="C24">_xlfn.XLOOKUP(TRUE, EXACT(Table2[[#This Row],[orig]], Table4[orig]), Table4[(X)])</f>
        <v>D</v>
      </c>
      <c r="D24" s="5" t="str" cm="1">
        <f t="array" ref="D24">_xlfn.XLOOKUP(TRUE, EXACT(Table2[[#This Row],[X]], Table9[orig]), Table9[char])</f>
        <v>D</v>
      </c>
      <c r="E24" t="str" cm="1">
        <f t="array" ref="E24">_xlfn.XLOOKUP(TRUE, EXACT(C24, Table4[orig]), Table4[(X)])</f>
        <v>F</v>
      </c>
      <c r="F24" s="5" t="str" cm="1">
        <f t="array" ref="F24">_xlfn.XLOOKUP(TRUE, EXACT(Table2[[#This Row],[X2]], Table9[orig]), Table9[char])</f>
        <v>F</v>
      </c>
      <c r="G24" t="str" cm="1">
        <f t="array" ref="G24">_xlfn.XLOOKUP(TRUE, EXACT(E24, Table4[orig]), Table4[(X)])</f>
        <v>U</v>
      </c>
      <c r="H24" s="5" t="str" cm="1">
        <f t="array" ref="H24">_xlfn.XLOOKUP(TRUE, EXACT(Table2[[#This Row],[X'']], Table9[orig]), Table9[char])</f>
        <v>U</v>
      </c>
      <c r="I24" t="str" cm="1">
        <f t="array" ref="I24">_xlfn.XLOOKUP(TRUE, EXACT(A24, Table1[orig]), Table1[(Y)])</f>
        <v>R</v>
      </c>
      <c r="J24" s="5" t="str" cm="1">
        <f t="array" ref="J24">_xlfn.XLOOKUP(TRUE, EXACT(Table2[[#This Row],[Y]], Table9[orig]), Table9[char])</f>
        <v>R</v>
      </c>
      <c r="K24" t="str" cm="1">
        <f t="array" ref="K24">_xlfn.XLOOKUP(TRUE, EXACT(I24, Table1[orig]), Table1[(Y)])</f>
        <v>F</v>
      </c>
      <c r="L24" s="5" t="str" cm="1">
        <f t="array" ref="L24">_xlfn.XLOOKUP(TRUE, EXACT(Table2[[#This Row],[Y2]], Table9[orig]), Table9[char])</f>
        <v>F</v>
      </c>
      <c r="M24" t="str" cm="1">
        <f t="array" ref="M24">_xlfn.XLOOKUP(TRUE, EXACT(K24, Table1[orig]), Table1[(Y)])</f>
        <v>L</v>
      </c>
      <c r="N24" s="5" t="str" cm="1">
        <f t="array" ref="N24">_xlfn.XLOOKUP(TRUE, EXACT(Table2[[#This Row],[Y'']], Table9[orig]), Table9[char])</f>
        <v>L</v>
      </c>
      <c r="O24" t="str" cm="1">
        <f t="array" ref="O24">_xlfn.XLOOKUP(TRUE, EXACT(Table2[[#This Row],[orig]], Table3[orig]), Table3[(Z)])</f>
        <v>B</v>
      </c>
      <c r="P24" s="5" t="str" cm="1">
        <f t="array" ref="P24">_xlfn.XLOOKUP(TRUE, EXACT(Table2[[#This Row],[Z]], Table9[orig]), Table9[char])</f>
        <v>B</v>
      </c>
      <c r="Q24" t="str" cm="1">
        <f t="array" ref="Q24">_xlfn.XLOOKUP(TRUE, EXACT(O24, Table3[orig]), Table3[(Z)])</f>
        <v>B</v>
      </c>
      <c r="R24" s="5" t="str" cm="1">
        <f t="array" ref="R24">_xlfn.XLOOKUP(TRUE, EXACT(Table2[[#This Row],[Z2]], Table9[orig]), Table9[char])</f>
        <v>B</v>
      </c>
      <c r="S24" t="str" cm="1">
        <f t="array" ref="S24">_xlfn.XLOOKUP(TRUE, EXACT(Q24, Table3[orig]), Table3[(Z)])</f>
        <v>B</v>
      </c>
      <c r="T24" s="5" t="str" cm="1">
        <f t="array" ref="T24">_xlfn.XLOOKUP(TRUE, EXACT(Table2[[#This Row],[Z'']], Table9[orig]), Table9[char])</f>
        <v>B</v>
      </c>
      <c r="U24" t="str" cm="1">
        <f t="array" ref="U24">_xlfn.XLOOKUP(TRUE, EXACT(Table2[[#This Row],[orig]], Table5[orig]), Table5[(T-reflection)])</f>
        <v>B'</v>
      </c>
      <c r="V24" s="5" t="str" cm="1">
        <f t="array" ref="V24">_xlfn.XLOOKUP(TRUE, EXACT(Table2[[#This Row],[T-reflection]], Table9[orig]), Table9[char])</f>
        <v>@</v>
      </c>
      <c r="W24" t="str" cm="1">
        <f t="array" ref="W24">_xlfn.XLOOKUP(TRUE, EXACT(Table2[[#This Row],[orig]], Table6[orig]), Table6[(H-reflection)])</f>
        <v>B'</v>
      </c>
      <c r="X24" s="5" t="str" cm="1">
        <f t="array" ref="X24">_xlfn.XLOOKUP(TRUE, EXACT(Table2[[#This Row],[H-reflection]], Table9[orig]), Table9[char])</f>
        <v>@</v>
      </c>
      <c r="Y24" t="str" cm="1">
        <f t="array" ref="Y24">_xlfn.XLOOKUP(TRUE, EXACT(Table2[[#This Row],[orig]], Table7[orig]), Table7[(S-reflection)])</f>
        <v>F'</v>
      </c>
      <c r="Z24" s="5" t="str" cm="1">
        <f t="array" ref="Z24">_xlfn.XLOOKUP(TRUE, EXACT(Table2[[#This Row],[S-reflection]], Table9[orig]), Table9[char])</f>
        <v>Q</v>
      </c>
    </row>
    <row r="25" spans="1:26" x14ac:dyDescent="0.2">
      <c r="A25" s="3" t="str">
        <f>Tables!E28</f>
        <v>Z</v>
      </c>
      <c r="B25" s="8" t="str" cm="1">
        <f t="array" ref="B25">_xlfn.XLOOKUP(TRUE, EXACT(Table2[[#This Row],[orig]], Table9[orig]), Table9[char])</f>
        <v>Z</v>
      </c>
      <c r="C25" s="3" t="str" cm="1">
        <f t="array" ref="C25">_xlfn.XLOOKUP(TRUE, EXACT(Table2[[#This Row],[orig]], Table4[orig]), Table4[(X)])</f>
        <v>Y</v>
      </c>
      <c r="D25" s="8" t="str" cm="1">
        <f t="array" ref="D25">_xlfn.XLOOKUP(TRUE, EXACT(Table2[[#This Row],[X]], Table9[orig]), Table9[char])</f>
        <v>Y</v>
      </c>
      <c r="E25" s="3" t="str" cm="1">
        <f t="array" ref="E25">_xlfn.XLOOKUP(TRUE, EXACT(C25, Table4[orig]), Table4[(X)])</f>
        <v>Z'</v>
      </c>
      <c r="F25" s="8" t="str" cm="1">
        <f t="array" ref="F25">_xlfn.XLOOKUP(TRUE, EXACT(Table2[[#This Row],[X2]], Table9[orig]), Table9[char])</f>
        <v>#</v>
      </c>
      <c r="G25" s="3" t="str" cm="1">
        <f t="array" ref="G25">_xlfn.XLOOKUP(TRUE, EXACT(E25, Table4[orig]), Table4[(X)])</f>
        <v>Y'</v>
      </c>
      <c r="H25" s="8" t="str" cm="1">
        <f t="array" ref="H25">_xlfn.XLOOKUP(TRUE, EXACT(Table2[[#This Row],[X'']], Table9[orig]), Table9[char])</f>
        <v>p</v>
      </c>
      <c r="I25" s="3" t="str" cm="1">
        <f t="array" ref="I25">_xlfn.XLOOKUP(TRUE, EXACT(A25, Table1[orig]), Table1[(Y)])</f>
        <v>X'</v>
      </c>
      <c r="J25" s="8" t="str" cm="1">
        <f t="array" ref="J25">_xlfn.XLOOKUP(TRUE, EXACT(Table2[[#This Row],[Y]], Table9[orig]), Table9[char])</f>
        <v>!</v>
      </c>
      <c r="K25" s="3" t="str" cm="1">
        <f t="array" ref="K25">_xlfn.XLOOKUP(TRUE, EXACT(I25, Table1[orig]), Table1[(Y)])</f>
        <v>Z'</v>
      </c>
      <c r="L25" s="8" t="str" cm="1">
        <f t="array" ref="L25">_xlfn.XLOOKUP(TRUE, EXACT(Table2[[#This Row],[Y2]], Table9[orig]), Table9[char])</f>
        <v>#</v>
      </c>
      <c r="M25" s="3" t="str" cm="1">
        <f t="array" ref="M25">_xlfn.XLOOKUP(TRUE, EXACT(K25, Table1[orig]), Table1[(Y)])</f>
        <v>X</v>
      </c>
      <c r="N25" s="8" t="str" cm="1">
        <f t="array" ref="N25">_xlfn.XLOOKUP(TRUE, EXACT(Table2[[#This Row],[Y'']], Table9[orig]), Table9[char])</f>
        <v>X</v>
      </c>
      <c r="O25" s="3" t="str" cm="1">
        <f t="array" ref="O25">_xlfn.XLOOKUP(TRUE, EXACT(Table2[[#This Row],[orig]], Table3[orig]), Table3[(Z)])</f>
        <v>Z</v>
      </c>
      <c r="P25" s="8" t="str" cm="1">
        <f t="array" ref="P25">_xlfn.XLOOKUP(TRUE, EXACT(Table2[[#This Row],[Z]], Table9[orig]), Table9[char])</f>
        <v>Z</v>
      </c>
      <c r="Q25" s="3" t="str" cm="1">
        <f t="array" ref="Q25">_xlfn.XLOOKUP(TRUE, EXACT(O25, Table3[orig]), Table3[(Z)])</f>
        <v>Z</v>
      </c>
      <c r="R25" s="8" t="str" cm="1">
        <f t="array" ref="R25">_xlfn.XLOOKUP(TRUE, EXACT(Table2[[#This Row],[Z2]], Table9[orig]), Table9[char])</f>
        <v>Z</v>
      </c>
      <c r="S25" s="3" t="str" cm="1">
        <f t="array" ref="S25">_xlfn.XLOOKUP(TRUE, EXACT(Q25, Table3[orig]), Table3[(Z)])</f>
        <v>Z</v>
      </c>
      <c r="T25" s="8" t="str" cm="1">
        <f t="array" ref="T25">_xlfn.XLOOKUP(TRUE, EXACT(Table2[[#This Row],[Z'']], Table9[orig]), Table9[char])</f>
        <v>Z</v>
      </c>
      <c r="U25" s="3" t="str" cm="1">
        <f t="array" ref="U25">_xlfn.XLOOKUP(TRUE, EXACT(Table2[[#This Row],[orig]], Table5[orig]), Table5[(T-reflection)])</f>
        <v>Z'</v>
      </c>
      <c r="V25" s="8" t="str" cm="1">
        <f t="array" ref="V25">_xlfn.XLOOKUP(TRUE, EXACT(Table2[[#This Row],[T-reflection]], Table9[orig]), Table9[char])</f>
        <v>#</v>
      </c>
      <c r="W25" s="3" t="str" cm="1">
        <f t="array" ref="W25">_xlfn.XLOOKUP(TRUE, EXACT(Table2[[#This Row],[orig]], Table6[orig]), Table6[(H-reflection)])</f>
        <v>Z'</v>
      </c>
      <c r="X25" s="8" t="str" cm="1">
        <f t="array" ref="X25">_xlfn.XLOOKUP(TRUE, EXACT(Table2[[#This Row],[H-reflection]], Table9[orig]), Table9[char])</f>
        <v>#</v>
      </c>
      <c r="Y25" s="3" t="str" cm="1">
        <f t="array" ref="Y25">_xlfn.XLOOKUP(TRUE, EXACT(Table2[[#This Row],[orig]], Table7[orig]), Table7[(S-reflection)])</f>
        <v>Z</v>
      </c>
      <c r="Z25" s="5" t="str" cm="1">
        <f t="array" ref="Z25">_xlfn.XLOOKUP(TRUE, EXACT(Table2[[#This Row],[S-reflection]], Table9[orig]), Table9[char])</f>
        <v>Z</v>
      </c>
    </row>
    <row r="26" spans="1:26" x14ac:dyDescent="0.2">
      <c r="A26" t="str">
        <f>Tables!E29</f>
        <v>F'</v>
      </c>
      <c r="B26" s="5" t="str" cm="1">
        <f t="array" ref="B26">_xlfn.XLOOKUP(TRUE, EXACT(Table2[[#This Row],[orig]], Table9[orig]), Table9[char])</f>
        <v>Q</v>
      </c>
      <c r="C26" t="str" cm="1">
        <f t="array" ref="C26">_xlfn.XLOOKUP(TRUE, EXACT(Table2[[#This Row],[orig]], Table4[orig]), Table4[(X)])</f>
        <v>U'</v>
      </c>
      <c r="D26" s="5" t="str" cm="1">
        <f t="array" ref="D26">_xlfn.XLOOKUP(TRUE, EXACT(Table2[[#This Row],[X]], Table9[orig]), Table9[char])</f>
        <v>.</v>
      </c>
      <c r="E26" t="str" cm="1">
        <f t="array" ref="E26">_xlfn.XLOOKUP(TRUE, EXACT(C26, Table4[orig]), Table4[(X)])</f>
        <v>B'</v>
      </c>
      <c r="F26" s="5" t="str" cm="1">
        <f t="array" ref="F26">_xlfn.XLOOKUP(TRUE, EXACT(Table2[[#This Row],[X2]], Table9[orig]), Table9[char])</f>
        <v>@</v>
      </c>
      <c r="G26" t="str" cm="1">
        <f t="array" ref="G26">_xlfn.XLOOKUP(TRUE, EXACT(E26, Table4[orig]), Table4[(X)])</f>
        <v>D'</v>
      </c>
      <c r="H26" s="5" t="str" cm="1">
        <f t="array" ref="H26">_xlfn.XLOOKUP(TRUE, EXACT(Table2[[#This Row],[X'']], Table9[orig]), Table9[char])</f>
        <v>%</v>
      </c>
      <c r="I26" t="str" cm="1">
        <f t="array" ref="I26">_xlfn.XLOOKUP(TRUE, EXACT(A26, Table1[orig]), Table1[(Y)])</f>
        <v>L'</v>
      </c>
      <c r="J26" s="5" t="str" cm="1">
        <f t="array" ref="J26">_xlfn.XLOOKUP(TRUE, EXACT(Table2[[#This Row],[Y]], Table9[orig]), Table9[char])</f>
        <v>G</v>
      </c>
      <c r="K26" t="str" cm="1">
        <f t="array" ref="K26">_xlfn.XLOOKUP(TRUE, EXACT(I26, Table1[orig]), Table1[(Y)])</f>
        <v>B'</v>
      </c>
      <c r="L26" s="5" t="str" cm="1">
        <f t="array" ref="L26">_xlfn.XLOOKUP(TRUE, EXACT(Table2[[#This Row],[Y2]], Table9[orig]), Table9[char])</f>
        <v>@</v>
      </c>
      <c r="M26" t="str" cm="1">
        <f t="array" ref="M26">_xlfn.XLOOKUP(TRUE, EXACT(K26, Table1[orig]), Table1[(Y)])</f>
        <v>R'</v>
      </c>
      <c r="N26" s="5" t="str" cm="1">
        <f t="array" ref="N26">_xlfn.XLOOKUP(TRUE, EXACT(Table2[[#This Row],[Y'']], Table9[orig]), Table9[char])</f>
        <v>A</v>
      </c>
      <c r="O26" t="str" cm="1">
        <f t="array" ref="O26">_xlfn.XLOOKUP(TRUE, EXACT(Table2[[#This Row],[orig]], Table3[orig]), Table3[(Z)])</f>
        <v>F'</v>
      </c>
      <c r="P26" s="5" t="str" cm="1">
        <f t="array" ref="P26">_xlfn.XLOOKUP(TRUE, EXACT(Table2[[#This Row],[Z]], Table9[orig]), Table9[char])</f>
        <v>Q</v>
      </c>
      <c r="Q26" t="str" cm="1">
        <f t="array" ref="Q26">_xlfn.XLOOKUP(TRUE, EXACT(O26, Table3[orig]), Table3[(Z)])</f>
        <v>F'</v>
      </c>
      <c r="R26" s="5" t="str" cm="1">
        <f t="array" ref="R26">_xlfn.XLOOKUP(TRUE, EXACT(Table2[[#This Row],[Z2]], Table9[orig]), Table9[char])</f>
        <v>Q</v>
      </c>
      <c r="S26" t="str" cm="1">
        <f t="array" ref="S26">_xlfn.XLOOKUP(TRUE, EXACT(Q26, Table3[orig]), Table3[(Z)])</f>
        <v>F'</v>
      </c>
      <c r="T26" s="5" t="str" cm="1">
        <f t="array" ref="T26">_xlfn.XLOOKUP(TRUE, EXACT(Table2[[#This Row],[Z'']], Table9[orig]), Table9[char])</f>
        <v>Q</v>
      </c>
      <c r="U26" t="str" cm="1">
        <f t="array" ref="U26">_xlfn.XLOOKUP(TRUE, EXACT(Table2[[#This Row],[orig]], Table5[orig]), Table5[(T-reflection)])</f>
        <v>F</v>
      </c>
      <c r="V26" s="5" t="str" cm="1">
        <f t="array" ref="V26">_xlfn.XLOOKUP(TRUE, EXACT(Table2[[#This Row],[T-reflection]], Table9[orig]), Table9[char])</f>
        <v>F</v>
      </c>
      <c r="W26" t="str" cm="1">
        <f t="array" ref="W26">_xlfn.XLOOKUP(TRUE, EXACT(Table2[[#This Row],[orig]], Table6[orig]), Table6[(H-reflection)])</f>
        <v>F</v>
      </c>
      <c r="X26" s="5" t="str" cm="1">
        <f t="array" ref="X26">_xlfn.XLOOKUP(TRUE, EXACT(Table2[[#This Row],[H-reflection]], Table9[orig]), Table9[char])</f>
        <v>F</v>
      </c>
      <c r="Y26" t="str" cm="1">
        <f t="array" ref="Y26">_xlfn.XLOOKUP(TRUE, EXACT(Table2[[#This Row],[orig]], Table7[orig]), Table7[(S-reflection)])</f>
        <v>B</v>
      </c>
      <c r="Z26" s="5" t="str" cm="1">
        <f t="array" ref="Z26">_xlfn.XLOOKUP(TRUE, EXACT(Table2[[#This Row],[S-reflection]], Table9[orig]), Table9[char])</f>
        <v>B</v>
      </c>
    </row>
    <row r="27" spans="1:26" x14ac:dyDescent="0.2">
      <c r="A27" t="str">
        <f>Tables!E30</f>
        <v>f'</v>
      </c>
      <c r="B27" s="5" t="str" cm="1">
        <f t="array" ref="B27">_xlfn.XLOOKUP(TRUE, EXACT(Table2[[#This Row],[orig]], Table9[orig]), Table9[char])</f>
        <v>q</v>
      </c>
      <c r="C27" t="str" cm="1">
        <f t="array" ref="C27">_xlfn.XLOOKUP(TRUE, EXACT(Table2[[#This Row],[orig]], Table4[orig]), Table4[(X)])</f>
        <v>u'</v>
      </c>
      <c r="D27" s="5" t="str" cm="1">
        <f t="array" ref="D27">_xlfn.XLOOKUP(TRUE, EXACT(Table2[[#This Row],[X]], Table9[orig]), Table9[char])</f>
        <v>-</v>
      </c>
      <c r="E27" t="str" cm="1">
        <f t="array" ref="E27">_xlfn.XLOOKUP(TRUE, EXACT(C27, Table4[orig]), Table4[(X)])</f>
        <v>b'</v>
      </c>
      <c r="F27" s="5" t="str" cm="1">
        <f t="array" ref="F27">_xlfn.XLOOKUP(TRUE, EXACT(Table2[[#This Row],[X2]], Table9[orig]), Table9[char])</f>
        <v>&amp;</v>
      </c>
      <c r="G27" t="str" cm="1">
        <f t="array" ref="G27">_xlfn.XLOOKUP(TRUE, EXACT(E27, Table4[orig]), Table4[(X)])</f>
        <v>d'</v>
      </c>
      <c r="H27" s="5" t="str" cm="1">
        <f t="array" ref="H27">_xlfn.XLOOKUP(TRUE, EXACT(Table2[[#This Row],[X'']], Table9[orig]), Table9[char])</f>
        <v>k</v>
      </c>
      <c r="I27" t="str" cm="1">
        <f t="array" ref="I27">_xlfn.XLOOKUP(TRUE, EXACT(A27, Table1[orig]), Table1[(Y)])</f>
        <v>l'</v>
      </c>
      <c r="J27" s="5" t="str" cm="1">
        <f t="array" ref="J27">_xlfn.XLOOKUP(TRUE, EXACT(Table2[[#This Row],[Y]], Table9[orig]), Table9[char])</f>
        <v>g</v>
      </c>
      <c r="K27" t="str" cm="1">
        <f t="array" ref="K27">_xlfn.XLOOKUP(TRUE, EXACT(I27, Table1[orig]), Table1[(Y)])</f>
        <v>b'</v>
      </c>
      <c r="L27" s="5" t="str" cm="1">
        <f t="array" ref="L27">_xlfn.XLOOKUP(TRUE, EXACT(Table2[[#This Row],[Y2]], Table9[orig]), Table9[char])</f>
        <v>&amp;</v>
      </c>
      <c r="M27" t="str" cm="1">
        <f t="array" ref="M27">_xlfn.XLOOKUP(TRUE, EXACT(K27, Table1[orig]), Table1[(Y)])</f>
        <v>r'</v>
      </c>
      <c r="N27" s="5" t="str" cm="1">
        <f t="array" ref="N27">_xlfn.XLOOKUP(TRUE, EXACT(Table2[[#This Row],[Y'']], Table9[orig]), Table9[char])</f>
        <v>a</v>
      </c>
      <c r="O27" t="str" cm="1">
        <f t="array" ref="O27">_xlfn.XLOOKUP(TRUE, EXACT(Table2[[#This Row],[orig]], Table3[orig]), Table3[(Z)])</f>
        <v>f'</v>
      </c>
      <c r="P27" s="5" t="str" cm="1">
        <f t="array" ref="P27">_xlfn.XLOOKUP(TRUE, EXACT(Table2[[#This Row],[Z]], Table9[orig]), Table9[char])</f>
        <v>q</v>
      </c>
      <c r="Q27" t="str" cm="1">
        <f t="array" ref="Q27">_xlfn.XLOOKUP(TRUE, EXACT(O27, Table3[orig]), Table3[(Z)])</f>
        <v>f'</v>
      </c>
      <c r="R27" s="5" t="str" cm="1">
        <f t="array" ref="R27">_xlfn.XLOOKUP(TRUE, EXACT(Table2[[#This Row],[Z2]], Table9[orig]), Table9[char])</f>
        <v>q</v>
      </c>
      <c r="S27" t="str" cm="1">
        <f t="array" ref="S27">_xlfn.XLOOKUP(TRUE, EXACT(Q27, Table3[orig]), Table3[(Z)])</f>
        <v>f'</v>
      </c>
      <c r="T27" s="5" t="str" cm="1">
        <f t="array" ref="T27">_xlfn.XLOOKUP(TRUE, EXACT(Table2[[#This Row],[Z'']], Table9[orig]), Table9[char])</f>
        <v>q</v>
      </c>
      <c r="U27" t="str" cm="1">
        <f t="array" ref="U27">_xlfn.XLOOKUP(TRUE, EXACT(Table2[[#This Row],[orig]], Table5[orig]), Table5[(T-reflection)])</f>
        <v>f</v>
      </c>
      <c r="V27" s="5" t="str" cm="1">
        <f t="array" ref="V27">_xlfn.XLOOKUP(TRUE, EXACT(Table2[[#This Row],[T-reflection]], Table9[orig]), Table9[char])</f>
        <v>f</v>
      </c>
      <c r="W27" t="str" cm="1">
        <f t="array" ref="W27">_xlfn.XLOOKUP(TRUE, EXACT(Table2[[#This Row],[orig]], Table6[orig]), Table6[(H-reflection)])</f>
        <v>f</v>
      </c>
      <c r="X27" s="5" t="str" cm="1">
        <f t="array" ref="X27">_xlfn.XLOOKUP(TRUE, EXACT(Table2[[#This Row],[H-reflection]], Table9[orig]), Table9[char])</f>
        <v>f</v>
      </c>
      <c r="Y27" t="str" cm="1">
        <f t="array" ref="Y27">_xlfn.XLOOKUP(TRUE, EXACT(Table2[[#This Row],[orig]], Table7[orig]), Table7[(S-reflection)])</f>
        <v>b</v>
      </c>
      <c r="Z27" s="5" t="str" cm="1">
        <f t="array" ref="Z27">_xlfn.XLOOKUP(TRUE, EXACT(Table2[[#This Row],[S-reflection]], Table9[orig]), Table9[char])</f>
        <v>b</v>
      </c>
    </row>
    <row r="28" spans="1:26" x14ac:dyDescent="0.2">
      <c r="A28" t="str">
        <f>Tables!E31</f>
        <v>S'</v>
      </c>
      <c r="B28" s="5" t="str" cm="1">
        <f t="array" ref="B28">_xlfn.XLOOKUP(TRUE, EXACT(Table2[[#This Row],[orig]], Table9[orig]), Table9[char])</f>
        <v>V</v>
      </c>
      <c r="C28" t="str" cm="1">
        <f t="array" ref="C28">_xlfn.XLOOKUP(TRUE, EXACT(Table2[[#This Row],[orig]], Table4[orig]), Table4[(X)])</f>
        <v>H'</v>
      </c>
      <c r="D28" s="5" t="str" cm="1">
        <f t="array" ref="D28">_xlfn.XLOOKUP(TRUE, EXACT(Table2[[#This Row],[X]], Table9[orig]), Table9[char])</f>
        <v>+</v>
      </c>
      <c r="E28" t="str" cm="1">
        <f t="array" ref="E28">_xlfn.XLOOKUP(TRUE, EXACT(C28, Table4[orig]), Table4[(X)])</f>
        <v>S</v>
      </c>
      <c r="F28" s="5" t="str" cm="1">
        <f t="array" ref="F28">_xlfn.XLOOKUP(TRUE, EXACT(Table2[[#This Row],[X2]], Table9[orig]), Table9[char])</f>
        <v>S</v>
      </c>
      <c r="G28" t="str" cm="1">
        <f t="array" ref="G28">_xlfn.XLOOKUP(TRUE, EXACT(E28, Table4[orig]), Table4[(X)])</f>
        <v>H</v>
      </c>
      <c r="H28" s="5" t="str" cm="1">
        <f t="array" ref="H28">_xlfn.XLOOKUP(TRUE, EXACT(Table2[[#This Row],[X'']], Table9[orig]), Table9[char])</f>
        <v>H</v>
      </c>
      <c r="I28" t="str" cm="1">
        <f t="array" ref="I28">_xlfn.XLOOKUP(TRUE, EXACT(A28, Table1[orig]), Table1[(Y)])</f>
        <v>T</v>
      </c>
      <c r="J28" s="5" t="str" cm="1">
        <f t="array" ref="J28">_xlfn.XLOOKUP(TRUE, EXACT(Table2[[#This Row],[Y]], Table9[orig]), Table9[char])</f>
        <v>T</v>
      </c>
      <c r="K28" t="str" cm="1">
        <f t="array" ref="K28">_xlfn.XLOOKUP(TRUE, EXACT(I28, Table1[orig]), Table1[(Y)])</f>
        <v>S</v>
      </c>
      <c r="L28" s="5" t="str" cm="1">
        <f t="array" ref="L28">_xlfn.XLOOKUP(TRUE, EXACT(Table2[[#This Row],[Y2]], Table9[orig]), Table9[char])</f>
        <v>S</v>
      </c>
      <c r="M28" t="str" cm="1">
        <f t="array" ref="M28">_xlfn.XLOOKUP(TRUE, EXACT(K28, Table1[orig]), Table1[(Y)])</f>
        <v>T'</v>
      </c>
      <c r="N28" s="5" t="str" cm="1">
        <f t="array" ref="N28">_xlfn.XLOOKUP(TRUE, EXACT(Table2[[#This Row],[Y'']], Table9[orig]), Table9[char])</f>
        <v>C</v>
      </c>
      <c r="O28" t="str" cm="1">
        <f t="array" ref="O28">_xlfn.XLOOKUP(TRUE, EXACT(Table2[[#This Row],[orig]], Table3[orig]), Table3[(Z)])</f>
        <v>S'</v>
      </c>
      <c r="P28" s="5" t="str" cm="1">
        <f t="array" ref="P28">_xlfn.XLOOKUP(TRUE, EXACT(Table2[[#This Row],[Z]], Table9[orig]), Table9[char])</f>
        <v>V</v>
      </c>
      <c r="Q28" t="str" cm="1">
        <f t="array" ref="Q28">_xlfn.XLOOKUP(TRUE, EXACT(O28, Table3[orig]), Table3[(Z)])</f>
        <v>S'</v>
      </c>
      <c r="R28" s="5" t="str" cm="1">
        <f t="array" ref="R28">_xlfn.XLOOKUP(TRUE, EXACT(Table2[[#This Row],[Z2]], Table9[orig]), Table9[char])</f>
        <v>V</v>
      </c>
      <c r="S28" t="str" cm="1">
        <f t="array" ref="S28">_xlfn.XLOOKUP(TRUE, EXACT(Q28, Table3[orig]), Table3[(Z)])</f>
        <v>S'</v>
      </c>
      <c r="T28" s="5" t="str" cm="1">
        <f t="array" ref="T28">_xlfn.XLOOKUP(TRUE, EXACT(Table2[[#This Row],[Z'']], Table9[orig]), Table9[char])</f>
        <v>V</v>
      </c>
      <c r="U28" t="str" cm="1">
        <f t="array" ref="U28">_xlfn.XLOOKUP(TRUE, EXACT(Table2[[#This Row],[orig]], Table5[orig]), Table5[(T-reflection)])</f>
        <v>S</v>
      </c>
      <c r="V28" s="5" t="str" cm="1">
        <f t="array" ref="V28">_xlfn.XLOOKUP(TRUE, EXACT(Table2[[#This Row],[T-reflection]], Table9[orig]), Table9[char])</f>
        <v>S</v>
      </c>
      <c r="W28" t="str" cm="1">
        <f t="array" ref="W28">_xlfn.XLOOKUP(TRUE, EXACT(Table2[[#This Row],[orig]], Table6[orig]), Table6[(H-reflection)])</f>
        <v>S</v>
      </c>
      <c r="X28" s="5" t="str" cm="1">
        <f t="array" ref="X28">_xlfn.XLOOKUP(TRUE, EXACT(Table2[[#This Row],[H-reflection]], Table9[orig]), Table9[char])</f>
        <v>S</v>
      </c>
      <c r="Y28" t="str" cm="1">
        <f t="array" ref="Y28">_xlfn.XLOOKUP(TRUE, EXACT(Table2[[#This Row],[orig]], Table7[orig]), Table7[(S-reflection)])</f>
        <v>S'</v>
      </c>
      <c r="Z28" s="5" t="str" cm="1">
        <f t="array" ref="Z28">_xlfn.XLOOKUP(TRUE, EXACT(Table2[[#This Row],[S-reflection]], Table9[orig]), Table9[char])</f>
        <v>V</v>
      </c>
    </row>
    <row r="29" spans="1:26" x14ac:dyDescent="0.2">
      <c r="A29" t="str">
        <f>Tables!E32</f>
        <v>b'</v>
      </c>
      <c r="B29" s="5" t="str" cm="1">
        <f t="array" ref="B29">_xlfn.XLOOKUP(TRUE, EXACT(Table2[[#This Row],[orig]], Table9[orig]), Table9[char])</f>
        <v>&amp;</v>
      </c>
      <c r="C29" t="str" cm="1">
        <f t="array" ref="C29">_xlfn.XLOOKUP(TRUE, EXACT(Table2[[#This Row],[orig]], Table4[orig]), Table4[(X)])</f>
        <v>d'</v>
      </c>
      <c r="D29" s="5" t="str" cm="1">
        <f t="array" ref="D29">_xlfn.XLOOKUP(TRUE, EXACT(Table2[[#This Row],[X]], Table9[orig]), Table9[char])</f>
        <v>k</v>
      </c>
      <c r="E29" t="str" cm="1">
        <f t="array" ref="E29">_xlfn.XLOOKUP(TRUE, EXACT(C29, Table4[orig]), Table4[(X)])</f>
        <v>f'</v>
      </c>
      <c r="F29" s="5" t="str" cm="1">
        <f t="array" ref="F29">_xlfn.XLOOKUP(TRUE, EXACT(Table2[[#This Row],[X2]], Table9[orig]), Table9[char])</f>
        <v>q</v>
      </c>
      <c r="G29" t="str" cm="1">
        <f t="array" ref="G29">_xlfn.XLOOKUP(TRUE, EXACT(E29, Table4[orig]), Table4[(X)])</f>
        <v>u'</v>
      </c>
      <c r="H29" s="5" t="str" cm="1">
        <f t="array" ref="H29">_xlfn.XLOOKUP(TRUE, EXACT(Table2[[#This Row],[X'']], Table9[orig]), Table9[char])</f>
        <v>-</v>
      </c>
      <c r="I29" t="str" cm="1">
        <f t="array" ref="I29">_xlfn.XLOOKUP(TRUE, EXACT(A29, Table1[orig]), Table1[(Y)])</f>
        <v>r'</v>
      </c>
      <c r="J29" s="5" t="str" cm="1">
        <f t="array" ref="J29">_xlfn.XLOOKUP(TRUE, EXACT(Table2[[#This Row],[Y]], Table9[orig]), Table9[char])</f>
        <v>a</v>
      </c>
      <c r="K29" t="str" cm="1">
        <f t="array" ref="K29">_xlfn.XLOOKUP(TRUE, EXACT(I29, Table1[orig]), Table1[(Y)])</f>
        <v>f'</v>
      </c>
      <c r="L29" s="5" t="str" cm="1">
        <f t="array" ref="L29">_xlfn.XLOOKUP(TRUE, EXACT(Table2[[#This Row],[Y2]], Table9[orig]), Table9[char])</f>
        <v>q</v>
      </c>
      <c r="M29" t="str" cm="1">
        <f t="array" ref="M29">_xlfn.XLOOKUP(TRUE, EXACT(K29, Table1[orig]), Table1[(Y)])</f>
        <v>l'</v>
      </c>
      <c r="N29" s="5" t="str" cm="1">
        <f t="array" ref="N29">_xlfn.XLOOKUP(TRUE, EXACT(Table2[[#This Row],[Y'']], Table9[orig]), Table9[char])</f>
        <v>g</v>
      </c>
      <c r="O29" t="str" cm="1">
        <f t="array" ref="O29">_xlfn.XLOOKUP(TRUE, EXACT(Table2[[#This Row],[orig]], Table3[orig]), Table3[(Z)])</f>
        <v>b'</v>
      </c>
      <c r="P29" s="5" t="str" cm="1">
        <f t="array" ref="P29">_xlfn.XLOOKUP(TRUE, EXACT(Table2[[#This Row],[Z]], Table9[orig]), Table9[char])</f>
        <v>&amp;</v>
      </c>
      <c r="Q29" t="str" cm="1">
        <f t="array" ref="Q29">_xlfn.XLOOKUP(TRUE, EXACT(O29, Table3[orig]), Table3[(Z)])</f>
        <v>b'</v>
      </c>
      <c r="R29" s="5" t="str" cm="1">
        <f t="array" ref="R29">_xlfn.XLOOKUP(TRUE, EXACT(Table2[[#This Row],[Z2]], Table9[orig]), Table9[char])</f>
        <v>&amp;</v>
      </c>
      <c r="S29" t="str" cm="1">
        <f t="array" ref="S29">_xlfn.XLOOKUP(TRUE, EXACT(Q29, Table3[orig]), Table3[(Z)])</f>
        <v>b'</v>
      </c>
      <c r="T29" s="5" t="str" cm="1">
        <f t="array" ref="T29">_xlfn.XLOOKUP(TRUE, EXACT(Table2[[#This Row],[Z'']], Table9[orig]), Table9[char])</f>
        <v>&amp;</v>
      </c>
      <c r="U29" t="str" cm="1">
        <f t="array" ref="U29">_xlfn.XLOOKUP(TRUE, EXACT(Table2[[#This Row],[orig]], Table5[orig]), Table5[(T-reflection)])</f>
        <v>b</v>
      </c>
      <c r="V29" s="5" t="str" cm="1">
        <f t="array" ref="V29">_xlfn.XLOOKUP(TRUE, EXACT(Table2[[#This Row],[T-reflection]], Table9[orig]), Table9[char])</f>
        <v>b</v>
      </c>
      <c r="W29" t="str" cm="1">
        <f t="array" ref="W29">_xlfn.XLOOKUP(TRUE, EXACT(Table2[[#This Row],[orig]], Table6[orig]), Table6[(H-reflection)])</f>
        <v>b</v>
      </c>
      <c r="X29" s="5" t="str" cm="1">
        <f t="array" ref="X29">_xlfn.XLOOKUP(TRUE, EXACT(Table2[[#This Row],[H-reflection]], Table9[orig]), Table9[char])</f>
        <v>b</v>
      </c>
      <c r="Y29" t="str" cm="1">
        <f t="array" ref="Y29">_xlfn.XLOOKUP(TRUE, EXACT(Table2[[#This Row],[orig]], Table7[orig]), Table7[(S-reflection)])</f>
        <v>f</v>
      </c>
      <c r="Z29" s="5" t="str" cm="1">
        <f t="array" ref="Z29">_xlfn.XLOOKUP(TRUE, EXACT(Table2[[#This Row],[S-reflection]], Table9[orig]), Table9[char])</f>
        <v>f</v>
      </c>
    </row>
    <row r="30" spans="1:26" x14ac:dyDescent="0.2">
      <c r="A30" t="str">
        <f>Tables!E33</f>
        <v>B'</v>
      </c>
      <c r="B30" s="5" t="str" cm="1">
        <f t="array" ref="B30">_xlfn.XLOOKUP(TRUE, EXACT(Table2[[#This Row],[orig]], Table9[orig]), Table9[char])</f>
        <v>@</v>
      </c>
      <c r="C30" t="str" cm="1">
        <f t="array" ref="C30">_xlfn.XLOOKUP(TRUE, EXACT(Table2[[#This Row],[orig]], Table4[orig]), Table4[(X)])</f>
        <v>D'</v>
      </c>
      <c r="D30" s="5" t="str" cm="1">
        <f t="array" ref="D30">_xlfn.XLOOKUP(TRUE, EXACT(Table2[[#This Row],[X]], Table9[orig]), Table9[char])</f>
        <v>%</v>
      </c>
      <c r="E30" t="str" cm="1">
        <f t="array" ref="E30">_xlfn.XLOOKUP(TRUE, EXACT(C30, Table4[orig]), Table4[(X)])</f>
        <v>F'</v>
      </c>
      <c r="F30" s="5" t="str" cm="1">
        <f t="array" ref="F30">_xlfn.XLOOKUP(TRUE, EXACT(Table2[[#This Row],[X2]], Table9[orig]), Table9[char])</f>
        <v>Q</v>
      </c>
      <c r="G30" t="str" cm="1">
        <f t="array" ref="G30">_xlfn.XLOOKUP(TRUE, EXACT(E30, Table4[orig]), Table4[(X)])</f>
        <v>U'</v>
      </c>
      <c r="H30" s="5" t="str" cm="1">
        <f t="array" ref="H30">_xlfn.XLOOKUP(TRUE, EXACT(Table2[[#This Row],[X'']], Table9[orig]), Table9[char])</f>
        <v>.</v>
      </c>
      <c r="I30" t="str" cm="1">
        <f t="array" ref="I30">_xlfn.XLOOKUP(TRUE, EXACT(A30, Table1[orig]), Table1[(Y)])</f>
        <v>R'</v>
      </c>
      <c r="J30" s="5" t="str" cm="1">
        <f t="array" ref="J30">_xlfn.XLOOKUP(TRUE, EXACT(Table2[[#This Row],[Y]], Table9[orig]), Table9[char])</f>
        <v>A</v>
      </c>
      <c r="K30" t="str" cm="1">
        <f t="array" ref="K30">_xlfn.XLOOKUP(TRUE, EXACT(I30, Table1[orig]), Table1[(Y)])</f>
        <v>F'</v>
      </c>
      <c r="L30" s="5" t="str" cm="1">
        <f t="array" ref="L30">_xlfn.XLOOKUP(TRUE, EXACT(Table2[[#This Row],[Y2]], Table9[orig]), Table9[char])</f>
        <v>Q</v>
      </c>
      <c r="M30" t="str" cm="1">
        <f t="array" ref="M30">_xlfn.XLOOKUP(TRUE, EXACT(K30, Table1[orig]), Table1[(Y)])</f>
        <v>L'</v>
      </c>
      <c r="N30" s="5" t="str" cm="1">
        <f t="array" ref="N30">_xlfn.XLOOKUP(TRUE, EXACT(Table2[[#This Row],[Y'']], Table9[orig]), Table9[char])</f>
        <v>G</v>
      </c>
      <c r="O30" t="str" cm="1">
        <f t="array" ref="O30">_xlfn.XLOOKUP(TRUE, EXACT(Table2[[#This Row],[orig]], Table3[orig]), Table3[(Z)])</f>
        <v>B'</v>
      </c>
      <c r="P30" s="5" t="str" cm="1">
        <f t="array" ref="P30">_xlfn.XLOOKUP(TRUE, EXACT(Table2[[#This Row],[Z]], Table9[orig]), Table9[char])</f>
        <v>@</v>
      </c>
      <c r="Q30" t="str" cm="1">
        <f t="array" ref="Q30">_xlfn.XLOOKUP(TRUE, EXACT(O30, Table3[orig]), Table3[(Z)])</f>
        <v>B'</v>
      </c>
      <c r="R30" s="5" t="str" cm="1">
        <f t="array" ref="R30">_xlfn.XLOOKUP(TRUE, EXACT(Table2[[#This Row],[Z2]], Table9[orig]), Table9[char])</f>
        <v>@</v>
      </c>
      <c r="S30" t="str" cm="1">
        <f t="array" ref="S30">_xlfn.XLOOKUP(TRUE, EXACT(Q30, Table3[orig]), Table3[(Z)])</f>
        <v>B'</v>
      </c>
      <c r="T30" s="5" t="str" cm="1">
        <f t="array" ref="T30">_xlfn.XLOOKUP(TRUE, EXACT(Table2[[#This Row],[Z'']], Table9[orig]), Table9[char])</f>
        <v>@</v>
      </c>
      <c r="U30" t="str" cm="1">
        <f t="array" ref="U30">_xlfn.XLOOKUP(TRUE, EXACT(Table2[[#This Row],[orig]], Table5[orig]), Table5[(T-reflection)])</f>
        <v>B</v>
      </c>
      <c r="V30" s="5" t="str" cm="1">
        <f t="array" ref="V30">_xlfn.XLOOKUP(TRUE, EXACT(Table2[[#This Row],[T-reflection]], Table9[orig]), Table9[char])</f>
        <v>B</v>
      </c>
      <c r="W30" t="str" cm="1">
        <f t="array" ref="W30">_xlfn.XLOOKUP(TRUE, EXACT(Table2[[#This Row],[orig]], Table6[orig]), Table6[(H-reflection)])</f>
        <v>B</v>
      </c>
      <c r="X30" s="5" t="str" cm="1">
        <f t="array" ref="X30">_xlfn.XLOOKUP(TRUE, EXACT(Table2[[#This Row],[H-reflection]], Table9[orig]), Table9[char])</f>
        <v>B</v>
      </c>
      <c r="Y30" t="str" cm="1">
        <f t="array" ref="Y30">_xlfn.XLOOKUP(TRUE, EXACT(Table2[[#This Row],[orig]], Table7[orig]), Table7[(S-reflection)])</f>
        <v>F</v>
      </c>
      <c r="Z30" s="5" t="str" cm="1">
        <f t="array" ref="Z30">_xlfn.XLOOKUP(TRUE, EXACT(Table2[[#This Row],[S-reflection]], Table9[orig]), Table9[char])</f>
        <v>F</v>
      </c>
    </row>
    <row r="31" spans="1:26" x14ac:dyDescent="0.2">
      <c r="A31" s="3" t="str">
        <f>Tables!E34</f>
        <v>Z'</v>
      </c>
      <c r="B31" s="8" t="str" cm="1">
        <f t="array" ref="B31">_xlfn.XLOOKUP(TRUE, EXACT(Table2[[#This Row],[orig]], Table9[orig]), Table9[char])</f>
        <v>#</v>
      </c>
      <c r="C31" s="3" t="str" cm="1">
        <f t="array" ref="C31">_xlfn.XLOOKUP(TRUE, EXACT(Table2[[#This Row],[orig]], Table4[orig]), Table4[(X)])</f>
        <v>Y'</v>
      </c>
      <c r="D31" s="8" t="str" cm="1">
        <f t="array" ref="D31">_xlfn.XLOOKUP(TRUE, EXACT(Table2[[#This Row],[X]], Table9[orig]), Table9[char])</f>
        <v>p</v>
      </c>
      <c r="E31" s="3" t="str" cm="1">
        <f t="array" ref="E31">_xlfn.XLOOKUP(TRUE, EXACT(C31, Table4[orig]), Table4[(X)])</f>
        <v>Z</v>
      </c>
      <c r="F31" s="8" t="str" cm="1">
        <f t="array" ref="F31">_xlfn.XLOOKUP(TRUE, EXACT(Table2[[#This Row],[X2]], Table9[orig]), Table9[char])</f>
        <v>Z</v>
      </c>
      <c r="G31" s="3" t="str" cm="1">
        <f t="array" ref="G31">_xlfn.XLOOKUP(TRUE, EXACT(E31, Table4[orig]), Table4[(X)])</f>
        <v>Y</v>
      </c>
      <c r="H31" s="8" t="str" cm="1">
        <f t="array" ref="H31">_xlfn.XLOOKUP(TRUE, EXACT(Table2[[#This Row],[X'']], Table9[orig]), Table9[char])</f>
        <v>Y</v>
      </c>
      <c r="I31" s="3" t="str" cm="1">
        <f t="array" ref="I31">_xlfn.XLOOKUP(TRUE, EXACT(A31, Table1[orig]), Table1[(Y)])</f>
        <v>X</v>
      </c>
      <c r="J31" s="8" t="str" cm="1">
        <f t="array" ref="J31">_xlfn.XLOOKUP(TRUE, EXACT(Table2[[#This Row],[Y]], Table9[orig]), Table9[char])</f>
        <v>X</v>
      </c>
      <c r="K31" s="3" t="str" cm="1">
        <f t="array" ref="K31">_xlfn.XLOOKUP(TRUE, EXACT(I31, Table1[orig]), Table1[(Y)])</f>
        <v>Z</v>
      </c>
      <c r="L31" s="8" t="str" cm="1">
        <f t="array" ref="L31">_xlfn.XLOOKUP(TRUE, EXACT(Table2[[#This Row],[Y2]], Table9[orig]), Table9[char])</f>
        <v>Z</v>
      </c>
      <c r="M31" s="3" t="str" cm="1">
        <f t="array" ref="M31">_xlfn.XLOOKUP(TRUE, EXACT(K31, Table1[orig]), Table1[(Y)])</f>
        <v>X'</v>
      </c>
      <c r="N31" s="8" t="str" cm="1">
        <f t="array" ref="N31">_xlfn.XLOOKUP(TRUE, EXACT(Table2[[#This Row],[Y'']], Table9[orig]), Table9[char])</f>
        <v>!</v>
      </c>
      <c r="O31" s="3" t="str" cm="1">
        <f t="array" ref="O31">_xlfn.XLOOKUP(TRUE, EXACT(Table2[[#This Row],[orig]], Table3[orig]), Table3[(Z)])</f>
        <v>Z'</v>
      </c>
      <c r="P31" s="8" t="str" cm="1">
        <f t="array" ref="P31">_xlfn.XLOOKUP(TRUE, EXACT(Table2[[#This Row],[Z]], Table9[orig]), Table9[char])</f>
        <v>#</v>
      </c>
      <c r="Q31" s="3" t="str" cm="1">
        <f t="array" ref="Q31">_xlfn.XLOOKUP(TRUE, EXACT(O31, Table3[orig]), Table3[(Z)])</f>
        <v>Z'</v>
      </c>
      <c r="R31" s="8" t="str" cm="1">
        <f t="array" ref="R31">_xlfn.XLOOKUP(TRUE, EXACT(Table2[[#This Row],[Z2]], Table9[orig]), Table9[char])</f>
        <v>#</v>
      </c>
      <c r="S31" s="3" t="str" cm="1">
        <f t="array" ref="S31">_xlfn.XLOOKUP(TRUE, EXACT(Q31, Table3[orig]), Table3[(Z)])</f>
        <v>Z'</v>
      </c>
      <c r="T31" s="8" t="str" cm="1">
        <f t="array" ref="T31">_xlfn.XLOOKUP(TRUE, EXACT(Table2[[#This Row],[Z'']], Table9[orig]), Table9[char])</f>
        <v>#</v>
      </c>
      <c r="U31" s="3" t="str" cm="1">
        <f t="array" ref="U31">_xlfn.XLOOKUP(TRUE, EXACT(Table2[[#This Row],[orig]], Table5[orig]), Table5[(T-reflection)])</f>
        <v>Z</v>
      </c>
      <c r="V31" s="8" t="str" cm="1">
        <f t="array" ref="V31">_xlfn.XLOOKUP(TRUE, EXACT(Table2[[#This Row],[T-reflection]], Table9[orig]), Table9[char])</f>
        <v>Z</v>
      </c>
      <c r="W31" s="3" t="str" cm="1">
        <f t="array" ref="W31">_xlfn.XLOOKUP(TRUE, EXACT(Table2[[#This Row],[orig]], Table6[orig]), Table6[(H-reflection)])</f>
        <v>Z</v>
      </c>
      <c r="X31" s="8" t="str" cm="1">
        <f t="array" ref="X31">_xlfn.XLOOKUP(TRUE, EXACT(Table2[[#This Row],[H-reflection]], Table9[orig]), Table9[char])</f>
        <v>Z</v>
      </c>
      <c r="Y31" s="3" t="str" cm="1">
        <f t="array" ref="Y31">_xlfn.XLOOKUP(TRUE, EXACT(Table2[[#This Row],[orig]], Table7[orig]), Table7[(S-reflection)])</f>
        <v>Z'</v>
      </c>
      <c r="Z31" s="5" t="str" cm="1">
        <f t="array" ref="Z31">_xlfn.XLOOKUP(TRUE, EXACT(Table2[[#This Row],[S-reflection]], Table9[orig]), Table9[char])</f>
        <v>#</v>
      </c>
    </row>
    <row r="32" spans="1:26" x14ac:dyDescent="0.2">
      <c r="A32" t="str">
        <f>Tables!E35</f>
        <v>F2</v>
      </c>
      <c r="B32" s="5" t="str" cm="1">
        <f t="array" ref="B32">_xlfn.XLOOKUP(TRUE, EXACT(Table2[[#This Row],[orig]], Table9[orig]), Table9[char])</f>
        <v>$</v>
      </c>
      <c r="C32" t="str" cm="1">
        <f t="array" ref="C32">_xlfn.XLOOKUP(TRUE, EXACT(Table2[[#This Row],[orig]], Table4[orig]), Table4[(X)])</f>
        <v>U2</v>
      </c>
      <c r="D32" s="5" t="str" cm="1">
        <f t="array" ref="D32">_xlfn.XLOOKUP(TRUE, EXACT(Table2[[#This Row],[X]], Table9[orig]), Table9[char])</f>
        <v>\</v>
      </c>
      <c r="E32" t="str" cm="1">
        <f t="array" ref="E32">_xlfn.XLOOKUP(TRUE, EXACT(C32, Table4[orig]), Table4[(X)])</f>
        <v>B2</v>
      </c>
      <c r="F32" s="5" t="str" cm="1">
        <f t="array" ref="F32">_xlfn.XLOOKUP(TRUE, EXACT(Table2[[#This Row],[X2]], Table9[orig]), Table9[char])</f>
        <v>`</v>
      </c>
      <c r="G32" t="str" cm="1">
        <f t="array" ref="G32">_xlfn.XLOOKUP(TRUE, EXACT(E32, Table4[orig]), Table4[(X)])</f>
        <v>D2</v>
      </c>
      <c r="H32" s="5" t="str" cm="1">
        <f t="array" ref="H32">_xlfn.XLOOKUP(TRUE, EXACT(Table2[[#This Row],[X'']], Table9[orig]), Table9[char])</f>
        <v>c</v>
      </c>
      <c r="I32" t="str" cm="1">
        <f t="array" ref="I32">_xlfn.XLOOKUP(TRUE, EXACT(A32, Table1[orig]), Table1[(Y)])</f>
        <v>L2</v>
      </c>
      <c r="J32" s="5" t="str" cm="1">
        <f t="array" ref="J32">_xlfn.XLOOKUP(TRUE, EXACT(Table2[[#This Row],[Y]], Table9[orig]), Table9[char])</f>
        <v>N</v>
      </c>
      <c r="K32" t="str" cm="1">
        <f t="array" ref="K32">_xlfn.XLOOKUP(TRUE, EXACT(I32, Table1[orig]), Table1[(Y)])</f>
        <v>B2</v>
      </c>
      <c r="L32" s="5" t="str" cm="1">
        <f t="array" ref="L32">_xlfn.XLOOKUP(TRUE, EXACT(Table2[[#This Row],[Y2]], Table9[orig]), Table9[char])</f>
        <v>`</v>
      </c>
      <c r="M32" t="str" cm="1">
        <f t="array" ref="M32">_xlfn.XLOOKUP(TRUE, EXACT(K32, Table1[orig]), Table1[(Y)])</f>
        <v>R2</v>
      </c>
      <c r="N32" s="5" t="str" cm="1">
        <f t="array" ref="N32">_xlfn.XLOOKUP(TRUE, EXACT(Table2[[#This Row],[Y'']], Table9[orig]), Table9[char])</f>
        <v>J</v>
      </c>
      <c r="O32" t="str" cm="1">
        <f t="array" ref="O32">_xlfn.XLOOKUP(TRUE, EXACT(Table2[[#This Row],[orig]], Table3[orig]), Table3[(Z)])</f>
        <v>F2</v>
      </c>
      <c r="P32" s="5" t="str" cm="1">
        <f t="array" ref="P32">_xlfn.XLOOKUP(TRUE, EXACT(Table2[[#This Row],[Z]], Table9[orig]), Table9[char])</f>
        <v>$</v>
      </c>
      <c r="Q32" t="str" cm="1">
        <f t="array" ref="Q32">_xlfn.XLOOKUP(TRUE, EXACT(O32, Table3[orig]), Table3[(Z)])</f>
        <v>F2</v>
      </c>
      <c r="R32" s="5" t="str" cm="1">
        <f t="array" ref="R32">_xlfn.XLOOKUP(TRUE, EXACT(Table2[[#This Row],[Z2]], Table9[orig]), Table9[char])</f>
        <v>$</v>
      </c>
      <c r="S32" t="str" cm="1">
        <f t="array" ref="S32">_xlfn.XLOOKUP(TRUE, EXACT(Q32, Table3[orig]), Table3[(Z)])</f>
        <v>F2</v>
      </c>
      <c r="T32" s="5" t="str" cm="1">
        <f t="array" ref="T32">_xlfn.XLOOKUP(TRUE, EXACT(Table2[[#This Row],[Z'']], Table9[orig]), Table9[char])</f>
        <v>$</v>
      </c>
      <c r="U32" t="str" cm="1">
        <f t="array" ref="U32">_xlfn.XLOOKUP(TRUE, EXACT(Table2[[#This Row],[orig]], Table5[orig]), Table5[(T-reflection)])</f>
        <v>F2</v>
      </c>
      <c r="V32" s="5" t="str" cm="1">
        <f t="array" ref="V32">_xlfn.XLOOKUP(TRUE, EXACT(Table2[[#This Row],[T-reflection]], Table9[orig]), Table9[char])</f>
        <v>$</v>
      </c>
      <c r="W32" t="str" cm="1">
        <f t="array" ref="W32">_xlfn.XLOOKUP(TRUE, EXACT(Table2[[#This Row],[orig]], Table6[orig]), Table6[(H-reflection)])</f>
        <v>F2</v>
      </c>
      <c r="X32" s="5" t="str" cm="1">
        <f t="array" ref="X32">_xlfn.XLOOKUP(TRUE, EXACT(Table2[[#This Row],[H-reflection]], Table9[orig]), Table9[char])</f>
        <v>$</v>
      </c>
      <c r="Y32" t="str" cm="1">
        <f t="array" ref="Y32">_xlfn.XLOOKUP(TRUE, EXACT(Table2[[#This Row],[orig]], Table7[orig]), Table7[(S-reflection)])</f>
        <v>B2</v>
      </c>
      <c r="Z32" s="5" t="str" cm="1">
        <f t="array" ref="Z32">_xlfn.XLOOKUP(TRUE, EXACT(Table2[[#This Row],[S-reflection]], Table9[orig]), Table9[char])</f>
        <v>`</v>
      </c>
    </row>
    <row r="33" spans="1:26" x14ac:dyDescent="0.2">
      <c r="A33" t="str">
        <f>Tables!E36</f>
        <v>f2</v>
      </c>
      <c r="B33" s="5" t="str" cm="1">
        <f t="array" ref="B33">_xlfn.XLOOKUP(TRUE, EXACT(Table2[[#This Row],[orig]], Table9[orig]), Table9[char])</f>
        <v>?</v>
      </c>
      <c r="C33" t="str" cm="1">
        <f t="array" ref="C33">_xlfn.XLOOKUP(TRUE, EXACT(Table2[[#This Row],[orig]], Table4[orig]), Table4[(X)])</f>
        <v>u2</v>
      </c>
      <c r="D33" s="5" t="str" cm="1">
        <f t="array" ref="D33">_xlfn.XLOOKUP(TRUE, EXACT(Table2[[#This Row],[X]], Table9[orig]), Table9[char])</f>
        <v>v</v>
      </c>
      <c r="E33" t="str" cm="1">
        <f t="array" ref="E33">_xlfn.XLOOKUP(TRUE, EXACT(C33, Table4[orig]), Table4[(X)])</f>
        <v>b2</v>
      </c>
      <c r="F33" s="5" t="str" cm="1">
        <f t="array" ref="F33">_xlfn.XLOOKUP(TRUE, EXACT(Table2[[#This Row],[X2]], Table9[orig]), Table9[char])</f>
        <v>~</v>
      </c>
      <c r="G33" t="str" cm="1">
        <f t="array" ref="G33">_xlfn.XLOOKUP(TRUE, EXACT(E33, Table4[orig]), Table4[(X)])</f>
        <v>d2</v>
      </c>
      <c r="H33" s="5" t="str" cm="1">
        <f t="array" ref="H33">_xlfn.XLOOKUP(TRUE, EXACT(Table2[[#This Row],[X'']], Table9[orig]), Table9[char])</f>
        <v>_</v>
      </c>
      <c r="I33" t="str" cm="1">
        <f t="array" ref="I33">_xlfn.XLOOKUP(TRUE, EXACT(A33, Table1[orig]), Table1[(Y)])</f>
        <v>l2</v>
      </c>
      <c r="J33" s="5" t="str" cm="1">
        <f t="array" ref="J33">_xlfn.XLOOKUP(TRUE, EXACT(Table2[[#This Row],[Y]], Table9[orig]), Table9[char])</f>
        <v>n</v>
      </c>
      <c r="K33" t="str" cm="1">
        <f t="array" ref="K33">_xlfn.XLOOKUP(TRUE, EXACT(I33, Table1[orig]), Table1[(Y)])</f>
        <v>b2</v>
      </c>
      <c r="L33" s="5" t="str" cm="1">
        <f t="array" ref="L33">_xlfn.XLOOKUP(TRUE, EXACT(Table2[[#This Row],[Y2]], Table9[orig]), Table9[char])</f>
        <v>~</v>
      </c>
      <c r="M33" t="str" cm="1">
        <f t="array" ref="M33">_xlfn.XLOOKUP(TRUE, EXACT(K33, Table1[orig]), Table1[(Y)])</f>
        <v>r2</v>
      </c>
      <c r="N33" s="5" t="str" cm="1">
        <f t="array" ref="N33">_xlfn.XLOOKUP(TRUE, EXACT(Table2[[#This Row],[Y'']], Table9[orig]), Table9[char])</f>
        <v>j</v>
      </c>
      <c r="O33" t="str" cm="1">
        <f t="array" ref="O33">_xlfn.XLOOKUP(TRUE, EXACT(Table2[[#This Row],[orig]], Table3[orig]), Table3[(Z)])</f>
        <v>f2</v>
      </c>
      <c r="P33" s="5" t="str" cm="1">
        <f t="array" ref="P33">_xlfn.XLOOKUP(TRUE, EXACT(Table2[[#This Row],[Z]], Table9[orig]), Table9[char])</f>
        <v>?</v>
      </c>
      <c r="Q33" t="str" cm="1">
        <f t="array" ref="Q33">_xlfn.XLOOKUP(TRUE, EXACT(O33, Table3[orig]), Table3[(Z)])</f>
        <v>f2</v>
      </c>
      <c r="R33" s="5" t="str" cm="1">
        <f t="array" ref="R33">_xlfn.XLOOKUP(TRUE, EXACT(Table2[[#This Row],[Z2]], Table9[orig]), Table9[char])</f>
        <v>?</v>
      </c>
      <c r="S33" t="str" cm="1">
        <f t="array" ref="S33">_xlfn.XLOOKUP(TRUE, EXACT(Q33, Table3[orig]), Table3[(Z)])</f>
        <v>f2</v>
      </c>
      <c r="T33" s="5" t="str" cm="1">
        <f t="array" ref="T33">_xlfn.XLOOKUP(TRUE, EXACT(Table2[[#This Row],[Z'']], Table9[orig]), Table9[char])</f>
        <v>?</v>
      </c>
      <c r="U33" t="str" cm="1">
        <f t="array" ref="U33">_xlfn.XLOOKUP(TRUE, EXACT(Table2[[#This Row],[orig]], Table5[orig]), Table5[(T-reflection)])</f>
        <v>f2</v>
      </c>
      <c r="V33" s="5" t="str" cm="1">
        <f t="array" ref="V33">_xlfn.XLOOKUP(TRUE, EXACT(Table2[[#This Row],[T-reflection]], Table9[orig]), Table9[char])</f>
        <v>?</v>
      </c>
      <c r="W33" t="str" cm="1">
        <f t="array" ref="W33">_xlfn.XLOOKUP(TRUE, EXACT(Table2[[#This Row],[orig]], Table6[orig]), Table6[(H-reflection)])</f>
        <v>f2</v>
      </c>
      <c r="X33" s="5" t="str" cm="1">
        <f t="array" ref="X33">_xlfn.XLOOKUP(TRUE, EXACT(Table2[[#This Row],[H-reflection]], Table9[orig]), Table9[char])</f>
        <v>?</v>
      </c>
      <c r="Y33" t="str" cm="1">
        <f t="array" ref="Y33">_xlfn.XLOOKUP(TRUE, EXACT(Table2[[#This Row],[orig]], Table7[orig]), Table7[(S-reflection)])</f>
        <v>b2</v>
      </c>
      <c r="Z33" s="5" t="str" cm="1">
        <f t="array" ref="Z33">_xlfn.XLOOKUP(TRUE, EXACT(Table2[[#This Row],[S-reflection]], Table9[orig]), Table9[char])</f>
        <v>~</v>
      </c>
    </row>
    <row r="34" spans="1:26" x14ac:dyDescent="0.2">
      <c r="A34" t="str">
        <f>Tables!E37</f>
        <v>S2</v>
      </c>
      <c r="B34" s="5" t="str" cm="1">
        <f t="array" ref="B34">_xlfn.XLOOKUP(TRUE, EXACT(Table2[[#This Row],[orig]], Table9[orig]), Table9[char])</f>
        <v>^</v>
      </c>
      <c r="C34" t="str" cm="1">
        <f t="array" ref="C34">_xlfn.XLOOKUP(TRUE, EXACT(Table2[[#This Row],[orig]], Table4[orig]), Table4[(X)])</f>
        <v>H2</v>
      </c>
      <c r="D34" s="5" t="str" cm="1">
        <f t="array" ref="D34">_xlfn.XLOOKUP(TRUE, EXACT(Table2[[#This Row],[X]], Table9[orig]), Table9[char])</f>
        <v>/</v>
      </c>
      <c r="E34" t="str" cm="1">
        <f t="array" ref="E34">_xlfn.XLOOKUP(TRUE, EXACT(C34, Table4[orig]), Table4[(X)])</f>
        <v>S2</v>
      </c>
      <c r="F34" s="5" t="str" cm="1">
        <f t="array" ref="F34">_xlfn.XLOOKUP(TRUE, EXACT(Table2[[#This Row],[X2]], Table9[orig]), Table9[char])</f>
        <v>^</v>
      </c>
      <c r="G34" t="str" cm="1">
        <f t="array" ref="G34">_xlfn.XLOOKUP(TRUE, EXACT(E34, Table4[orig]), Table4[(X)])</f>
        <v>H2</v>
      </c>
      <c r="H34" s="5" t="str" cm="1">
        <f t="array" ref="H34">_xlfn.XLOOKUP(TRUE, EXACT(Table2[[#This Row],[X'']], Table9[orig]), Table9[char])</f>
        <v>/</v>
      </c>
      <c r="I34" t="str" cm="1">
        <f t="array" ref="I34">_xlfn.XLOOKUP(TRUE, EXACT(A34, Table1[orig]), Table1[(Y)])</f>
        <v>T2</v>
      </c>
      <c r="J34" s="5" t="str" cm="1">
        <f t="array" ref="J34">_xlfn.XLOOKUP(TRUE, EXACT(Table2[[#This Row],[Y]], Table9[orig]), Table9[char])</f>
        <v>K</v>
      </c>
      <c r="K34" t="str" cm="1">
        <f t="array" ref="K34">_xlfn.XLOOKUP(TRUE, EXACT(I34, Table1[orig]), Table1[(Y)])</f>
        <v>S2</v>
      </c>
      <c r="L34" s="5" t="str" cm="1">
        <f t="array" ref="L34">_xlfn.XLOOKUP(TRUE, EXACT(Table2[[#This Row],[Y2]], Table9[orig]), Table9[char])</f>
        <v>^</v>
      </c>
      <c r="M34" t="str" cm="1">
        <f t="array" ref="M34">_xlfn.XLOOKUP(TRUE, EXACT(K34, Table1[orig]), Table1[(Y)])</f>
        <v>T2</v>
      </c>
      <c r="N34" s="5" t="str" cm="1">
        <f t="array" ref="N34">_xlfn.XLOOKUP(TRUE, EXACT(Table2[[#This Row],[Y'']], Table9[orig]), Table9[char])</f>
        <v>K</v>
      </c>
      <c r="O34" t="str" cm="1">
        <f t="array" ref="O34">_xlfn.XLOOKUP(TRUE, EXACT(Table2[[#This Row],[orig]], Table3[orig]), Table3[(Z)])</f>
        <v>S2</v>
      </c>
      <c r="P34" s="5" t="str" cm="1">
        <f t="array" ref="P34">_xlfn.XLOOKUP(TRUE, EXACT(Table2[[#This Row],[Z]], Table9[orig]), Table9[char])</f>
        <v>^</v>
      </c>
      <c r="Q34" t="str" cm="1">
        <f t="array" ref="Q34">_xlfn.XLOOKUP(TRUE, EXACT(O34, Table3[orig]), Table3[(Z)])</f>
        <v>S2</v>
      </c>
      <c r="R34" s="5" t="str" cm="1">
        <f t="array" ref="R34">_xlfn.XLOOKUP(TRUE, EXACT(Table2[[#This Row],[Z2]], Table9[orig]), Table9[char])</f>
        <v>^</v>
      </c>
      <c r="S34" t="str" cm="1">
        <f t="array" ref="S34">_xlfn.XLOOKUP(TRUE, EXACT(Q34, Table3[orig]), Table3[(Z)])</f>
        <v>S2</v>
      </c>
      <c r="T34" s="5" t="str" cm="1">
        <f t="array" ref="T34">_xlfn.XLOOKUP(TRUE, EXACT(Table2[[#This Row],[Z'']], Table9[orig]), Table9[char])</f>
        <v>^</v>
      </c>
      <c r="U34" t="str" cm="1">
        <f t="array" ref="U34">_xlfn.XLOOKUP(TRUE, EXACT(Table2[[#This Row],[orig]], Table5[orig]), Table5[(T-reflection)])</f>
        <v>S2</v>
      </c>
      <c r="V34" s="5" t="str" cm="1">
        <f t="array" ref="V34">_xlfn.XLOOKUP(TRUE, EXACT(Table2[[#This Row],[T-reflection]], Table9[orig]), Table9[char])</f>
        <v>^</v>
      </c>
      <c r="W34" t="str" cm="1">
        <f t="array" ref="W34">_xlfn.XLOOKUP(TRUE, EXACT(Table2[[#This Row],[orig]], Table6[orig]), Table6[(H-reflection)])</f>
        <v>S2</v>
      </c>
      <c r="X34" s="5" t="str" cm="1">
        <f t="array" ref="X34">_xlfn.XLOOKUP(TRUE, EXACT(Table2[[#This Row],[H-reflection]], Table9[orig]), Table9[char])</f>
        <v>^</v>
      </c>
      <c r="Y34" t="str" cm="1">
        <f t="array" ref="Y34">_xlfn.XLOOKUP(TRUE, EXACT(Table2[[#This Row],[orig]], Table7[orig]), Table7[(S-reflection)])</f>
        <v>S2</v>
      </c>
      <c r="Z34" s="5" t="str" cm="1">
        <f t="array" ref="Z34">_xlfn.XLOOKUP(TRUE, EXACT(Table2[[#This Row],[S-reflection]], Table9[orig]), Table9[char])</f>
        <v>^</v>
      </c>
    </row>
    <row r="35" spans="1:26" x14ac:dyDescent="0.2">
      <c r="A35" t="str">
        <f>Tables!E38</f>
        <v>b2</v>
      </c>
      <c r="B35" s="5" t="str" cm="1">
        <f t="array" ref="B35">_xlfn.XLOOKUP(TRUE, EXACT(Table2[[#This Row],[orig]], Table9[orig]), Table9[char])</f>
        <v>~</v>
      </c>
      <c r="C35" t="str" cm="1">
        <f t="array" ref="C35">_xlfn.XLOOKUP(TRUE, EXACT(Table2[[#This Row],[orig]], Table4[orig]), Table4[(X)])</f>
        <v>d2</v>
      </c>
      <c r="D35" s="5" t="str" cm="1">
        <f t="array" ref="D35">_xlfn.XLOOKUP(TRUE, EXACT(Table2[[#This Row],[X]], Table9[orig]), Table9[char])</f>
        <v>_</v>
      </c>
      <c r="E35" t="str" cm="1">
        <f t="array" ref="E35">_xlfn.XLOOKUP(TRUE, EXACT(C35, Table4[orig]), Table4[(X)])</f>
        <v>f2</v>
      </c>
      <c r="F35" s="5" t="str" cm="1">
        <f t="array" ref="F35">_xlfn.XLOOKUP(TRUE, EXACT(Table2[[#This Row],[X2]], Table9[orig]), Table9[char])</f>
        <v>?</v>
      </c>
      <c r="G35" t="str" cm="1">
        <f t="array" ref="G35">_xlfn.XLOOKUP(TRUE, EXACT(E35, Table4[orig]), Table4[(X)])</f>
        <v>u2</v>
      </c>
      <c r="H35" s="5" t="str" cm="1">
        <f t="array" ref="H35">_xlfn.XLOOKUP(TRUE, EXACT(Table2[[#This Row],[X'']], Table9[orig]), Table9[char])</f>
        <v>v</v>
      </c>
      <c r="I35" t="str" cm="1">
        <f t="array" ref="I35">_xlfn.XLOOKUP(TRUE, EXACT(A35, Table1[orig]), Table1[(Y)])</f>
        <v>r2</v>
      </c>
      <c r="J35" s="5" t="str" cm="1">
        <f t="array" ref="J35">_xlfn.XLOOKUP(TRUE, EXACT(Table2[[#This Row],[Y]], Table9[orig]), Table9[char])</f>
        <v>j</v>
      </c>
      <c r="K35" t="str" cm="1">
        <f t="array" ref="K35">_xlfn.XLOOKUP(TRUE, EXACT(I35, Table1[orig]), Table1[(Y)])</f>
        <v>f2</v>
      </c>
      <c r="L35" s="5" t="str" cm="1">
        <f t="array" ref="L35">_xlfn.XLOOKUP(TRUE, EXACT(Table2[[#This Row],[Y2]], Table9[orig]), Table9[char])</f>
        <v>?</v>
      </c>
      <c r="M35" t="str" cm="1">
        <f t="array" ref="M35">_xlfn.XLOOKUP(TRUE, EXACT(K35, Table1[orig]), Table1[(Y)])</f>
        <v>l2</v>
      </c>
      <c r="N35" s="5" t="str" cm="1">
        <f t="array" ref="N35">_xlfn.XLOOKUP(TRUE, EXACT(Table2[[#This Row],[Y'']], Table9[orig]), Table9[char])</f>
        <v>n</v>
      </c>
      <c r="O35" t="str" cm="1">
        <f t="array" ref="O35">_xlfn.XLOOKUP(TRUE, EXACT(Table2[[#This Row],[orig]], Table3[orig]), Table3[(Z)])</f>
        <v>b2</v>
      </c>
      <c r="P35" s="5" t="str" cm="1">
        <f t="array" ref="P35">_xlfn.XLOOKUP(TRUE, EXACT(Table2[[#This Row],[Z]], Table9[orig]), Table9[char])</f>
        <v>~</v>
      </c>
      <c r="Q35" t="str" cm="1">
        <f t="array" ref="Q35">_xlfn.XLOOKUP(TRUE, EXACT(O35, Table3[orig]), Table3[(Z)])</f>
        <v>b2</v>
      </c>
      <c r="R35" s="5" t="str" cm="1">
        <f t="array" ref="R35">_xlfn.XLOOKUP(TRUE, EXACT(Table2[[#This Row],[Z2]], Table9[orig]), Table9[char])</f>
        <v>~</v>
      </c>
      <c r="S35" t="str" cm="1">
        <f t="array" ref="S35">_xlfn.XLOOKUP(TRUE, EXACT(Q35, Table3[orig]), Table3[(Z)])</f>
        <v>b2</v>
      </c>
      <c r="T35" s="5" t="str" cm="1">
        <f t="array" ref="T35">_xlfn.XLOOKUP(TRUE, EXACT(Table2[[#This Row],[Z'']], Table9[orig]), Table9[char])</f>
        <v>~</v>
      </c>
      <c r="U35" t="str" cm="1">
        <f t="array" ref="U35">_xlfn.XLOOKUP(TRUE, EXACT(Table2[[#This Row],[orig]], Table5[orig]), Table5[(T-reflection)])</f>
        <v>b2</v>
      </c>
      <c r="V35" s="5" t="str" cm="1">
        <f t="array" ref="V35">_xlfn.XLOOKUP(TRUE, EXACT(Table2[[#This Row],[T-reflection]], Table9[orig]), Table9[char])</f>
        <v>~</v>
      </c>
      <c r="W35" t="str" cm="1">
        <f t="array" ref="W35">_xlfn.XLOOKUP(TRUE, EXACT(Table2[[#This Row],[orig]], Table6[orig]), Table6[(H-reflection)])</f>
        <v>b2</v>
      </c>
      <c r="X35" s="5" t="str" cm="1">
        <f t="array" ref="X35">_xlfn.XLOOKUP(TRUE, EXACT(Table2[[#This Row],[H-reflection]], Table9[orig]), Table9[char])</f>
        <v>~</v>
      </c>
      <c r="Y35" t="str" cm="1">
        <f t="array" ref="Y35">_xlfn.XLOOKUP(TRUE, EXACT(Table2[[#This Row],[orig]], Table7[orig]), Table7[(S-reflection)])</f>
        <v>f2</v>
      </c>
      <c r="Z35" s="5" t="str" cm="1">
        <f t="array" ref="Z35">_xlfn.XLOOKUP(TRUE, EXACT(Table2[[#This Row],[S-reflection]], Table9[orig]), Table9[char])</f>
        <v>?</v>
      </c>
    </row>
    <row r="36" spans="1:26" x14ac:dyDescent="0.2">
      <c r="A36" t="str">
        <f>Tables!E39</f>
        <v>B2</v>
      </c>
      <c r="B36" s="5" t="str" cm="1">
        <f t="array" ref="B36">_xlfn.XLOOKUP(TRUE, EXACT(Table2[[#This Row],[orig]], Table9[orig]), Table9[char])</f>
        <v>`</v>
      </c>
      <c r="C36" t="str" cm="1">
        <f t="array" ref="C36">_xlfn.XLOOKUP(TRUE, EXACT(Table2[[#This Row],[orig]], Table4[orig]), Table4[(X)])</f>
        <v>D2</v>
      </c>
      <c r="D36" s="5" t="str" cm="1">
        <f t="array" ref="D36">_xlfn.XLOOKUP(TRUE, EXACT(Table2[[#This Row],[X]], Table9[orig]), Table9[char])</f>
        <v>c</v>
      </c>
      <c r="E36" t="str" cm="1">
        <f t="array" ref="E36">_xlfn.XLOOKUP(TRUE, EXACT(C36, Table4[orig]), Table4[(X)])</f>
        <v>F2</v>
      </c>
      <c r="F36" s="5" t="str" cm="1">
        <f t="array" ref="F36">_xlfn.XLOOKUP(TRUE, EXACT(Table2[[#This Row],[X2]], Table9[orig]), Table9[char])</f>
        <v>$</v>
      </c>
      <c r="G36" t="str" cm="1">
        <f t="array" ref="G36">_xlfn.XLOOKUP(TRUE, EXACT(E36, Table4[orig]), Table4[(X)])</f>
        <v>U2</v>
      </c>
      <c r="H36" s="5" t="str" cm="1">
        <f t="array" ref="H36">_xlfn.XLOOKUP(TRUE, EXACT(Table2[[#This Row],[X'']], Table9[orig]), Table9[char])</f>
        <v>\</v>
      </c>
      <c r="I36" t="str" cm="1">
        <f t="array" ref="I36">_xlfn.XLOOKUP(TRUE, EXACT(A36, Table1[orig]), Table1[(Y)])</f>
        <v>R2</v>
      </c>
      <c r="J36" s="5" t="str" cm="1">
        <f t="array" ref="J36">_xlfn.XLOOKUP(TRUE, EXACT(Table2[[#This Row],[Y]], Table9[orig]), Table9[char])</f>
        <v>J</v>
      </c>
      <c r="K36" t="str" cm="1">
        <f t="array" ref="K36">_xlfn.XLOOKUP(TRUE, EXACT(I36, Table1[orig]), Table1[(Y)])</f>
        <v>F2</v>
      </c>
      <c r="L36" s="5" t="str" cm="1">
        <f t="array" ref="L36">_xlfn.XLOOKUP(TRUE, EXACT(Table2[[#This Row],[Y2]], Table9[orig]), Table9[char])</f>
        <v>$</v>
      </c>
      <c r="M36" t="str" cm="1">
        <f t="array" ref="M36">_xlfn.XLOOKUP(TRUE, EXACT(K36, Table1[orig]), Table1[(Y)])</f>
        <v>L2</v>
      </c>
      <c r="N36" s="5" t="str" cm="1">
        <f t="array" ref="N36">_xlfn.XLOOKUP(TRUE, EXACT(Table2[[#This Row],[Y'']], Table9[orig]), Table9[char])</f>
        <v>N</v>
      </c>
      <c r="O36" t="str" cm="1">
        <f t="array" ref="O36">_xlfn.XLOOKUP(TRUE, EXACT(Table2[[#This Row],[orig]], Table3[orig]), Table3[(Z)])</f>
        <v>B2</v>
      </c>
      <c r="P36" s="5" t="str" cm="1">
        <f t="array" ref="P36">_xlfn.XLOOKUP(TRUE, EXACT(Table2[[#This Row],[Z]], Table9[orig]), Table9[char])</f>
        <v>`</v>
      </c>
      <c r="Q36" t="str" cm="1">
        <f t="array" ref="Q36">_xlfn.XLOOKUP(TRUE, EXACT(O36, Table3[orig]), Table3[(Z)])</f>
        <v>B2</v>
      </c>
      <c r="R36" s="5" t="str" cm="1">
        <f t="array" ref="R36">_xlfn.XLOOKUP(TRUE, EXACT(Table2[[#This Row],[Z2]], Table9[orig]), Table9[char])</f>
        <v>`</v>
      </c>
      <c r="S36" t="str" cm="1">
        <f t="array" ref="S36">_xlfn.XLOOKUP(TRUE, EXACT(Q36, Table3[orig]), Table3[(Z)])</f>
        <v>B2</v>
      </c>
      <c r="T36" s="5" t="str" cm="1">
        <f t="array" ref="T36">_xlfn.XLOOKUP(TRUE, EXACT(Table2[[#This Row],[Z'']], Table9[orig]), Table9[char])</f>
        <v>`</v>
      </c>
      <c r="U36" t="str" cm="1">
        <f t="array" ref="U36">_xlfn.XLOOKUP(TRUE, EXACT(Table2[[#This Row],[orig]], Table5[orig]), Table5[(T-reflection)])</f>
        <v>B2</v>
      </c>
      <c r="V36" s="5" t="str" cm="1">
        <f t="array" ref="V36">_xlfn.XLOOKUP(TRUE, EXACT(Table2[[#This Row],[T-reflection]], Table9[orig]), Table9[char])</f>
        <v>`</v>
      </c>
      <c r="W36" t="str" cm="1">
        <f t="array" ref="W36">_xlfn.XLOOKUP(TRUE, EXACT(Table2[[#This Row],[orig]], Table6[orig]), Table6[(H-reflection)])</f>
        <v>B2</v>
      </c>
      <c r="X36" s="5" t="str" cm="1">
        <f t="array" ref="X36">_xlfn.XLOOKUP(TRUE, EXACT(Table2[[#This Row],[H-reflection]], Table9[orig]), Table9[char])</f>
        <v>`</v>
      </c>
      <c r="Y36" t="str" cm="1">
        <f t="array" ref="Y36">_xlfn.XLOOKUP(TRUE, EXACT(Table2[[#This Row],[orig]], Table7[orig]), Table7[(S-reflection)])</f>
        <v>F2</v>
      </c>
      <c r="Z36" s="5" t="str" cm="1">
        <f t="array" ref="Z36">_xlfn.XLOOKUP(TRUE, EXACT(Table2[[#This Row],[S-reflection]], Table9[orig]), Table9[char])</f>
        <v>$</v>
      </c>
    </row>
    <row r="37" spans="1:26" x14ac:dyDescent="0.2">
      <c r="A37" s="3" t="str">
        <f>Tables!E40</f>
        <v>Z2</v>
      </c>
      <c r="B37" s="8" t="str" cm="1">
        <f t="array" ref="B37">_xlfn.XLOOKUP(TRUE, EXACT(Table2[[#This Row],[orig]], Table9[orig]), Table9[char])</f>
        <v>=</v>
      </c>
      <c r="C37" s="3" t="str" cm="1">
        <f t="array" ref="C37">_xlfn.XLOOKUP(TRUE, EXACT(Table2[[#This Row],[orig]], Table4[orig]), Table4[(X)])</f>
        <v>Y2</v>
      </c>
      <c r="D37" s="8" t="str" cm="1">
        <f t="array" ref="D37">_xlfn.XLOOKUP(TRUE, EXACT(Table2[[#This Row],[X]], Table9[orig]), Table9[char])</f>
        <v>I</v>
      </c>
      <c r="E37" s="3" t="str" cm="1">
        <f t="array" ref="E37">_xlfn.XLOOKUP(TRUE, EXACT(C37, Table4[orig]), Table4[(X)])</f>
        <v>Z2</v>
      </c>
      <c r="F37" s="8" t="str" cm="1">
        <f t="array" ref="F37">_xlfn.XLOOKUP(TRUE, EXACT(Table2[[#This Row],[X2]], Table9[orig]), Table9[char])</f>
        <v>=</v>
      </c>
      <c r="G37" s="3" t="str" cm="1">
        <f t="array" ref="G37">_xlfn.XLOOKUP(TRUE, EXACT(E37, Table4[orig]), Table4[(X)])</f>
        <v>Y2</v>
      </c>
      <c r="H37" s="8" t="str" cm="1">
        <f t="array" ref="H37">_xlfn.XLOOKUP(TRUE, EXACT(Table2[[#This Row],[X'']], Table9[orig]), Table9[char])</f>
        <v>I</v>
      </c>
      <c r="I37" s="3" t="str" cm="1">
        <f t="array" ref="I37">_xlfn.XLOOKUP(TRUE, EXACT(A37, Table1[orig]), Table1[(Y)])</f>
        <v>X2</v>
      </c>
      <c r="J37" s="8" t="str" cm="1">
        <f t="array" ref="J37">_xlfn.XLOOKUP(TRUE, EXACT(Table2[[#This Row],[Y]], Table9[orig]), Table9[char])</f>
        <v>P</v>
      </c>
      <c r="K37" s="3" t="str" cm="1">
        <f t="array" ref="K37">_xlfn.XLOOKUP(TRUE, EXACT(I37, Table1[orig]), Table1[(Y)])</f>
        <v>Z2</v>
      </c>
      <c r="L37" s="8" t="str" cm="1">
        <f t="array" ref="L37">_xlfn.XLOOKUP(TRUE, EXACT(Table2[[#This Row],[Y2]], Table9[orig]), Table9[char])</f>
        <v>=</v>
      </c>
      <c r="M37" s="3" t="str" cm="1">
        <f t="array" ref="M37">_xlfn.XLOOKUP(TRUE, EXACT(K37, Table1[orig]), Table1[(Y)])</f>
        <v>X2</v>
      </c>
      <c r="N37" s="8" t="str" cm="1">
        <f t="array" ref="N37">_xlfn.XLOOKUP(TRUE, EXACT(Table2[[#This Row],[Y'']], Table9[orig]), Table9[char])</f>
        <v>P</v>
      </c>
      <c r="O37" s="3" t="str" cm="1">
        <f t="array" ref="O37">_xlfn.XLOOKUP(TRUE, EXACT(Table2[[#This Row],[orig]], Table3[orig]), Table3[(Z)])</f>
        <v>Z2</v>
      </c>
      <c r="P37" s="8" t="str" cm="1">
        <f t="array" ref="P37">_xlfn.XLOOKUP(TRUE, EXACT(Table2[[#This Row],[Z]], Table9[orig]), Table9[char])</f>
        <v>=</v>
      </c>
      <c r="Q37" s="3" t="str" cm="1">
        <f t="array" ref="Q37">_xlfn.XLOOKUP(TRUE, EXACT(O37, Table3[orig]), Table3[(Z)])</f>
        <v>Z2</v>
      </c>
      <c r="R37" s="8" t="str" cm="1">
        <f t="array" ref="R37">_xlfn.XLOOKUP(TRUE, EXACT(Table2[[#This Row],[Z2]], Table9[orig]), Table9[char])</f>
        <v>=</v>
      </c>
      <c r="S37" s="3" t="str" cm="1">
        <f t="array" ref="S37">_xlfn.XLOOKUP(TRUE, EXACT(Q37, Table3[orig]), Table3[(Z)])</f>
        <v>Z2</v>
      </c>
      <c r="T37" s="8" t="str" cm="1">
        <f t="array" ref="T37">_xlfn.XLOOKUP(TRUE, EXACT(Table2[[#This Row],[Z'']], Table9[orig]), Table9[char])</f>
        <v>=</v>
      </c>
      <c r="U37" s="3" t="str" cm="1">
        <f t="array" ref="U37">_xlfn.XLOOKUP(TRUE, EXACT(Table2[[#This Row],[orig]], Table5[orig]), Table5[(T-reflection)])</f>
        <v>Z2</v>
      </c>
      <c r="V37" s="8" t="str" cm="1">
        <f t="array" ref="V37">_xlfn.XLOOKUP(TRUE, EXACT(Table2[[#This Row],[T-reflection]], Table9[orig]), Table9[char])</f>
        <v>=</v>
      </c>
      <c r="W37" s="3" t="str" cm="1">
        <f t="array" ref="W37">_xlfn.XLOOKUP(TRUE, EXACT(Table2[[#This Row],[orig]], Table6[orig]), Table6[(H-reflection)])</f>
        <v>Z2</v>
      </c>
      <c r="X37" s="8" t="str" cm="1">
        <f t="array" ref="X37">_xlfn.XLOOKUP(TRUE, EXACT(Table2[[#This Row],[H-reflection]], Table9[orig]), Table9[char])</f>
        <v>=</v>
      </c>
      <c r="Y37" s="3" t="str" cm="1">
        <f t="array" ref="Y37">_xlfn.XLOOKUP(TRUE, EXACT(Table2[[#This Row],[orig]], Table7[orig]), Table7[(S-reflection)])</f>
        <v>Z2</v>
      </c>
      <c r="Z37" s="5" t="str" cm="1">
        <f t="array" ref="Z37">_xlfn.XLOOKUP(TRUE, EXACT(Table2[[#This Row],[S-reflection]], Table9[orig]), Table9[char])</f>
        <v>=</v>
      </c>
    </row>
    <row r="38" spans="1:26" x14ac:dyDescent="0.2">
      <c r="A38" t="str">
        <f>Tables!E41</f>
        <v>U</v>
      </c>
      <c r="B38" s="5" t="str" cm="1">
        <f t="array" ref="B38">_xlfn.XLOOKUP(TRUE, EXACT(Table2[[#This Row],[orig]], Table9[orig]), Table9[char])</f>
        <v>U</v>
      </c>
      <c r="C38" t="str" cm="1">
        <f t="array" ref="C38">_xlfn.XLOOKUP(TRUE, EXACT(Table2[[#This Row],[orig]], Table4[orig]), Table4[(X)])</f>
        <v>B</v>
      </c>
      <c r="D38" s="5" t="str" cm="1">
        <f t="array" ref="D38">_xlfn.XLOOKUP(TRUE, EXACT(Table2[[#This Row],[X]], Table9[orig]), Table9[char])</f>
        <v>B</v>
      </c>
      <c r="E38" t="str" cm="1">
        <f t="array" ref="E38">_xlfn.XLOOKUP(TRUE, EXACT(C38, Table4[orig]), Table4[(X)])</f>
        <v>D</v>
      </c>
      <c r="F38" s="5" t="str" cm="1">
        <f t="array" ref="F38">_xlfn.XLOOKUP(TRUE, EXACT(Table2[[#This Row],[X2]], Table9[orig]), Table9[char])</f>
        <v>D</v>
      </c>
      <c r="G38" t="str" cm="1">
        <f t="array" ref="G38">_xlfn.XLOOKUP(TRUE, EXACT(E38, Table4[orig]), Table4[(X)])</f>
        <v>F</v>
      </c>
      <c r="H38" s="5" t="str" cm="1">
        <f t="array" ref="H38">_xlfn.XLOOKUP(TRUE, EXACT(Table2[[#This Row],[X'']], Table9[orig]), Table9[char])</f>
        <v>F</v>
      </c>
      <c r="I38" t="str" cm="1">
        <f t="array" ref="I38">_xlfn.XLOOKUP(TRUE, EXACT(A38, Table1[orig]), Table1[(Y)])</f>
        <v>U</v>
      </c>
      <c r="J38" s="5" t="str" cm="1">
        <f t="array" ref="J38">_xlfn.XLOOKUP(TRUE, EXACT(Table2[[#This Row],[Y]], Table9[orig]), Table9[char])</f>
        <v>U</v>
      </c>
      <c r="K38" t="str" cm="1">
        <f t="array" ref="K38">_xlfn.XLOOKUP(TRUE, EXACT(I38, Table1[orig]), Table1[(Y)])</f>
        <v>U</v>
      </c>
      <c r="L38" s="5" t="str" cm="1">
        <f t="array" ref="L38">_xlfn.XLOOKUP(TRUE, EXACT(Table2[[#This Row],[Y2]], Table9[orig]), Table9[char])</f>
        <v>U</v>
      </c>
      <c r="M38" t="str" cm="1">
        <f t="array" ref="M38">_xlfn.XLOOKUP(TRUE, EXACT(K38, Table1[orig]), Table1[(Y)])</f>
        <v>U</v>
      </c>
      <c r="N38" s="5" t="str" cm="1">
        <f t="array" ref="N38">_xlfn.XLOOKUP(TRUE, EXACT(Table2[[#This Row],[Y'']], Table9[orig]), Table9[char])</f>
        <v>U</v>
      </c>
      <c r="O38" t="str" cm="1">
        <f t="array" ref="O38">_xlfn.XLOOKUP(TRUE, EXACT(Table2[[#This Row],[orig]], Table3[orig]), Table3[(Z)])</f>
        <v>R</v>
      </c>
      <c r="P38" s="5" t="str" cm="1">
        <f t="array" ref="P38">_xlfn.XLOOKUP(TRUE, EXACT(Table2[[#This Row],[Z]], Table9[orig]), Table9[char])</f>
        <v>R</v>
      </c>
      <c r="Q38" t="str" cm="1">
        <f t="array" ref="Q38">_xlfn.XLOOKUP(TRUE, EXACT(O38, Table3[orig]), Table3[(Z)])</f>
        <v>D</v>
      </c>
      <c r="R38" s="5" t="str" cm="1">
        <f t="array" ref="R38">_xlfn.XLOOKUP(TRUE, EXACT(Table2[[#This Row],[Z2]], Table9[orig]), Table9[char])</f>
        <v>D</v>
      </c>
      <c r="S38" t="str" cm="1">
        <f t="array" ref="S38">_xlfn.XLOOKUP(TRUE, EXACT(Q38, Table3[orig]), Table3[(Z)])</f>
        <v>L</v>
      </c>
      <c r="T38" s="5" t="str" cm="1">
        <f t="array" ref="T38">_xlfn.XLOOKUP(TRUE, EXACT(Table2[[#This Row],[Z'']], Table9[orig]), Table9[char])</f>
        <v>L</v>
      </c>
      <c r="U38" t="str" cm="1">
        <f t="array" ref="U38">_xlfn.XLOOKUP(TRUE, EXACT(Table2[[#This Row],[orig]], Table5[orig]), Table5[(T-reflection)])</f>
        <v>U'</v>
      </c>
      <c r="V38" s="5" t="str" cm="1">
        <f t="array" ref="V38">_xlfn.XLOOKUP(TRUE, EXACT(Table2[[#This Row],[T-reflection]], Table9[orig]), Table9[char])</f>
        <v>.</v>
      </c>
      <c r="W38" t="str" cm="1">
        <f t="array" ref="W38">_xlfn.XLOOKUP(TRUE, EXACT(Table2[[#This Row],[orig]], Table6[orig]), Table6[(H-reflection)])</f>
        <v>D'</v>
      </c>
      <c r="X38" s="5" t="str" cm="1">
        <f t="array" ref="X38">_xlfn.XLOOKUP(TRUE, EXACT(Table2[[#This Row],[H-reflection]], Table9[orig]), Table9[char])</f>
        <v>%</v>
      </c>
      <c r="Y38" t="str" cm="1">
        <f t="array" ref="Y38">_xlfn.XLOOKUP(TRUE, EXACT(Table2[[#This Row],[orig]], Table7[orig]), Table7[(S-reflection)])</f>
        <v>U'</v>
      </c>
      <c r="Z38" s="5" t="str" cm="1">
        <f t="array" ref="Z38">_xlfn.XLOOKUP(TRUE, EXACT(Table2[[#This Row],[S-reflection]], Table9[orig]), Table9[char])</f>
        <v>.</v>
      </c>
    </row>
    <row r="39" spans="1:26" x14ac:dyDescent="0.2">
      <c r="A39" t="str">
        <f>Tables!E42</f>
        <v>u</v>
      </c>
      <c r="B39" s="5" t="str" cm="1">
        <f t="array" ref="B39">_xlfn.XLOOKUP(TRUE, EXACT(Table2[[#This Row],[orig]], Table9[orig]), Table9[char])</f>
        <v>u</v>
      </c>
      <c r="C39" t="str" cm="1">
        <f t="array" ref="C39">_xlfn.XLOOKUP(TRUE, EXACT(Table2[[#This Row],[orig]], Table4[orig]), Table4[(X)])</f>
        <v>b</v>
      </c>
      <c r="D39" s="5" t="str" cm="1">
        <f t="array" ref="D39">_xlfn.XLOOKUP(TRUE, EXACT(Table2[[#This Row],[X]], Table9[orig]), Table9[char])</f>
        <v>b</v>
      </c>
      <c r="E39" t="str" cm="1">
        <f t="array" ref="E39">_xlfn.XLOOKUP(TRUE, EXACT(C39, Table4[orig]), Table4[(X)])</f>
        <v>d</v>
      </c>
      <c r="F39" s="5" t="str" cm="1">
        <f t="array" ref="F39">_xlfn.XLOOKUP(TRUE, EXACT(Table2[[#This Row],[X2]], Table9[orig]), Table9[char])</f>
        <v>d</v>
      </c>
      <c r="G39" t="str" cm="1">
        <f t="array" ref="G39">_xlfn.XLOOKUP(TRUE, EXACT(E39, Table4[orig]), Table4[(X)])</f>
        <v>f</v>
      </c>
      <c r="H39" s="5" t="str" cm="1">
        <f t="array" ref="H39">_xlfn.XLOOKUP(TRUE, EXACT(Table2[[#This Row],[X'']], Table9[orig]), Table9[char])</f>
        <v>f</v>
      </c>
      <c r="I39" t="str" cm="1">
        <f t="array" ref="I39">_xlfn.XLOOKUP(TRUE, EXACT(A39, Table1[orig]), Table1[(Y)])</f>
        <v>u</v>
      </c>
      <c r="J39" s="5" t="str" cm="1">
        <f t="array" ref="J39">_xlfn.XLOOKUP(TRUE, EXACT(Table2[[#This Row],[Y]], Table9[orig]), Table9[char])</f>
        <v>u</v>
      </c>
      <c r="K39" t="str" cm="1">
        <f t="array" ref="K39">_xlfn.XLOOKUP(TRUE, EXACT(I39, Table1[orig]), Table1[(Y)])</f>
        <v>u</v>
      </c>
      <c r="L39" s="5" t="str" cm="1">
        <f t="array" ref="L39">_xlfn.XLOOKUP(TRUE, EXACT(Table2[[#This Row],[Y2]], Table9[orig]), Table9[char])</f>
        <v>u</v>
      </c>
      <c r="M39" t="str" cm="1">
        <f t="array" ref="M39">_xlfn.XLOOKUP(TRUE, EXACT(K39, Table1[orig]), Table1[(Y)])</f>
        <v>u</v>
      </c>
      <c r="N39" s="5" t="str" cm="1">
        <f t="array" ref="N39">_xlfn.XLOOKUP(TRUE, EXACT(Table2[[#This Row],[Y'']], Table9[orig]), Table9[char])</f>
        <v>u</v>
      </c>
      <c r="O39" t="str" cm="1">
        <f t="array" ref="O39">_xlfn.XLOOKUP(TRUE, EXACT(Table2[[#This Row],[orig]], Table3[orig]), Table3[(Z)])</f>
        <v>r</v>
      </c>
      <c r="P39" s="5" t="str" cm="1">
        <f t="array" ref="P39">_xlfn.XLOOKUP(TRUE, EXACT(Table2[[#This Row],[Z]], Table9[orig]), Table9[char])</f>
        <v>r</v>
      </c>
      <c r="Q39" t="str" cm="1">
        <f t="array" ref="Q39">_xlfn.XLOOKUP(TRUE, EXACT(O39, Table3[orig]), Table3[(Z)])</f>
        <v>d</v>
      </c>
      <c r="R39" s="5" t="str" cm="1">
        <f t="array" ref="R39">_xlfn.XLOOKUP(TRUE, EXACT(Table2[[#This Row],[Z2]], Table9[orig]), Table9[char])</f>
        <v>d</v>
      </c>
      <c r="S39" t="str" cm="1">
        <f t="array" ref="S39">_xlfn.XLOOKUP(TRUE, EXACT(Q39, Table3[orig]), Table3[(Z)])</f>
        <v>l</v>
      </c>
      <c r="T39" s="5" t="str" cm="1">
        <f t="array" ref="T39">_xlfn.XLOOKUP(TRUE, EXACT(Table2[[#This Row],[Z'']], Table9[orig]), Table9[char])</f>
        <v>l</v>
      </c>
      <c r="U39" t="str" cm="1">
        <f t="array" ref="U39">_xlfn.XLOOKUP(TRUE, EXACT(Table2[[#This Row],[orig]], Table5[orig]), Table5[(T-reflection)])</f>
        <v>u'</v>
      </c>
      <c r="V39" s="5" t="str" cm="1">
        <f t="array" ref="V39">_xlfn.XLOOKUP(TRUE, EXACT(Table2[[#This Row],[T-reflection]], Table9[orig]), Table9[char])</f>
        <v>-</v>
      </c>
      <c r="W39" t="str" cm="1">
        <f t="array" ref="W39">_xlfn.XLOOKUP(TRUE, EXACT(Table2[[#This Row],[orig]], Table6[orig]), Table6[(H-reflection)])</f>
        <v>d'</v>
      </c>
      <c r="X39" s="5" t="str" cm="1">
        <f t="array" ref="X39">_xlfn.XLOOKUP(TRUE, EXACT(Table2[[#This Row],[H-reflection]], Table9[orig]), Table9[char])</f>
        <v>k</v>
      </c>
      <c r="Y39" t="str" cm="1">
        <f t="array" ref="Y39">_xlfn.XLOOKUP(TRUE, EXACT(Table2[[#This Row],[orig]], Table7[orig]), Table7[(S-reflection)])</f>
        <v>u'</v>
      </c>
      <c r="Z39" s="5" t="str" cm="1">
        <f t="array" ref="Z39">_xlfn.XLOOKUP(TRUE, EXACT(Table2[[#This Row],[S-reflection]], Table9[orig]), Table9[char])</f>
        <v>-</v>
      </c>
    </row>
    <row r="40" spans="1:26" x14ac:dyDescent="0.2">
      <c r="A40" t="str">
        <f>Tables!E43</f>
        <v>H</v>
      </c>
      <c r="B40" s="5" t="str" cm="1">
        <f t="array" ref="B40">_xlfn.XLOOKUP(TRUE, EXACT(Table2[[#This Row],[orig]], Table9[orig]), Table9[char])</f>
        <v>H</v>
      </c>
      <c r="C40" t="str" cm="1">
        <f t="array" ref="C40">_xlfn.XLOOKUP(TRUE, EXACT(Table2[[#This Row],[orig]], Table4[orig]), Table4[(X)])</f>
        <v>S'</v>
      </c>
      <c r="D40" s="5" t="str" cm="1">
        <f t="array" ref="D40">_xlfn.XLOOKUP(TRUE, EXACT(Table2[[#This Row],[X]], Table9[orig]), Table9[char])</f>
        <v>V</v>
      </c>
      <c r="E40" t="str" cm="1">
        <f t="array" ref="E40">_xlfn.XLOOKUP(TRUE, EXACT(C40, Table4[orig]), Table4[(X)])</f>
        <v>H'</v>
      </c>
      <c r="F40" s="5" t="str" cm="1">
        <f t="array" ref="F40">_xlfn.XLOOKUP(TRUE, EXACT(Table2[[#This Row],[X2]], Table9[orig]), Table9[char])</f>
        <v>+</v>
      </c>
      <c r="G40" t="str" cm="1">
        <f t="array" ref="G40">_xlfn.XLOOKUP(TRUE, EXACT(E40, Table4[orig]), Table4[(X)])</f>
        <v>S</v>
      </c>
      <c r="H40" s="5" t="str" cm="1">
        <f t="array" ref="H40">_xlfn.XLOOKUP(TRUE, EXACT(Table2[[#This Row],[X'']], Table9[orig]), Table9[char])</f>
        <v>S</v>
      </c>
      <c r="I40" t="str" cm="1">
        <f t="array" ref="I40">_xlfn.XLOOKUP(TRUE, EXACT(A40, Table1[orig]), Table1[(Y)])</f>
        <v>H</v>
      </c>
      <c r="J40" s="5" t="str" cm="1">
        <f t="array" ref="J40">_xlfn.XLOOKUP(TRUE, EXACT(Table2[[#This Row],[Y]], Table9[orig]), Table9[char])</f>
        <v>H</v>
      </c>
      <c r="K40" t="str" cm="1">
        <f t="array" ref="K40">_xlfn.XLOOKUP(TRUE, EXACT(I40, Table1[orig]), Table1[(Y)])</f>
        <v>H</v>
      </c>
      <c r="L40" s="5" t="str" cm="1">
        <f t="array" ref="L40">_xlfn.XLOOKUP(TRUE, EXACT(Table2[[#This Row],[Y2]], Table9[orig]), Table9[char])</f>
        <v>H</v>
      </c>
      <c r="M40" t="str" cm="1">
        <f t="array" ref="M40">_xlfn.XLOOKUP(TRUE, EXACT(K40, Table1[orig]), Table1[(Y)])</f>
        <v>H</v>
      </c>
      <c r="N40" s="5" t="str" cm="1">
        <f t="array" ref="N40">_xlfn.XLOOKUP(TRUE, EXACT(Table2[[#This Row],[Y'']], Table9[orig]), Table9[char])</f>
        <v>H</v>
      </c>
      <c r="O40" t="str" cm="1">
        <f t="array" ref="O40">_xlfn.XLOOKUP(TRUE, EXACT(Table2[[#This Row],[orig]], Table3[orig]), Table3[(Z)])</f>
        <v>T</v>
      </c>
      <c r="P40" s="5" t="str" cm="1">
        <f t="array" ref="P40">_xlfn.XLOOKUP(TRUE, EXACT(Table2[[#This Row],[Z]], Table9[orig]), Table9[char])</f>
        <v>T</v>
      </c>
      <c r="Q40" t="str" cm="1">
        <f t="array" ref="Q40">_xlfn.XLOOKUP(TRUE, EXACT(O40, Table3[orig]), Table3[(Z)])</f>
        <v>H'</v>
      </c>
      <c r="R40" s="5" t="str" cm="1">
        <f t="array" ref="R40">_xlfn.XLOOKUP(TRUE, EXACT(Table2[[#This Row],[Z2]], Table9[orig]), Table9[char])</f>
        <v>+</v>
      </c>
      <c r="S40" t="str" cm="1">
        <f t="array" ref="S40">_xlfn.XLOOKUP(TRUE, EXACT(Q40, Table3[orig]), Table3[(Z)])</f>
        <v>T'</v>
      </c>
      <c r="T40" s="5" t="str" cm="1">
        <f t="array" ref="T40">_xlfn.XLOOKUP(TRUE, EXACT(Table2[[#This Row],[Z'']], Table9[orig]), Table9[char])</f>
        <v>C</v>
      </c>
      <c r="U40" t="str" cm="1">
        <f t="array" ref="U40">_xlfn.XLOOKUP(TRUE, EXACT(Table2[[#This Row],[orig]], Table5[orig]), Table5[(T-reflection)])</f>
        <v>H'</v>
      </c>
      <c r="V40" s="5" t="str" cm="1">
        <f t="array" ref="V40">_xlfn.XLOOKUP(TRUE, EXACT(Table2[[#This Row],[T-reflection]], Table9[orig]), Table9[char])</f>
        <v>+</v>
      </c>
      <c r="W40" t="str" cm="1">
        <f t="array" ref="W40">_xlfn.XLOOKUP(TRUE, EXACT(Table2[[#This Row],[orig]], Table6[orig]), Table6[(H-reflection)])</f>
        <v>H</v>
      </c>
      <c r="X40" s="5" t="str" cm="1">
        <f t="array" ref="X40">_xlfn.XLOOKUP(TRUE, EXACT(Table2[[#This Row],[H-reflection]], Table9[orig]), Table9[char])</f>
        <v>H</v>
      </c>
      <c r="Y40" t="str" cm="1">
        <f t="array" ref="Y40">_xlfn.XLOOKUP(TRUE, EXACT(Table2[[#This Row],[orig]], Table7[orig]), Table7[(S-reflection)])</f>
        <v>H'</v>
      </c>
      <c r="Z40" s="5" t="str" cm="1">
        <f t="array" ref="Z40">_xlfn.XLOOKUP(TRUE, EXACT(Table2[[#This Row],[S-reflection]], Table9[orig]), Table9[char])</f>
        <v>+</v>
      </c>
    </row>
    <row r="41" spans="1:26" x14ac:dyDescent="0.2">
      <c r="A41" t="str">
        <f>Tables!E44</f>
        <v>d</v>
      </c>
      <c r="B41" s="5" t="str" cm="1">
        <f t="array" ref="B41">_xlfn.XLOOKUP(TRUE, EXACT(Table2[[#This Row],[orig]], Table9[orig]), Table9[char])</f>
        <v>d</v>
      </c>
      <c r="C41" t="str" cm="1">
        <f t="array" ref="C41">_xlfn.XLOOKUP(TRUE, EXACT(Table2[[#This Row],[orig]], Table4[orig]), Table4[(X)])</f>
        <v>f</v>
      </c>
      <c r="D41" s="5" t="str" cm="1">
        <f t="array" ref="D41">_xlfn.XLOOKUP(TRUE, EXACT(Table2[[#This Row],[X]], Table9[orig]), Table9[char])</f>
        <v>f</v>
      </c>
      <c r="E41" t="str" cm="1">
        <f t="array" ref="E41">_xlfn.XLOOKUP(TRUE, EXACT(C41, Table4[orig]), Table4[(X)])</f>
        <v>u</v>
      </c>
      <c r="F41" s="5" t="str" cm="1">
        <f t="array" ref="F41">_xlfn.XLOOKUP(TRUE, EXACT(Table2[[#This Row],[X2]], Table9[orig]), Table9[char])</f>
        <v>u</v>
      </c>
      <c r="G41" t="str" cm="1">
        <f t="array" ref="G41">_xlfn.XLOOKUP(TRUE, EXACT(E41, Table4[orig]), Table4[(X)])</f>
        <v>b</v>
      </c>
      <c r="H41" s="5" t="str" cm="1">
        <f t="array" ref="H41">_xlfn.XLOOKUP(TRUE, EXACT(Table2[[#This Row],[X'']], Table9[orig]), Table9[char])</f>
        <v>b</v>
      </c>
      <c r="I41" t="str" cm="1">
        <f t="array" ref="I41">_xlfn.XLOOKUP(TRUE, EXACT(A41, Table1[orig]), Table1[(Y)])</f>
        <v>d</v>
      </c>
      <c r="J41" s="5" t="str" cm="1">
        <f t="array" ref="J41">_xlfn.XLOOKUP(TRUE, EXACT(Table2[[#This Row],[Y]], Table9[orig]), Table9[char])</f>
        <v>d</v>
      </c>
      <c r="K41" t="str" cm="1">
        <f t="array" ref="K41">_xlfn.XLOOKUP(TRUE, EXACT(I41, Table1[orig]), Table1[(Y)])</f>
        <v>d</v>
      </c>
      <c r="L41" s="5" t="str" cm="1">
        <f t="array" ref="L41">_xlfn.XLOOKUP(TRUE, EXACT(Table2[[#This Row],[Y2]], Table9[orig]), Table9[char])</f>
        <v>d</v>
      </c>
      <c r="M41" t="str" cm="1">
        <f t="array" ref="M41">_xlfn.XLOOKUP(TRUE, EXACT(K41, Table1[orig]), Table1[(Y)])</f>
        <v>d</v>
      </c>
      <c r="N41" s="5" t="str" cm="1">
        <f t="array" ref="N41">_xlfn.XLOOKUP(TRUE, EXACT(Table2[[#This Row],[Y'']], Table9[orig]), Table9[char])</f>
        <v>d</v>
      </c>
      <c r="O41" t="str" cm="1">
        <f t="array" ref="O41">_xlfn.XLOOKUP(TRUE, EXACT(Table2[[#This Row],[orig]], Table3[orig]), Table3[(Z)])</f>
        <v>l</v>
      </c>
      <c r="P41" s="5" t="str" cm="1">
        <f t="array" ref="P41">_xlfn.XLOOKUP(TRUE, EXACT(Table2[[#This Row],[Z]], Table9[orig]), Table9[char])</f>
        <v>l</v>
      </c>
      <c r="Q41" t="str" cm="1">
        <f t="array" ref="Q41">_xlfn.XLOOKUP(TRUE, EXACT(O41, Table3[orig]), Table3[(Z)])</f>
        <v>u</v>
      </c>
      <c r="R41" s="5" t="str" cm="1">
        <f t="array" ref="R41">_xlfn.XLOOKUP(TRUE, EXACT(Table2[[#This Row],[Z2]], Table9[orig]), Table9[char])</f>
        <v>u</v>
      </c>
      <c r="S41" t="str" cm="1">
        <f t="array" ref="S41">_xlfn.XLOOKUP(TRUE, EXACT(Q41, Table3[orig]), Table3[(Z)])</f>
        <v>r</v>
      </c>
      <c r="T41" s="5" t="str" cm="1">
        <f t="array" ref="T41">_xlfn.XLOOKUP(TRUE, EXACT(Table2[[#This Row],[Z'']], Table9[orig]), Table9[char])</f>
        <v>r</v>
      </c>
      <c r="U41" t="str" cm="1">
        <f t="array" ref="U41">_xlfn.XLOOKUP(TRUE, EXACT(Table2[[#This Row],[orig]], Table5[orig]), Table5[(T-reflection)])</f>
        <v>d'</v>
      </c>
      <c r="V41" s="5" t="str" cm="1">
        <f t="array" ref="V41">_xlfn.XLOOKUP(TRUE, EXACT(Table2[[#This Row],[T-reflection]], Table9[orig]), Table9[char])</f>
        <v>k</v>
      </c>
      <c r="W41" t="str" cm="1">
        <f t="array" ref="W41">_xlfn.XLOOKUP(TRUE, EXACT(Table2[[#This Row],[orig]], Table6[orig]), Table6[(H-reflection)])</f>
        <v>u'</v>
      </c>
      <c r="X41" s="5" t="str" cm="1">
        <f t="array" ref="X41">_xlfn.XLOOKUP(TRUE, EXACT(Table2[[#This Row],[H-reflection]], Table9[orig]), Table9[char])</f>
        <v>-</v>
      </c>
      <c r="Y41" t="str" cm="1">
        <f t="array" ref="Y41">_xlfn.XLOOKUP(TRUE, EXACT(Table2[[#This Row],[orig]], Table7[orig]), Table7[(S-reflection)])</f>
        <v>d'</v>
      </c>
      <c r="Z41" s="5" t="str" cm="1">
        <f t="array" ref="Z41">_xlfn.XLOOKUP(TRUE, EXACT(Table2[[#This Row],[S-reflection]], Table9[orig]), Table9[char])</f>
        <v>k</v>
      </c>
    </row>
    <row r="42" spans="1:26" x14ac:dyDescent="0.2">
      <c r="A42" t="str">
        <f>Tables!E45</f>
        <v>D</v>
      </c>
      <c r="B42" s="5" t="str" cm="1">
        <f t="array" ref="B42">_xlfn.XLOOKUP(TRUE, EXACT(Table2[[#This Row],[orig]], Table9[orig]), Table9[char])</f>
        <v>D</v>
      </c>
      <c r="C42" t="str" cm="1">
        <f t="array" ref="C42">_xlfn.XLOOKUP(TRUE, EXACT(Table2[[#This Row],[orig]], Table4[orig]), Table4[(X)])</f>
        <v>F</v>
      </c>
      <c r="D42" s="5" t="str" cm="1">
        <f t="array" ref="D42">_xlfn.XLOOKUP(TRUE, EXACT(Table2[[#This Row],[X]], Table9[orig]), Table9[char])</f>
        <v>F</v>
      </c>
      <c r="E42" t="str" cm="1">
        <f t="array" ref="E42">_xlfn.XLOOKUP(TRUE, EXACT(C42, Table4[orig]), Table4[(X)])</f>
        <v>U</v>
      </c>
      <c r="F42" s="5" t="str" cm="1">
        <f t="array" ref="F42">_xlfn.XLOOKUP(TRUE, EXACT(Table2[[#This Row],[X2]], Table9[orig]), Table9[char])</f>
        <v>U</v>
      </c>
      <c r="G42" t="str" cm="1">
        <f t="array" ref="G42">_xlfn.XLOOKUP(TRUE, EXACT(E42, Table4[orig]), Table4[(X)])</f>
        <v>B</v>
      </c>
      <c r="H42" s="5" t="str" cm="1">
        <f t="array" ref="H42">_xlfn.XLOOKUP(TRUE, EXACT(Table2[[#This Row],[X'']], Table9[orig]), Table9[char])</f>
        <v>B</v>
      </c>
      <c r="I42" t="str" cm="1">
        <f t="array" ref="I42">_xlfn.XLOOKUP(TRUE, EXACT(A42, Table1[orig]), Table1[(Y)])</f>
        <v>D</v>
      </c>
      <c r="J42" s="5" t="str" cm="1">
        <f t="array" ref="J42">_xlfn.XLOOKUP(TRUE, EXACT(Table2[[#This Row],[Y]], Table9[orig]), Table9[char])</f>
        <v>D</v>
      </c>
      <c r="K42" t="str" cm="1">
        <f t="array" ref="K42">_xlfn.XLOOKUP(TRUE, EXACT(I42, Table1[orig]), Table1[(Y)])</f>
        <v>D</v>
      </c>
      <c r="L42" s="5" t="str" cm="1">
        <f t="array" ref="L42">_xlfn.XLOOKUP(TRUE, EXACT(Table2[[#This Row],[Y2]], Table9[orig]), Table9[char])</f>
        <v>D</v>
      </c>
      <c r="M42" t="str" cm="1">
        <f t="array" ref="M42">_xlfn.XLOOKUP(TRUE, EXACT(K42, Table1[orig]), Table1[(Y)])</f>
        <v>D</v>
      </c>
      <c r="N42" s="5" t="str" cm="1">
        <f t="array" ref="N42">_xlfn.XLOOKUP(TRUE, EXACT(Table2[[#This Row],[Y'']], Table9[orig]), Table9[char])</f>
        <v>D</v>
      </c>
      <c r="O42" t="str" cm="1">
        <f t="array" ref="O42">_xlfn.XLOOKUP(TRUE, EXACT(Table2[[#This Row],[orig]], Table3[orig]), Table3[(Z)])</f>
        <v>L</v>
      </c>
      <c r="P42" s="5" t="str" cm="1">
        <f t="array" ref="P42">_xlfn.XLOOKUP(TRUE, EXACT(Table2[[#This Row],[Z]], Table9[orig]), Table9[char])</f>
        <v>L</v>
      </c>
      <c r="Q42" t="str" cm="1">
        <f t="array" ref="Q42">_xlfn.XLOOKUP(TRUE, EXACT(O42, Table3[orig]), Table3[(Z)])</f>
        <v>U</v>
      </c>
      <c r="R42" s="5" t="str" cm="1">
        <f t="array" ref="R42">_xlfn.XLOOKUP(TRUE, EXACT(Table2[[#This Row],[Z2]], Table9[orig]), Table9[char])</f>
        <v>U</v>
      </c>
      <c r="S42" t="str" cm="1">
        <f t="array" ref="S42">_xlfn.XLOOKUP(TRUE, EXACT(Q42, Table3[orig]), Table3[(Z)])</f>
        <v>R</v>
      </c>
      <c r="T42" s="5" t="str" cm="1">
        <f t="array" ref="T42">_xlfn.XLOOKUP(TRUE, EXACT(Table2[[#This Row],[Z'']], Table9[orig]), Table9[char])</f>
        <v>R</v>
      </c>
      <c r="U42" t="str" cm="1">
        <f t="array" ref="U42">_xlfn.XLOOKUP(TRUE, EXACT(Table2[[#This Row],[orig]], Table5[orig]), Table5[(T-reflection)])</f>
        <v>D'</v>
      </c>
      <c r="V42" s="5" t="str" cm="1">
        <f t="array" ref="V42">_xlfn.XLOOKUP(TRUE, EXACT(Table2[[#This Row],[T-reflection]], Table9[orig]), Table9[char])</f>
        <v>%</v>
      </c>
      <c r="W42" t="str" cm="1">
        <f t="array" ref="W42">_xlfn.XLOOKUP(TRUE, EXACT(Table2[[#This Row],[orig]], Table6[orig]), Table6[(H-reflection)])</f>
        <v>U'</v>
      </c>
      <c r="X42" s="5" t="str" cm="1">
        <f t="array" ref="X42">_xlfn.XLOOKUP(TRUE, EXACT(Table2[[#This Row],[H-reflection]], Table9[orig]), Table9[char])</f>
        <v>.</v>
      </c>
      <c r="Y42" t="str" cm="1">
        <f t="array" ref="Y42">_xlfn.XLOOKUP(TRUE, EXACT(Table2[[#This Row],[orig]], Table7[orig]), Table7[(S-reflection)])</f>
        <v>D'</v>
      </c>
      <c r="Z42" s="5" t="str" cm="1">
        <f t="array" ref="Z42">_xlfn.XLOOKUP(TRUE, EXACT(Table2[[#This Row],[S-reflection]], Table9[orig]), Table9[char])</f>
        <v>%</v>
      </c>
    </row>
    <row r="43" spans="1:26" x14ac:dyDescent="0.2">
      <c r="A43" s="3" t="str">
        <f>Tables!E46</f>
        <v>Y</v>
      </c>
      <c r="B43" s="8" t="str" cm="1">
        <f t="array" ref="B43">_xlfn.XLOOKUP(TRUE, EXACT(Table2[[#This Row],[orig]], Table9[orig]), Table9[char])</f>
        <v>Y</v>
      </c>
      <c r="C43" s="3" t="str" cm="1">
        <f t="array" ref="C43">_xlfn.XLOOKUP(TRUE, EXACT(Table2[[#This Row],[orig]], Table4[orig]), Table4[(X)])</f>
        <v>Z'</v>
      </c>
      <c r="D43" s="8" t="str" cm="1">
        <f t="array" ref="D43">_xlfn.XLOOKUP(TRUE, EXACT(Table2[[#This Row],[X]], Table9[orig]), Table9[char])</f>
        <v>#</v>
      </c>
      <c r="E43" s="3" t="str" cm="1">
        <f t="array" ref="E43">_xlfn.XLOOKUP(TRUE, EXACT(C43, Table4[orig]), Table4[(X)])</f>
        <v>Y'</v>
      </c>
      <c r="F43" s="8" t="str" cm="1">
        <f t="array" ref="F43">_xlfn.XLOOKUP(TRUE, EXACT(Table2[[#This Row],[X2]], Table9[orig]), Table9[char])</f>
        <v>p</v>
      </c>
      <c r="G43" s="3" t="str" cm="1">
        <f t="array" ref="G43">_xlfn.XLOOKUP(TRUE, EXACT(E43, Table4[orig]), Table4[(X)])</f>
        <v>Z</v>
      </c>
      <c r="H43" s="8" t="str" cm="1">
        <f t="array" ref="H43">_xlfn.XLOOKUP(TRUE, EXACT(Table2[[#This Row],[X'']], Table9[orig]), Table9[char])</f>
        <v>Z</v>
      </c>
      <c r="I43" s="3" t="str" cm="1">
        <f t="array" ref="I43">_xlfn.XLOOKUP(TRUE, EXACT(A43, Table1[orig]), Table1[(Y)])</f>
        <v>Y</v>
      </c>
      <c r="J43" s="8" t="str" cm="1">
        <f t="array" ref="J43">_xlfn.XLOOKUP(TRUE, EXACT(Table2[[#This Row],[Y]], Table9[orig]), Table9[char])</f>
        <v>Y</v>
      </c>
      <c r="K43" s="3" t="str" cm="1">
        <f t="array" ref="K43">_xlfn.XLOOKUP(TRUE, EXACT(I43, Table1[orig]), Table1[(Y)])</f>
        <v>Y</v>
      </c>
      <c r="L43" s="8" t="str" cm="1">
        <f t="array" ref="L43">_xlfn.XLOOKUP(TRUE, EXACT(Table2[[#This Row],[Y2]], Table9[orig]), Table9[char])</f>
        <v>Y</v>
      </c>
      <c r="M43" s="3" t="str" cm="1">
        <f t="array" ref="M43">_xlfn.XLOOKUP(TRUE, EXACT(K43, Table1[orig]), Table1[(Y)])</f>
        <v>Y</v>
      </c>
      <c r="N43" s="8" t="str" cm="1">
        <f t="array" ref="N43">_xlfn.XLOOKUP(TRUE, EXACT(Table2[[#This Row],[Y'']], Table9[orig]), Table9[char])</f>
        <v>Y</v>
      </c>
      <c r="O43" s="3" t="str" cm="1">
        <f t="array" ref="O43">_xlfn.XLOOKUP(TRUE, EXACT(Table2[[#This Row],[orig]], Table3[orig]), Table3[(Z)])</f>
        <v>X</v>
      </c>
      <c r="P43" s="8" t="str" cm="1">
        <f t="array" ref="P43">_xlfn.XLOOKUP(TRUE, EXACT(Table2[[#This Row],[Z]], Table9[orig]), Table9[char])</f>
        <v>X</v>
      </c>
      <c r="Q43" s="3" t="str" cm="1">
        <f t="array" ref="Q43">_xlfn.XLOOKUP(TRUE, EXACT(O43, Table3[orig]), Table3[(Z)])</f>
        <v>Y'</v>
      </c>
      <c r="R43" s="8" t="str" cm="1">
        <f t="array" ref="R43">_xlfn.XLOOKUP(TRUE, EXACT(Table2[[#This Row],[Z2]], Table9[orig]), Table9[char])</f>
        <v>p</v>
      </c>
      <c r="S43" s="3" t="str" cm="1">
        <f t="array" ref="S43">_xlfn.XLOOKUP(TRUE, EXACT(Q43, Table3[orig]), Table3[(Z)])</f>
        <v>X'</v>
      </c>
      <c r="T43" s="8" t="str" cm="1">
        <f t="array" ref="T43">_xlfn.XLOOKUP(TRUE, EXACT(Table2[[#This Row],[Z'']], Table9[orig]), Table9[char])</f>
        <v>!</v>
      </c>
      <c r="U43" s="3" t="str" cm="1">
        <f t="array" ref="U43">_xlfn.XLOOKUP(TRUE, EXACT(Table2[[#This Row],[orig]], Table5[orig]), Table5[(T-reflection)])</f>
        <v>Y'</v>
      </c>
      <c r="V43" s="8" t="str" cm="1">
        <f t="array" ref="V43">_xlfn.XLOOKUP(TRUE, EXACT(Table2[[#This Row],[T-reflection]], Table9[orig]), Table9[char])</f>
        <v>p</v>
      </c>
      <c r="W43" s="3" t="str" cm="1">
        <f t="array" ref="W43">_xlfn.XLOOKUP(TRUE, EXACT(Table2[[#This Row],[orig]], Table6[orig]), Table6[(H-reflection)])</f>
        <v>Y</v>
      </c>
      <c r="X43" s="8" t="str" cm="1">
        <f t="array" ref="X43">_xlfn.XLOOKUP(TRUE, EXACT(Table2[[#This Row],[H-reflection]], Table9[orig]), Table9[char])</f>
        <v>Y</v>
      </c>
      <c r="Y43" s="3" t="str" cm="1">
        <f t="array" ref="Y43">_xlfn.XLOOKUP(TRUE, EXACT(Table2[[#This Row],[orig]], Table7[orig]), Table7[(S-reflection)])</f>
        <v>Y'</v>
      </c>
      <c r="Z43" s="5" t="str" cm="1">
        <f t="array" ref="Z43">_xlfn.XLOOKUP(TRUE, EXACT(Table2[[#This Row],[S-reflection]], Table9[orig]), Table9[char])</f>
        <v>p</v>
      </c>
    </row>
    <row r="44" spans="1:26" x14ac:dyDescent="0.2">
      <c r="A44" t="str">
        <f>Tables!E47</f>
        <v>U'</v>
      </c>
      <c r="B44" s="5" t="str" cm="1">
        <f t="array" ref="B44">_xlfn.XLOOKUP(TRUE, EXACT(Table2[[#This Row],[orig]], Table9[orig]), Table9[char])</f>
        <v>.</v>
      </c>
      <c r="C44" t="str" cm="1">
        <f t="array" ref="C44">_xlfn.XLOOKUP(TRUE, EXACT(Table2[[#This Row],[orig]], Table4[orig]), Table4[(X)])</f>
        <v>B'</v>
      </c>
      <c r="D44" s="5" t="str" cm="1">
        <f t="array" ref="D44">_xlfn.XLOOKUP(TRUE, EXACT(Table2[[#This Row],[X]], Table9[orig]), Table9[char])</f>
        <v>@</v>
      </c>
      <c r="E44" t="str" cm="1">
        <f t="array" ref="E44">_xlfn.XLOOKUP(TRUE, EXACT(C44, Table4[orig]), Table4[(X)])</f>
        <v>D'</v>
      </c>
      <c r="F44" s="5" t="str" cm="1">
        <f t="array" ref="F44">_xlfn.XLOOKUP(TRUE, EXACT(Table2[[#This Row],[X2]], Table9[orig]), Table9[char])</f>
        <v>%</v>
      </c>
      <c r="G44" t="str" cm="1">
        <f t="array" ref="G44">_xlfn.XLOOKUP(TRUE, EXACT(E44, Table4[orig]), Table4[(X)])</f>
        <v>F'</v>
      </c>
      <c r="H44" s="5" t="str" cm="1">
        <f t="array" ref="H44">_xlfn.XLOOKUP(TRUE, EXACT(Table2[[#This Row],[X'']], Table9[orig]), Table9[char])</f>
        <v>Q</v>
      </c>
      <c r="I44" t="str" cm="1">
        <f t="array" ref="I44">_xlfn.XLOOKUP(TRUE, EXACT(A44, Table1[orig]), Table1[(Y)])</f>
        <v>U'</v>
      </c>
      <c r="J44" s="5" t="str" cm="1">
        <f t="array" ref="J44">_xlfn.XLOOKUP(TRUE, EXACT(Table2[[#This Row],[Y]], Table9[orig]), Table9[char])</f>
        <v>.</v>
      </c>
      <c r="K44" t="str" cm="1">
        <f t="array" ref="K44">_xlfn.XLOOKUP(TRUE, EXACT(I44, Table1[orig]), Table1[(Y)])</f>
        <v>U'</v>
      </c>
      <c r="L44" s="5" t="str" cm="1">
        <f t="array" ref="L44">_xlfn.XLOOKUP(TRUE, EXACT(Table2[[#This Row],[Y2]], Table9[orig]), Table9[char])</f>
        <v>.</v>
      </c>
      <c r="M44" t="str" cm="1">
        <f t="array" ref="M44">_xlfn.XLOOKUP(TRUE, EXACT(K44, Table1[orig]), Table1[(Y)])</f>
        <v>U'</v>
      </c>
      <c r="N44" s="5" t="str" cm="1">
        <f t="array" ref="N44">_xlfn.XLOOKUP(TRUE, EXACT(Table2[[#This Row],[Y'']], Table9[orig]), Table9[char])</f>
        <v>.</v>
      </c>
      <c r="O44" t="str" cm="1">
        <f t="array" ref="O44">_xlfn.XLOOKUP(TRUE, EXACT(Table2[[#This Row],[orig]], Table3[orig]), Table3[(Z)])</f>
        <v>R'</v>
      </c>
      <c r="P44" s="5" t="str" cm="1">
        <f t="array" ref="P44">_xlfn.XLOOKUP(TRUE, EXACT(Table2[[#This Row],[Z]], Table9[orig]), Table9[char])</f>
        <v>A</v>
      </c>
      <c r="Q44" t="str" cm="1">
        <f t="array" ref="Q44">_xlfn.XLOOKUP(TRUE, EXACT(O44, Table3[orig]), Table3[(Z)])</f>
        <v>D'</v>
      </c>
      <c r="R44" s="5" t="str" cm="1">
        <f t="array" ref="R44">_xlfn.XLOOKUP(TRUE, EXACT(Table2[[#This Row],[Z2]], Table9[orig]), Table9[char])</f>
        <v>%</v>
      </c>
      <c r="S44" t="str" cm="1">
        <f t="array" ref="S44">_xlfn.XLOOKUP(TRUE, EXACT(Q44, Table3[orig]), Table3[(Z)])</f>
        <v>L'</v>
      </c>
      <c r="T44" s="5" t="str" cm="1">
        <f t="array" ref="T44">_xlfn.XLOOKUP(TRUE, EXACT(Table2[[#This Row],[Z'']], Table9[orig]), Table9[char])</f>
        <v>G</v>
      </c>
      <c r="U44" t="str" cm="1">
        <f t="array" ref="U44">_xlfn.XLOOKUP(TRUE, EXACT(Table2[[#This Row],[orig]], Table5[orig]), Table5[(T-reflection)])</f>
        <v>U</v>
      </c>
      <c r="V44" s="5" t="str" cm="1">
        <f t="array" ref="V44">_xlfn.XLOOKUP(TRUE, EXACT(Table2[[#This Row],[T-reflection]], Table9[orig]), Table9[char])</f>
        <v>U</v>
      </c>
      <c r="W44" t="str" cm="1">
        <f t="array" ref="W44">_xlfn.XLOOKUP(TRUE, EXACT(Table2[[#This Row],[orig]], Table6[orig]), Table6[(H-reflection)])</f>
        <v>D</v>
      </c>
      <c r="X44" s="5" t="str" cm="1">
        <f t="array" ref="X44">_xlfn.XLOOKUP(TRUE, EXACT(Table2[[#This Row],[H-reflection]], Table9[orig]), Table9[char])</f>
        <v>D</v>
      </c>
      <c r="Y44" t="str" cm="1">
        <f t="array" ref="Y44">_xlfn.XLOOKUP(TRUE, EXACT(Table2[[#This Row],[orig]], Table7[orig]), Table7[(S-reflection)])</f>
        <v>U</v>
      </c>
      <c r="Z44" s="5" t="str" cm="1">
        <f t="array" ref="Z44">_xlfn.XLOOKUP(TRUE, EXACT(Table2[[#This Row],[S-reflection]], Table9[orig]), Table9[char])</f>
        <v>U</v>
      </c>
    </row>
    <row r="45" spans="1:26" x14ac:dyDescent="0.2">
      <c r="A45" t="str">
        <f>Tables!E48</f>
        <v>u'</v>
      </c>
      <c r="B45" s="5" t="str" cm="1">
        <f t="array" ref="B45">_xlfn.XLOOKUP(TRUE, EXACT(Table2[[#This Row],[orig]], Table9[orig]), Table9[char])</f>
        <v>-</v>
      </c>
      <c r="C45" t="str" cm="1">
        <f t="array" ref="C45">_xlfn.XLOOKUP(TRUE, EXACT(Table2[[#This Row],[orig]], Table4[orig]), Table4[(X)])</f>
        <v>b'</v>
      </c>
      <c r="D45" s="5" t="str" cm="1">
        <f t="array" ref="D45">_xlfn.XLOOKUP(TRUE, EXACT(Table2[[#This Row],[X]], Table9[orig]), Table9[char])</f>
        <v>&amp;</v>
      </c>
      <c r="E45" t="str" cm="1">
        <f t="array" ref="E45">_xlfn.XLOOKUP(TRUE, EXACT(C45, Table4[orig]), Table4[(X)])</f>
        <v>d'</v>
      </c>
      <c r="F45" s="5" t="str" cm="1">
        <f t="array" ref="F45">_xlfn.XLOOKUP(TRUE, EXACT(Table2[[#This Row],[X2]], Table9[orig]), Table9[char])</f>
        <v>k</v>
      </c>
      <c r="G45" t="str" cm="1">
        <f t="array" ref="G45">_xlfn.XLOOKUP(TRUE, EXACT(E45, Table4[orig]), Table4[(X)])</f>
        <v>f'</v>
      </c>
      <c r="H45" s="5" t="str" cm="1">
        <f t="array" ref="H45">_xlfn.XLOOKUP(TRUE, EXACT(Table2[[#This Row],[X'']], Table9[orig]), Table9[char])</f>
        <v>q</v>
      </c>
      <c r="I45" t="str" cm="1">
        <f t="array" ref="I45">_xlfn.XLOOKUP(TRUE, EXACT(A45, Table1[orig]), Table1[(Y)])</f>
        <v>u'</v>
      </c>
      <c r="J45" s="5" t="str" cm="1">
        <f t="array" ref="J45">_xlfn.XLOOKUP(TRUE, EXACT(Table2[[#This Row],[Y]], Table9[orig]), Table9[char])</f>
        <v>-</v>
      </c>
      <c r="K45" t="str" cm="1">
        <f t="array" ref="K45">_xlfn.XLOOKUP(TRUE, EXACT(I45, Table1[orig]), Table1[(Y)])</f>
        <v>u'</v>
      </c>
      <c r="L45" s="5" t="str" cm="1">
        <f t="array" ref="L45">_xlfn.XLOOKUP(TRUE, EXACT(Table2[[#This Row],[Y2]], Table9[orig]), Table9[char])</f>
        <v>-</v>
      </c>
      <c r="M45" t="str" cm="1">
        <f t="array" ref="M45">_xlfn.XLOOKUP(TRUE, EXACT(K45, Table1[orig]), Table1[(Y)])</f>
        <v>u'</v>
      </c>
      <c r="N45" s="5" t="str" cm="1">
        <f t="array" ref="N45">_xlfn.XLOOKUP(TRUE, EXACT(Table2[[#This Row],[Y'']], Table9[orig]), Table9[char])</f>
        <v>-</v>
      </c>
      <c r="O45" t="str" cm="1">
        <f t="array" ref="O45">_xlfn.XLOOKUP(TRUE, EXACT(Table2[[#This Row],[orig]], Table3[orig]), Table3[(Z)])</f>
        <v>r'</v>
      </c>
      <c r="P45" s="5" t="str" cm="1">
        <f t="array" ref="P45">_xlfn.XLOOKUP(TRUE, EXACT(Table2[[#This Row],[Z]], Table9[orig]), Table9[char])</f>
        <v>a</v>
      </c>
      <c r="Q45" t="str" cm="1">
        <f t="array" ref="Q45">_xlfn.XLOOKUP(TRUE, EXACT(O45, Table3[orig]), Table3[(Z)])</f>
        <v>d'</v>
      </c>
      <c r="R45" s="5" t="str" cm="1">
        <f t="array" ref="R45">_xlfn.XLOOKUP(TRUE, EXACT(Table2[[#This Row],[Z2]], Table9[orig]), Table9[char])</f>
        <v>k</v>
      </c>
      <c r="S45" t="str" cm="1">
        <f t="array" ref="S45">_xlfn.XLOOKUP(TRUE, EXACT(Q45, Table3[orig]), Table3[(Z)])</f>
        <v>l'</v>
      </c>
      <c r="T45" s="5" t="str" cm="1">
        <f t="array" ref="T45">_xlfn.XLOOKUP(TRUE, EXACT(Table2[[#This Row],[Z'']], Table9[orig]), Table9[char])</f>
        <v>g</v>
      </c>
      <c r="U45" t="str" cm="1">
        <f t="array" ref="U45">_xlfn.XLOOKUP(TRUE, EXACT(Table2[[#This Row],[orig]], Table5[orig]), Table5[(T-reflection)])</f>
        <v>u</v>
      </c>
      <c r="V45" s="5" t="str" cm="1">
        <f t="array" ref="V45">_xlfn.XLOOKUP(TRUE, EXACT(Table2[[#This Row],[T-reflection]], Table9[orig]), Table9[char])</f>
        <v>u</v>
      </c>
      <c r="W45" t="str" cm="1">
        <f t="array" ref="W45">_xlfn.XLOOKUP(TRUE, EXACT(Table2[[#This Row],[orig]], Table6[orig]), Table6[(H-reflection)])</f>
        <v>d</v>
      </c>
      <c r="X45" s="5" t="str" cm="1">
        <f t="array" ref="X45">_xlfn.XLOOKUP(TRUE, EXACT(Table2[[#This Row],[H-reflection]], Table9[orig]), Table9[char])</f>
        <v>d</v>
      </c>
      <c r="Y45" t="str" cm="1">
        <f t="array" ref="Y45">_xlfn.XLOOKUP(TRUE, EXACT(Table2[[#This Row],[orig]], Table7[orig]), Table7[(S-reflection)])</f>
        <v>u</v>
      </c>
      <c r="Z45" s="5" t="str" cm="1">
        <f t="array" ref="Z45">_xlfn.XLOOKUP(TRUE, EXACT(Table2[[#This Row],[S-reflection]], Table9[orig]), Table9[char])</f>
        <v>u</v>
      </c>
    </row>
    <row r="46" spans="1:26" x14ac:dyDescent="0.2">
      <c r="A46" t="str">
        <f>Tables!E49</f>
        <v>H'</v>
      </c>
      <c r="B46" s="5" t="str" cm="1">
        <f t="array" ref="B46">_xlfn.XLOOKUP(TRUE, EXACT(Table2[[#This Row],[orig]], Table9[orig]), Table9[char])</f>
        <v>+</v>
      </c>
      <c r="C46" t="str" cm="1">
        <f t="array" ref="C46">_xlfn.XLOOKUP(TRUE, EXACT(Table2[[#This Row],[orig]], Table4[orig]), Table4[(X)])</f>
        <v>S</v>
      </c>
      <c r="D46" s="5" t="str" cm="1">
        <f t="array" ref="D46">_xlfn.XLOOKUP(TRUE, EXACT(Table2[[#This Row],[X]], Table9[orig]), Table9[char])</f>
        <v>S</v>
      </c>
      <c r="E46" t="str" cm="1">
        <f t="array" ref="E46">_xlfn.XLOOKUP(TRUE, EXACT(C46, Table4[orig]), Table4[(X)])</f>
        <v>H</v>
      </c>
      <c r="F46" s="5" t="str" cm="1">
        <f t="array" ref="F46">_xlfn.XLOOKUP(TRUE, EXACT(Table2[[#This Row],[X2]], Table9[orig]), Table9[char])</f>
        <v>H</v>
      </c>
      <c r="G46" t="str" cm="1">
        <f t="array" ref="G46">_xlfn.XLOOKUP(TRUE, EXACT(E46, Table4[orig]), Table4[(X)])</f>
        <v>S'</v>
      </c>
      <c r="H46" s="5" t="str" cm="1">
        <f t="array" ref="H46">_xlfn.XLOOKUP(TRUE, EXACT(Table2[[#This Row],[X'']], Table9[orig]), Table9[char])</f>
        <v>V</v>
      </c>
      <c r="I46" t="str" cm="1">
        <f t="array" ref="I46">_xlfn.XLOOKUP(TRUE, EXACT(A46, Table1[orig]), Table1[(Y)])</f>
        <v>H'</v>
      </c>
      <c r="J46" s="5" t="str" cm="1">
        <f t="array" ref="J46">_xlfn.XLOOKUP(TRUE, EXACT(Table2[[#This Row],[Y]], Table9[orig]), Table9[char])</f>
        <v>+</v>
      </c>
      <c r="K46" t="str" cm="1">
        <f t="array" ref="K46">_xlfn.XLOOKUP(TRUE, EXACT(I46, Table1[orig]), Table1[(Y)])</f>
        <v>H'</v>
      </c>
      <c r="L46" s="5" t="str" cm="1">
        <f t="array" ref="L46">_xlfn.XLOOKUP(TRUE, EXACT(Table2[[#This Row],[Y2]], Table9[orig]), Table9[char])</f>
        <v>+</v>
      </c>
      <c r="M46" t="str" cm="1">
        <f t="array" ref="M46">_xlfn.XLOOKUP(TRUE, EXACT(K46, Table1[orig]), Table1[(Y)])</f>
        <v>H'</v>
      </c>
      <c r="N46" s="5" t="str" cm="1">
        <f t="array" ref="N46">_xlfn.XLOOKUP(TRUE, EXACT(Table2[[#This Row],[Y'']], Table9[orig]), Table9[char])</f>
        <v>+</v>
      </c>
      <c r="O46" t="str" cm="1">
        <f t="array" ref="O46">_xlfn.XLOOKUP(TRUE, EXACT(Table2[[#This Row],[orig]], Table3[orig]), Table3[(Z)])</f>
        <v>T'</v>
      </c>
      <c r="P46" s="5" t="str" cm="1">
        <f t="array" ref="P46">_xlfn.XLOOKUP(TRUE, EXACT(Table2[[#This Row],[Z]], Table9[orig]), Table9[char])</f>
        <v>C</v>
      </c>
      <c r="Q46" t="str" cm="1">
        <f t="array" ref="Q46">_xlfn.XLOOKUP(TRUE, EXACT(O46, Table3[orig]), Table3[(Z)])</f>
        <v>H</v>
      </c>
      <c r="R46" s="5" t="str" cm="1">
        <f t="array" ref="R46">_xlfn.XLOOKUP(TRUE, EXACT(Table2[[#This Row],[Z2]], Table9[orig]), Table9[char])</f>
        <v>H</v>
      </c>
      <c r="S46" t="str" cm="1">
        <f t="array" ref="S46">_xlfn.XLOOKUP(TRUE, EXACT(Q46, Table3[orig]), Table3[(Z)])</f>
        <v>T</v>
      </c>
      <c r="T46" s="5" t="str" cm="1">
        <f t="array" ref="T46">_xlfn.XLOOKUP(TRUE, EXACT(Table2[[#This Row],[Z'']], Table9[orig]), Table9[char])</f>
        <v>T</v>
      </c>
      <c r="U46" t="str" cm="1">
        <f t="array" ref="U46">_xlfn.XLOOKUP(TRUE, EXACT(Table2[[#This Row],[orig]], Table5[orig]), Table5[(T-reflection)])</f>
        <v>H</v>
      </c>
      <c r="V46" s="5" t="str" cm="1">
        <f t="array" ref="V46">_xlfn.XLOOKUP(TRUE, EXACT(Table2[[#This Row],[T-reflection]], Table9[orig]), Table9[char])</f>
        <v>H</v>
      </c>
      <c r="W46" t="str" cm="1">
        <f t="array" ref="W46">_xlfn.XLOOKUP(TRUE, EXACT(Table2[[#This Row],[orig]], Table6[orig]), Table6[(H-reflection)])</f>
        <v>H'</v>
      </c>
      <c r="X46" s="5" t="str" cm="1">
        <f t="array" ref="X46">_xlfn.XLOOKUP(TRUE, EXACT(Table2[[#This Row],[H-reflection]], Table9[orig]), Table9[char])</f>
        <v>+</v>
      </c>
      <c r="Y46" t="str" cm="1">
        <f t="array" ref="Y46">_xlfn.XLOOKUP(TRUE, EXACT(Table2[[#This Row],[orig]], Table7[orig]), Table7[(S-reflection)])</f>
        <v>H</v>
      </c>
      <c r="Z46" s="5" t="str" cm="1">
        <f t="array" ref="Z46">_xlfn.XLOOKUP(TRUE, EXACT(Table2[[#This Row],[S-reflection]], Table9[orig]), Table9[char])</f>
        <v>H</v>
      </c>
    </row>
    <row r="47" spans="1:26" x14ac:dyDescent="0.2">
      <c r="A47" t="str">
        <f>Tables!E50</f>
        <v>d'</v>
      </c>
      <c r="B47" s="5" t="str" cm="1">
        <f t="array" ref="B47">_xlfn.XLOOKUP(TRUE, EXACT(Table2[[#This Row],[orig]], Table9[orig]), Table9[char])</f>
        <v>k</v>
      </c>
      <c r="C47" t="str" cm="1">
        <f t="array" ref="C47">_xlfn.XLOOKUP(TRUE, EXACT(Table2[[#This Row],[orig]], Table4[orig]), Table4[(X)])</f>
        <v>f'</v>
      </c>
      <c r="D47" s="5" t="str" cm="1">
        <f t="array" ref="D47">_xlfn.XLOOKUP(TRUE, EXACT(Table2[[#This Row],[X]], Table9[orig]), Table9[char])</f>
        <v>q</v>
      </c>
      <c r="E47" t="str" cm="1">
        <f t="array" ref="E47">_xlfn.XLOOKUP(TRUE, EXACT(C47, Table4[orig]), Table4[(X)])</f>
        <v>u'</v>
      </c>
      <c r="F47" s="5" t="str" cm="1">
        <f t="array" ref="F47">_xlfn.XLOOKUP(TRUE, EXACT(Table2[[#This Row],[X2]], Table9[orig]), Table9[char])</f>
        <v>-</v>
      </c>
      <c r="G47" t="str" cm="1">
        <f t="array" ref="G47">_xlfn.XLOOKUP(TRUE, EXACT(E47, Table4[orig]), Table4[(X)])</f>
        <v>b'</v>
      </c>
      <c r="H47" s="5" t="str" cm="1">
        <f t="array" ref="H47">_xlfn.XLOOKUP(TRUE, EXACT(Table2[[#This Row],[X'']], Table9[orig]), Table9[char])</f>
        <v>&amp;</v>
      </c>
      <c r="I47" t="str" cm="1">
        <f t="array" ref="I47">_xlfn.XLOOKUP(TRUE, EXACT(A47, Table1[orig]), Table1[(Y)])</f>
        <v>d'</v>
      </c>
      <c r="J47" s="5" t="str" cm="1">
        <f t="array" ref="J47">_xlfn.XLOOKUP(TRUE, EXACT(Table2[[#This Row],[Y]], Table9[orig]), Table9[char])</f>
        <v>k</v>
      </c>
      <c r="K47" t="str" cm="1">
        <f t="array" ref="K47">_xlfn.XLOOKUP(TRUE, EXACT(I47, Table1[orig]), Table1[(Y)])</f>
        <v>d'</v>
      </c>
      <c r="L47" s="5" t="str" cm="1">
        <f t="array" ref="L47">_xlfn.XLOOKUP(TRUE, EXACT(Table2[[#This Row],[Y2]], Table9[orig]), Table9[char])</f>
        <v>k</v>
      </c>
      <c r="M47" t="str" cm="1">
        <f t="array" ref="M47">_xlfn.XLOOKUP(TRUE, EXACT(K47, Table1[orig]), Table1[(Y)])</f>
        <v>d'</v>
      </c>
      <c r="N47" s="5" t="str" cm="1">
        <f t="array" ref="N47">_xlfn.XLOOKUP(TRUE, EXACT(Table2[[#This Row],[Y'']], Table9[orig]), Table9[char])</f>
        <v>k</v>
      </c>
      <c r="O47" t="str" cm="1">
        <f t="array" ref="O47">_xlfn.XLOOKUP(TRUE, EXACT(Table2[[#This Row],[orig]], Table3[orig]), Table3[(Z)])</f>
        <v>l'</v>
      </c>
      <c r="P47" s="5" t="str" cm="1">
        <f t="array" ref="P47">_xlfn.XLOOKUP(TRUE, EXACT(Table2[[#This Row],[Z]], Table9[orig]), Table9[char])</f>
        <v>g</v>
      </c>
      <c r="Q47" t="str" cm="1">
        <f t="array" ref="Q47">_xlfn.XLOOKUP(TRUE, EXACT(O47, Table3[orig]), Table3[(Z)])</f>
        <v>u'</v>
      </c>
      <c r="R47" s="5" t="str" cm="1">
        <f t="array" ref="R47">_xlfn.XLOOKUP(TRUE, EXACT(Table2[[#This Row],[Z2]], Table9[orig]), Table9[char])</f>
        <v>-</v>
      </c>
      <c r="S47" t="str" cm="1">
        <f t="array" ref="S47">_xlfn.XLOOKUP(TRUE, EXACT(Q47, Table3[orig]), Table3[(Z)])</f>
        <v>r'</v>
      </c>
      <c r="T47" s="5" t="str" cm="1">
        <f t="array" ref="T47">_xlfn.XLOOKUP(TRUE, EXACT(Table2[[#This Row],[Z'']], Table9[orig]), Table9[char])</f>
        <v>a</v>
      </c>
      <c r="U47" t="str" cm="1">
        <f t="array" ref="U47">_xlfn.XLOOKUP(TRUE, EXACT(Table2[[#This Row],[orig]], Table5[orig]), Table5[(T-reflection)])</f>
        <v>d</v>
      </c>
      <c r="V47" s="5" t="str" cm="1">
        <f t="array" ref="V47">_xlfn.XLOOKUP(TRUE, EXACT(Table2[[#This Row],[T-reflection]], Table9[orig]), Table9[char])</f>
        <v>d</v>
      </c>
      <c r="W47" t="str" cm="1">
        <f t="array" ref="W47">_xlfn.XLOOKUP(TRUE, EXACT(Table2[[#This Row],[orig]], Table6[orig]), Table6[(H-reflection)])</f>
        <v>u</v>
      </c>
      <c r="X47" s="5" t="str" cm="1">
        <f t="array" ref="X47">_xlfn.XLOOKUP(TRUE, EXACT(Table2[[#This Row],[H-reflection]], Table9[orig]), Table9[char])</f>
        <v>u</v>
      </c>
      <c r="Y47" t="str" cm="1">
        <f t="array" ref="Y47">_xlfn.XLOOKUP(TRUE, EXACT(Table2[[#This Row],[orig]], Table7[orig]), Table7[(S-reflection)])</f>
        <v>d</v>
      </c>
      <c r="Z47" s="5" t="str" cm="1">
        <f t="array" ref="Z47">_xlfn.XLOOKUP(TRUE, EXACT(Table2[[#This Row],[S-reflection]], Table9[orig]), Table9[char])</f>
        <v>d</v>
      </c>
    </row>
    <row r="48" spans="1:26" x14ac:dyDescent="0.2">
      <c r="A48" t="str">
        <f>Tables!E51</f>
        <v>D'</v>
      </c>
      <c r="B48" s="5" t="str" cm="1">
        <f t="array" ref="B48">_xlfn.XLOOKUP(TRUE, EXACT(Table2[[#This Row],[orig]], Table9[orig]), Table9[char])</f>
        <v>%</v>
      </c>
      <c r="C48" t="str" cm="1">
        <f t="array" ref="C48">_xlfn.XLOOKUP(TRUE, EXACT(Table2[[#This Row],[orig]], Table4[orig]), Table4[(X)])</f>
        <v>F'</v>
      </c>
      <c r="D48" s="5" t="str" cm="1">
        <f t="array" ref="D48">_xlfn.XLOOKUP(TRUE, EXACT(Table2[[#This Row],[X]], Table9[orig]), Table9[char])</f>
        <v>Q</v>
      </c>
      <c r="E48" t="str" cm="1">
        <f t="array" ref="E48">_xlfn.XLOOKUP(TRUE, EXACT(C48, Table4[orig]), Table4[(X)])</f>
        <v>U'</v>
      </c>
      <c r="F48" s="5" t="str" cm="1">
        <f t="array" ref="F48">_xlfn.XLOOKUP(TRUE, EXACT(Table2[[#This Row],[X2]], Table9[orig]), Table9[char])</f>
        <v>.</v>
      </c>
      <c r="G48" t="str" cm="1">
        <f t="array" ref="G48">_xlfn.XLOOKUP(TRUE, EXACT(E48, Table4[orig]), Table4[(X)])</f>
        <v>B'</v>
      </c>
      <c r="H48" s="5" t="str" cm="1">
        <f t="array" ref="H48">_xlfn.XLOOKUP(TRUE, EXACT(Table2[[#This Row],[X'']], Table9[orig]), Table9[char])</f>
        <v>@</v>
      </c>
      <c r="I48" t="str" cm="1">
        <f t="array" ref="I48">_xlfn.XLOOKUP(TRUE, EXACT(A48, Table1[orig]), Table1[(Y)])</f>
        <v>D'</v>
      </c>
      <c r="J48" s="5" t="str" cm="1">
        <f t="array" ref="J48">_xlfn.XLOOKUP(TRUE, EXACT(Table2[[#This Row],[Y]], Table9[orig]), Table9[char])</f>
        <v>%</v>
      </c>
      <c r="K48" t="str" cm="1">
        <f t="array" ref="K48">_xlfn.XLOOKUP(TRUE, EXACT(I48, Table1[orig]), Table1[(Y)])</f>
        <v>D'</v>
      </c>
      <c r="L48" s="5" t="str" cm="1">
        <f t="array" ref="L48">_xlfn.XLOOKUP(TRUE, EXACT(Table2[[#This Row],[Y2]], Table9[orig]), Table9[char])</f>
        <v>%</v>
      </c>
      <c r="M48" t="str" cm="1">
        <f t="array" ref="M48">_xlfn.XLOOKUP(TRUE, EXACT(K48, Table1[orig]), Table1[(Y)])</f>
        <v>D'</v>
      </c>
      <c r="N48" s="5" t="str" cm="1">
        <f t="array" ref="N48">_xlfn.XLOOKUP(TRUE, EXACT(Table2[[#This Row],[Y'']], Table9[orig]), Table9[char])</f>
        <v>%</v>
      </c>
      <c r="O48" t="str" cm="1">
        <f t="array" ref="O48">_xlfn.XLOOKUP(TRUE, EXACT(Table2[[#This Row],[orig]], Table3[orig]), Table3[(Z)])</f>
        <v>L'</v>
      </c>
      <c r="P48" s="5" t="str" cm="1">
        <f t="array" ref="P48">_xlfn.XLOOKUP(TRUE, EXACT(Table2[[#This Row],[Z]], Table9[orig]), Table9[char])</f>
        <v>G</v>
      </c>
      <c r="Q48" t="str" cm="1">
        <f t="array" ref="Q48">_xlfn.XLOOKUP(TRUE, EXACT(O48, Table3[orig]), Table3[(Z)])</f>
        <v>U'</v>
      </c>
      <c r="R48" s="5" t="str" cm="1">
        <f t="array" ref="R48">_xlfn.XLOOKUP(TRUE, EXACT(Table2[[#This Row],[Z2]], Table9[orig]), Table9[char])</f>
        <v>.</v>
      </c>
      <c r="S48" t="str" cm="1">
        <f t="array" ref="S48">_xlfn.XLOOKUP(TRUE, EXACT(Q48, Table3[orig]), Table3[(Z)])</f>
        <v>R'</v>
      </c>
      <c r="T48" s="5" t="str" cm="1">
        <f t="array" ref="T48">_xlfn.XLOOKUP(TRUE, EXACT(Table2[[#This Row],[Z'']], Table9[orig]), Table9[char])</f>
        <v>A</v>
      </c>
      <c r="U48" t="str" cm="1">
        <f t="array" ref="U48">_xlfn.XLOOKUP(TRUE, EXACT(Table2[[#This Row],[orig]], Table5[orig]), Table5[(T-reflection)])</f>
        <v>D</v>
      </c>
      <c r="V48" s="5" t="str" cm="1">
        <f t="array" ref="V48">_xlfn.XLOOKUP(TRUE, EXACT(Table2[[#This Row],[T-reflection]], Table9[orig]), Table9[char])</f>
        <v>D</v>
      </c>
      <c r="W48" t="str" cm="1">
        <f t="array" ref="W48">_xlfn.XLOOKUP(TRUE, EXACT(Table2[[#This Row],[orig]], Table6[orig]), Table6[(H-reflection)])</f>
        <v>U</v>
      </c>
      <c r="X48" s="5" t="str" cm="1">
        <f t="array" ref="X48">_xlfn.XLOOKUP(TRUE, EXACT(Table2[[#This Row],[H-reflection]], Table9[orig]), Table9[char])</f>
        <v>U</v>
      </c>
      <c r="Y48" t="str" cm="1">
        <f t="array" ref="Y48">_xlfn.XLOOKUP(TRUE, EXACT(Table2[[#This Row],[orig]], Table7[orig]), Table7[(S-reflection)])</f>
        <v>D</v>
      </c>
      <c r="Z48" s="5" t="str" cm="1">
        <f t="array" ref="Z48">_xlfn.XLOOKUP(TRUE, EXACT(Table2[[#This Row],[S-reflection]], Table9[orig]), Table9[char])</f>
        <v>D</v>
      </c>
    </row>
    <row r="49" spans="1:26" x14ac:dyDescent="0.2">
      <c r="A49" s="3" t="str">
        <f>Tables!E52</f>
        <v>Y'</v>
      </c>
      <c r="B49" s="8" t="str" cm="1">
        <f t="array" ref="B49">_xlfn.XLOOKUP(TRUE, EXACT(Table2[[#This Row],[orig]], Table9[orig]), Table9[char])</f>
        <v>p</v>
      </c>
      <c r="C49" s="3" t="str" cm="1">
        <f t="array" ref="C49">_xlfn.XLOOKUP(TRUE, EXACT(Table2[[#This Row],[orig]], Table4[orig]), Table4[(X)])</f>
        <v>Z</v>
      </c>
      <c r="D49" s="8" t="str" cm="1">
        <f t="array" ref="D49">_xlfn.XLOOKUP(TRUE, EXACT(Table2[[#This Row],[X]], Table9[orig]), Table9[char])</f>
        <v>Z</v>
      </c>
      <c r="E49" s="3" t="str" cm="1">
        <f t="array" ref="E49">_xlfn.XLOOKUP(TRUE, EXACT(C49, Table4[orig]), Table4[(X)])</f>
        <v>Y</v>
      </c>
      <c r="F49" s="8" t="str" cm="1">
        <f t="array" ref="F49">_xlfn.XLOOKUP(TRUE, EXACT(Table2[[#This Row],[X2]], Table9[orig]), Table9[char])</f>
        <v>Y</v>
      </c>
      <c r="G49" s="3" t="str" cm="1">
        <f t="array" ref="G49">_xlfn.XLOOKUP(TRUE, EXACT(E49, Table4[orig]), Table4[(X)])</f>
        <v>Z'</v>
      </c>
      <c r="H49" s="8" t="str" cm="1">
        <f t="array" ref="H49">_xlfn.XLOOKUP(TRUE, EXACT(Table2[[#This Row],[X'']], Table9[orig]), Table9[char])</f>
        <v>#</v>
      </c>
      <c r="I49" s="3" t="str" cm="1">
        <f t="array" ref="I49">_xlfn.XLOOKUP(TRUE, EXACT(A49, Table1[orig]), Table1[(Y)])</f>
        <v>Y'</v>
      </c>
      <c r="J49" s="8" t="str" cm="1">
        <f t="array" ref="J49">_xlfn.XLOOKUP(TRUE, EXACT(Table2[[#This Row],[Y]], Table9[orig]), Table9[char])</f>
        <v>p</v>
      </c>
      <c r="K49" s="3" t="str" cm="1">
        <f t="array" ref="K49">_xlfn.XLOOKUP(TRUE, EXACT(I49, Table1[orig]), Table1[(Y)])</f>
        <v>Y'</v>
      </c>
      <c r="L49" s="8" t="str" cm="1">
        <f t="array" ref="L49">_xlfn.XLOOKUP(TRUE, EXACT(Table2[[#This Row],[Y2]], Table9[orig]), Table9[char])</f>
        <v>p</v>
      </c>
      <c r="M49" s="3" t="str" cm="1">
        <f t="array" ref="M49">_xlfn.XLOOKUP(TRUE, EXACT(K49, Table1[orig]), Table1[(Y)])</f>
        <v>Y'</v>
      </c>
      <c r="N49" s="8" t="str" cm="1">
        <f t="array" ref="N49">_xlfn.XLOOKUP(TRUE, EXACT(Table2[[#This Row],[Y'']], Table9[orig]), Table9[char])</f>
        <v>p</v>
      </c>
      <c r="O49" s="3" t="str" cm="1">
        <f t="array" ref="O49">_xlfn.XLOOKUP(TRUE, EXACT(Table2[[#This Row],[orig]], Table3[orig]), Table3[(Z)])</f>
        <v>X'</v>
      </c>
      <c r="P49" s="8" t="str" cm="1">
        <f t="array" ref="P49">_xlfn.XLOOKUP(TRUE, EXACT(Table2[[#This Row],[Z]], Table9[orig]), Table9[char])</f>
        <v>!</v>
      </c>
      <c r="Q49" s="3" t="str" cm="1">
        <f t="array" ref="Q49">_xlfn.XLOOKUP(TRUE, EXACT(O49, Table3[orig]), Table3[(Z)])</f>
        <v>Y</v>
      </c>
      <c r="R49" s="8" t="str" cm="1">
        <f t="array" ref="R49">_xlfn.XLOOKUP(TRUE, EXACT(Table2[[#This Row],[Z2]], Table9[orig]), Table9[char])</f>
        <v>Y</v>
      </c>
      <c r="S49" s="3" t="str" cm="1">
        <f t="array" ref="S49">_xlfn.XLOOKUP(TRUE, EXACT(Q49, Table3[orig]), Table3[(Z)])</f>
        <v>X</v>
      </c>
      <c r="T49" s="8" t="str" cm="1">
        <f t="array" ref="T49">_xlfn.XLOOKUP(TRUE, EXACT(Table2[[#This Row],[Z'']], Table9[orig]), Table9[char])</f>
        <v>X</v>
      </c>
      <c r="U49" s="3" t="str" cm="1">
        <f t="array" ref="U49">_xlfn.XLOOKUP(TRUE, EXACT(Table2[[#This Row],[orig]], Table5[orig]), Table5[(T-reflection)])</f>
        <v>Y</v>
      </c>
      <c r="V49" s="8" t="str" cm="1">
        <f t="array" ref="V49">_xlfn.XLOOKUP(TRUE, EXACT(Table2[[#This Row],[T-reflection]], Table9[orig]), Table9[char])</f>
        <v>Y</v>
      </c>
      <c r="W49" s="3" t="str" cm="1">
        <f t="array" ref="W49">_xlfn.XLOOKUP(TRUE, EXACT(Table2[[#This Row],[orig]], Table6[orig]), Table6[(H-reflection)])</f>
        <v>Y'</v>
      </c>
      <c r="X49" s="8" t="str" cm="1">
        <f t="array" ref="X49">_xlfn.XLOOKUP(TRUE, EXACT(Table2[[#This Row],[H-reflection]], Table9[orig]), Table9[char])</f>
        <v>p</v>
      </c>
      <c r="Y49" s="3" t="str" cm="1">
        <f t="array" ref="Y49">_xlfn.XLOOKUP(TRUE, EXACT(Table2[[#This Row],[orig]], Table7[orig]), Table7[(S-reflection)])</f>
        <v>Y</v>
      </c>
      <c r="Z49" s="5" t="str" cm="1">
        <f t="array" ref="Z49">_xlfn.XLOOKUP(TRUE, EXACT(Table2[[#This Row],[S-reflection]], Table9[orig]), Table9[char])</f>
        <v>Y</v>
      </c>
    </row>
    <row r="50" spans="1:26" x14ac:dyDescent="0.2">
      <c r="A50" t="str">
        <f>Tables!E53</f>
        <v>U2</v>
      </c>
      <c r="B50" s="5" t="str" cm="1">
        <f t="array" ref="B50">_xlfn.XLOOKUP(TRUE, EXACT(Table2[[#This Row],[orig]], Table9[orig]), Table9[char])</f>
        <v>\</v>
      </c>
      <c r="C50" t="str" cm="1">
        <f t="array" ref="C50">_xlfn.XLOOKUP(TRUE, EXACT(Table2[[#This Row],[orig]], Table4[orig]), Table4[(X)])</f>
        <v>B2</v>
      </c>
      <c r="D50" s="5" t="str" cm="1">
        <f t="array" ref="D50">_xlfn.XLOOKUP(TRUE, EXACT(Table2[[#This Row],[X]], Table9[orig]), Table9[char])</f>
        <v>`</v>
      </c>
      <c r="E50" t="str" cm="1">
        <f t="array" ref="E50">_xlfn.XLOOKUP(TRUE, EXACT(C50, Table4[orig]), Table4[(X)])</f>
        <v>D2</v>
      </c>
      <c r="F50" s="5" t="str" cm="1">
        <f t="array" ref="F50">_xlfn.XLOOKUP(TRUE, EXACT(Table2[[#This Row],[X2]], Table9[orig]), Table9[char])</f>
        <v>c</v>
      </c>
      <c r="G50" t="str" cm="1">
        <f t="array" ref="G50">_xlfn.XLOOKUP(TRUE, EXACT(E50, Table4[orig]), Table4[(X)])</f>
        <v>F2</v>
      </c>
      <c r="H50" s="5" t="str" cm="1">
        <f t="array" ref="H50">_xlfn.XLOOKUP(TRUE, EXACT(Table2[[#This Row],[X'']], Table9[orig]), Table9[char])</f>
        <v>$</v>
      </c>
      <c r="I50" t="str" cm="1">
        <f t="array" ref="I50">_xlfn.XLOOKUP(TRUE, EXACT(A50, Table1[orig]), Table1[(Y)])</f>
        <v>U2</v>
      </c>
      <c r="J50" s="5" t="str" cm="1">
        <f t="array" ref="J50">_xlfn.XLOOKUP(TRUE, EXACT(Table2[[#This Row],[Y]], Table9[orig]), Table9[char])</f>
        <v>\</v>
      </c>
      <c r="K50" t="str" cm="1">
        <f t="array" ref="K50">_xlfn.XLOOKUP(TRUE, EXACT(I50, Table1[orig]), Table1[(Y)])</f>
        <v>U2</v>
      </c>
      <c r="L50" s="5" t="str" cm="1">
        <f t="array" ref="L50">_xlfn.XLOOKUP(TRUE, EXACT(Table2[[#This Row],[Y2]], Table9[orig]), Table9[char])</f>
        <v>\</v>
      </c>
      <c r="M50" t="str" cm="1">
        <f t="array" ref="M50">_xlfn.XLOOKUP(TRUE, EXACT(K50, Table1[orig]), Table1[(Y)])</f>
        <v>U2</v>
      </c>
      <c r="N50" s="5" t="str" cm="1">
        <f t="array" ref="N50">_xlfn.XLOOKUP(TRUE, EXACT(Table2[[#This Row],[Y'']], Table9[orig]), Table9[char])</f>
        <v>\</v>
      </c>
      <c r="O50" t="str" cm="1">
        <f t="array" ref="O50">_xlfn.XLOOKUP(TRUE, EXACT(Table2[[#This Row],[orig]], Table3[orig]), Table3[(Z)])</f>
        <v>R2</v>
      </c>
      <c r="P50" s="5" t="str" cm="1">
        <f t="array" ref="P50">_xlfn.XLOOKUP(TRUE, EXACT(Table2[[#This Row],[Z]], Table9[orig]), Table9[char])</f>
        <v>J</v>
      </c>
      <c r="Q50" t="str" cm="1">
        <f t="array" ref="Q50">_xlfn.XLOOKUP(TRUE, EXACT(O50, Table3[orig]), Table3[(Z)])</f>
        <v>D2</v>
      </c>
      <c r="R50" s="5" t="str" cm="1">
        <f t="array" ref="R50">_xlfn.XLOOKUP(TRUE, EXACT(Table2[[#This Row],[Z2]], Table9[orig]), Table9[char])</f>
        <v>c</v>
      </c>
      <c r="S50" t="str" cm="1">
        <f t="array" ref="S50">_xlfn.XLOOKUP(TRUE, EXACT(Q50, Table3[orig]), Table3[(Z)])</f>
        <v>L2</v>
      </c>
      <c r="T50" s="5" t="str" cm="1">
        <f t="array" ref="T50">_xlfn.XLOOKUP(TRUE, EXACT(Table2[[#This Row],[Z'']], Table9[orig]), Table9[char])</f>
        <v>N</v>
      </c>
      <c r="U50" t="str" cm="1">
        <f t="array" ref="U50">_xlfn.XLOOKUP(TRUE, EXACT(Table2[[#This Row],[orig]], Table5[orig]), Table5[(T-reflection)])</f>
        <v>U2</v>
      </c>
      <c r="V50" s="5" t="str" cm="1">
        <f t="array" ref="V50">_xlfn.XLOOKUP(TRUE, EXACT(Table2[[#This Row],[T-reflection]], Table9[orig]), Table9[char])</f>
        <v>\</v>
      </c>
      <c r="W50" t="str" cm="1">
        <f t="array" ref="W50">_xlfn.XLOOKUP(TRUE, EXACT(Table2[[#This Row],[orig]], Table6[orig]), Table6[(H-reflection)])</f>
        <v>D2</v>
      </c>
      <c r="X50" s="5" t="str" cm="1">
        <f t="array" ref="X50">_xlfn.XLOOKUP(TRUE, EXACT(Table2[[#This Row],[H-reflection]], Table9[orig]), Table9[char])</f>
        <v>c</v>
      </c>
      <c r="Y50" t="str" cm="1">
        <f t="array" ref="Y50">_xlfn.XLOOKUP(TRUE, EXACT(Table2[[#This Row],[orig]], Table7[orig]), Table7[(S-reflection)])</f>
        <v>U2</v>
      </c>
      <c r="Z50" s="5" t="str" cm="1">
        <f t="array" ref="Z50">_xlfn.XLOOKUP(TRUE, EXACT(Table2[[#This Row],[S-reflection]], Table9[orig]), Table9[char])</f>
        <v>\</v>
      </c>
    </row>
    <row r="51" spans="1:26" x14ac:dyDescent="0.2">
      <c r="A51" t="str">
        <f>Tables!E54</f>
        <v>u2</v>
      </c>
      <c r="B51" s="5" t="str" cm="1">
        <f t="array" ref="B51">_xlfn.XLOOKUP(TRUE, EXACT(Table2[[#This Row],[orig]], Table9[orig]), Table9[char])</f>
        <v>v</v>
      </c>
      <c r="C51" t="str" cm="1">
        <f t="array" ref="C51">_xlfn.XLOOKUP(TRUE, EXACT(Table2[[#This Row],[orig]], Table4[orig]), Table4[(X)])</f>
        <v>b2</v>
      </c>
      <c r="D51" s="5" t="str" cm="1">
        <f t="array" ref="D51">_xlfn.XLOOKUP(TRUE, EXACT(Table2[[#This Row],[X]], Table9[orig]), Table9[char])</f>
        <v>~</v>
      </c>
      <c r="E51" t="str" cm="1">
        <f t="array" ref="E51">_xlfn.XLOOKUP(TRUE, EXACT(C51, Table4[orig]), Table4[(X)])</f>
        <v>d2</v>
      </c>
      <c r="F51" s="5" t="str" cm="1">
        <f t="array" ref="F51">_xlfn.XLOOKUP(TRUE, EXACT(Table2[[#This Row],[X2]], Table9[orig]), Table9[char])</f>
        <v>_</v>
      </c>
      <c r="G51" t="str" cm="1">
        <f t="array" ref="G51">_xlfn.XLOOKUP(TRUE, EXACT(E51, Table4[orig]), Table4[(X)])</f>
        <v>f2</v>
      </c>
      <c r="H51" s="5" t="str" cm="1">
        <f t="array" ref="H51">_xlfn.XLOOKUP(TRUE, EXACT(Table2[[#This Row],[X'']], Table9[orig]), Table9[char])</f>
        <v>?</v>
      </c>
      <c r="I51" t="str" cm="1">
        <f t="array" ref="I51">_xlfn.XLOOKUP(TRUE, EXACT(A51, Table1[orig]), Table1[(Y)])</f>
        <v>u2</v>
      </c>
      <c r="J51" s="5" t="str" cm="1">
        <f t="array" ref="J51">_xlfn.XLOOKUP(TRUE, EXACT(Table2[[#This Row],[Y]], Table9[orig]), Table9[char])</f>
        <v>v</v>
      </c>
      <c r="K51" t="str" cm="1">
        <f t="array" ref="K51">_xlfn.XLOOKUP(TRUE, EXACT(I51, Table1[orig]), Table1[(Y)])</f>
        <v>u2</v>
      </c>
      <c r="L51" s="5" t="str" cm="1">
        <f t="array" ref="L51">_xlfn.XLOOKUP(TRUE, EXACT(Table2[[#This Row],[Y2]], Table9[orig]), Table9[char])</f>
        <v>v</v>
      </c>
      <c r="M51" t="str" cm="1">
        <f t="array" ref="M51">_xlfn.XLOOKUP(TRUE, EXACT(K51, Table1[orig]), Table1[(Y)])</f>
        <v>u2</v>
      </c>
      <c r="N51" s="5" t="str" cm="1">
        <f t="array" ref="N51">_xlfn.XLOOKUP(TRUE, EXACT(Table2[[#This Row],[Y'']], Table9[orig]), Table9[char])</f>
        <v>v</v>
      </c>
      <c r="O51" t="str" cm="1">
        <f t="array" ref="O51">_xlfn.XLOOKUP(TRUE, EXACT(Table2[[#This Row],[orig]], Table3[orig]), Table3[(Z)])</f>
        <v>r2</v>
      </c>
      <c r="P51" s="5" t="str" cm="1">
        <f t="array" ref="P51">_xlfn.XLOOKUP(TRUE, EXACT(Table2[[#This Row],[Z]], Table9[orig]), Table9[char])</f>
        <v>j</v>
      </c>
      <c r="Q51" t="str" cm="1">
        <f t="array" ref="Q51">_xlfn.XLOOKUP(TRUE, EXACT(O51, Table3[orig]), Table3[(Z)])</f>
        <v>d2</v>
      </c>
      <c r="R51" s="5" t="str" cm="1">
        <f t="array" ref="R51">_xlfn.XLOOKUP(TRUE, EXACT(Table2[[#This Row],[Z2]], Table9[orig]), Table9[char])</f>
        <v>_</v>
      </c>
      <c r="S51" t="str" cm="1">
        <f t="array" ref="S51">_xlfn.XLOOKUP(TRUE, EXACT(Q51, Table3[orig]), Table3[(Z)])</f>
        <v>l2</v>
      </c>
      <c r="T51" s="5" t="str" cm="1">
        <f t="array" ref="T51">_xlfn.XLOOKUP(TRUE, EXACT(Table2[[#This Row],[Z'']], Table9[orig]), Table9[char])</f>
        <v>n</v>
      </c>
      <c r="U51" t="str" cm="1">
        <f t="array" ref="U51">_xlfn.XLOOKUP(TRUE, EXACT(Table2[[#This Row],[orig]], Table5[orig]), Table5[(T-reflection)])</f>
        <v>u2</v>
      </c>
      <c r="V51" s="5" t="str" cm="1">
        <f t="array" ref="V51">_xlfn.XLOOKUP(TRUE, EXACT(Table2[[#This Row],[T-reflection]], Table9[orig]), Table9[char])</f>
        <v>v</v>
      </c>
      <c r="W51" t="str" cm="1">
        <f t="array" ref="W51">_xlfn.XLOOKUP(TRUE, EXACT(Table2[[#This Row],[orig]], Table6[orig]), Table6[(H-reflection)])</f>
        <v>d2</v>
      </c>
      <c r="X51" s="5" t="str" cm="1">
        <f t="array" ref="X51">_xlfn.XLOOKUP(TRUE, EXACT(Table2[[#This Row],[H-reflection]], Table9[orig]), Table9[char])</f>
        <v>_</v>
      </c>
      <c r="Y51" t="str" cm="1">
        <f t="array" ref="Y51">_xlfn.XLOOKUP(TRUE, EXACT(Table2[[#This Row],[orig]], Table7[orig]), Table7[(S-reflection)])</f>
        <v>u2</v>
      </c>
      <c r="Z51" s="5" t="str" cm="1">
        <f t="array" ref="Z51">_xlfn.XLOOKUP(TRUE, EXACT(Table2[[#This Row],[S-reflection]], Table9[orig]), Table9[char])</f>
        <v>v</v>
      </c>
    </row>
    <row r="52" spans="1:26" x14ac:dyDescent="0.2">
      <c r="A52" t="str">
        <f>Tables!E55</f>
        <v>H2</v>
      </c>
      <c r="B52" s="5" t="str" cm="1">
        <f t="array" ref="B52">_xlfn.XLOOKUP(TRUE, EXACT(Table2[[#This Row],[orig]], Table9[orig]), Table9[char])</f>
        <v>/</v>
      </c>
      <c r="C52" t="str" cm="1">
        <f t="array" ref="C52">_xlfn.XLOOKUP(TRUE, EXACT(Table2[[#This Row],[orig]], Table4[orig]), Table4[(X)])</f>
        <v>S2</v>
      </c>
      <c r="D52" s="5" t="str" cm="1">
        <f t="array" ref="D52">_xlfn.XLOOKUP(TRUE, EXACT(Table2[[#This Row],[X]], Table9[orig]), Table9[char])</f>
        <v>^</v>
      </c>
      <c r="E52" t="str" cm="1">
        <f t="array" ref="E52">_xlfn.XLOOKUP(TRUE, EXACT(C52, Table4[orig]), Table4[(X)])</f>
        <v>H2</v>
      </c>
      <c r="F52" s="5" t="str" cm="1">
        <f t="array" ref="F52">_xlfn.XLOOKUP(TRUE, EXACT(Table2[[#This Row],[X2]], Table9[orig]), Table9[char])</f>
        <v>/</v>
      </c>
      <c r="G52" t="str" cm="1">
        <f t="array" ref="G52">_xlfn.XLOOKUP(TRUE, EXACT(E52, Table4[orig]), Table4[(X)])</f>
        <v>S2</v>
      </c>
      <c r="H52" s="5" t="str" cm="1">
        <f t="array" ref="H52">_xlfn.XLOOKUP(TRUE, EXACT(Table2[[#This Row],[X'']], Table9[orig]), Table9[char])</f>
        <v>^</v>
      </c>
      <c r="I52" t="str" cm="1">
        <f t="array" ref="I52">_xlfn.XLOOKUP(TRUE, EXACT(A52, Table1[orig]), Table1[(Y)])</f>
        <v>H2</v>
      </c>
      <c r="J52" s="5" t="str" cm="1">
        <f t="array" ref="J52">_xlfn.XLOOKUP(TRUE, EXACT(Table2[[#This Row],[Y]], Table9[orig]), Table9[char])</f>
        <v>/</v>
      </c>
      <c r="K52" t="str" cm="1">
        <f t="array" ref="K52">_xlfn.XLOOKUP(TRUE, EXACT(I52, Table1[orig]), Table1[(Y)])</f>
        <v>H2</v>
      </c>
      <c r="L52" s="5" t="str" cm="1">
        <f t="array" ref="L52">_xlfn.XLOOKUP(TRUE, EXACT(Table2[[#This Row],[Y2]], Table9[orig]), Table9[char])</f>
        <v>/</v>
      </c>
      <c r="M52" t="str" cm="1">
        <f t="array" ref="M52">_xlfn.XLOOKUP(TRUE, EXACT(K52, Table1[orig]), Table1[(Y)])</f>
        <v>H2</v>
      </c>
      <c r="N52" s="5" t="str" cm="1">
        <f t="array" ref="N52">_xlfn.XLOOKUP(TRUE, EXACT(Table2[[#This Row],[Y'']], Table9[orig]), Table9[char])</f>
        <v>/</v>
      </c>
      <c r="O52" t="str" cm="1">
        <f t="array" ref="O52">_xlfn.XLOOKUP(TRUE, EXACT(Table2[[#This Row],[orig]], Table3[orig]), Table3[(Z)])</f>
        <v>T2</v>
      </c>
      <c r="P52" s="5" t="str" cm="1">
        <f t="array" ref="P52">_xlfn.XLOOKUP(TRUE, EXACT(Table2[[#This Row],[Z]], Table9[orig]), Table9[char])</f>
        <v>K</v>
      </c>
      <c r="Q52" t="str" cm="1">
        <f t="array" ref="Q52">_xlfn.XLOOKUP(TRUE, EXACT(O52, Table3[orig]), Table3[(Z)])</f>
        <v>H2</v>
      </c>
      <c r="R52" s="5" t="str" cm="1">
        <f t="array" ref="R52">_xlfn.XLOOKUP(TRUE, EXACT(Table2[[#This Row],[Z2]], Table9[orig]), Table9[char])</f>
        <v>/</v>
      </c>
      <c r="S52" t="str" cm="1">
        <f t="array" ref="S52">_xlfn.XLOOKUP(TRUE, EXACT(Q52, Table3[orig]), Table3[(Z)])</f>
        <v>T2</v>
      </c>
      <c r="T52" s="5" t="str" cm="1">
        <f t="array" ref="T52">_xlfn.XLOOKUP(TRUE, EXACT(Table2[[#This Row],[Z'']], Table9[orig]), Table9[char])</f>
        <v>K</v>
      </c>
      <c r="U52" t="str" cm="1">
        <f t="array" ref="U52">_xlfn.XLOOKUP(TRUE, EXACT(Table2[[#This Row],[orig]], Table5[orig]), Table5[(T-reflection)])</f>
        <v>H2</v>
      </c>
      <c r="V52" s="5" t="str" cm="1">
        <f t="array" ref="V52">_xlfn.XLOOKUP(TRUE, EXACT(Table2[[#This Row],[T-reflection]], Table9[orig]), Table9[char])</f>
        <v>/</v>
      </c>
      <c r="W52" t="str" cm="1">
        <f t="array" ref="W52">_xlfn.XLOOKUP(TRUE, EXACT(Table2[[#This Row],[orig]], Table6[orig]), Table6[(H-reflection)])</f>
        <v>H2</v>
      </c>
      <c r="X52" s="5" t="str" cm="1">
        <f t="array" ref="X52">_xlfn.XLOOKUP(TRUE, EXACT(Table2[[#This Row],[H-reflection]], Table9[orig]), Table9[char])</f>
        <v>/</v>
      </c>
      <c r="Y52" t="str" cm="1">
        <f t="array" ref="Y52">_xlfn.XLOOKUP(TRUE, EXACT(Table2[[#This Row],[orig]], Table7[orig]), Table7[(S-reflection)])</f>
        <v>H2</v>
      </c>
      <c r="Z52" s="5" t="str" cm="1">
        <f t="array" ref="Z52">_xlfn.XLOOKUP(TRUE, EXACT(Table2[[#This Row],[S-reflection]], Table9[orig]), Table9[char])</f>
        <v>/</v>
      </c>
    </row>
    <row r="53" spans="1:26" x14ac:dyDescent="0.2">
      <c r="A53" t="str">
        <f>Tables!E56</f>
        <v>d2</v>
      </c>
      <c r="B53" s="5" t="str" cm="1">
        <f t="array" ref="B53">_xlfn.XLOOKUP(TRUE, EXACT(Table2[[#This Row],[orig]], Table9[orig]), Table9[char])</f>
        <v>_</v>
      </c>
      <c r="C53" t="str" cm="1">
        <f t="array" ref="C53">_xlfn.XLOOKUP(TRUE, EXACT(Table2[[#This Row],[orig]], Table4[orig]), Table4[(X)])</f>
        <v>f2</v>
      </c>
      <c r="D53" s="5" t="str" cm="1">
        <f t="array" ref="D53">_xlfn.XLOOKUP(TRUE, EXACT(Table2[[#This Row],[X]], Table9[orig]), Table9[char])</f>
        <v>?</v>
      </c>
      <c r="E53" t="str" cm="1">
        <f t="array" ref="E53">_xlfn.XLOOKUP(TRUE, EXACT(C53, Table4[orig]), Table4[(X)])</f>
        <v>u2</v>
      </c>
      <c r="F53" s="5" t="str" cm="1">
        <f t="array" ref="F53">_xlfn.XLOOKUP(TRUE, EXACT(Table2[[#This Row],[X2]], Table9[orig]), Table9[char])</f>
        <v>v</v>
      </c>
      <c r="G53" t="str" cm="1">
        <f t="array" ref="G53">_xlfn.XLOOKUP(TRUE, EXACT(E53, Table4[orig]), Table4[(X)])</f>
        <v>b2</v>
      </c>
      <c r="H53" s="5" t="str" cm="1">
        <f t="array" ref="H53">_xlfn.XLOOKUP(TRUE, EXACT(Table2[[#This Row],[X'']], Table9[orig]), Table9[char])</f>
        <v>~</v>
      </c>
      <c r="I53" t="str" cm="1">
        <f t="array" ref="I53">_xlfn.XLOOKUP(TRUE, EXACT(A53, Table1[orig]), Table1[(Y)])</f>
        <v>d2</v>
      </c>
      <c r="J53" s="5" t="str" cm="1">
        <f t="array" ref="J53">_xlfn.XLOOKUP(TRUE, EXACT(Table2[[#This Row],[Y]], Table9[orig]), Table9[char])</f>
        <v>_</v>
      </c>
      <c r="K53" t="str" cm="1">
        <f t="array" ref="K53">_xlfn.XLOOKUP(TRUE, EXACT(I53, Table1[orig]), Table1[(Y)])</f>
        <v>d2</v>
      </c>
      <c r="L53" s="5" t="str" cm="1">
        <f t="array" ref="L53">_xlfn.XLOOKUP(TRUE, EXACT(Table2[[#This Row],[Y2]], Table9[orig]), Table9[char])</f>
        <v>_</v>
      </c>
      <c r="M53" t="str" cm="1">
        <f t="array" ref="M53">_xlfn.XLOOKUP(TRUE, EXACT(K53, Table1[orig]), Table1[(Y)])</f>
        <v>d2</v>
      </c>
      <c r="N53" s="5" t="str" cm="1">
        <f t="array" ref="N53">_xlfn.XLOOKUP(TRUE, EXACT(Table2[[#This Row],[Y'']], Table9[orig]), Table9[char])</f>
        <v>_</v>
      </c>
      <c r="O53" t="str" cm="1">
        <f t="array" ref="O53">_xlfn.XLOOKUP(TRUE, EXACT(Table2[[#This Row],[orig]], Table3[orig]), Table3[(Z)])</f>
        <v>l2</v>
      </c>
      <c r="P53" s="5" t="str" cm="1">
        <f t="array" ref="P53">_xlfn.XLOOKUP(TRUE, EXACT(Table2[[#This Row],[Z]], Table9[orig]), Table9[char])</f>
        <v>n</v>
      </c>
      <c r="Q53" t="str" cm="1">
        <f t="array" ref="Q53">_xlfn.XLOOKUP(TRUE, EXACT(O53, Table3[orig]), Table3[(Z)])</f>
        <v>u2</v>
      </c>
      <c r="R53" s="5" t="str" cm="1">
        <f t="array" ref="R53">_xlfn.XLOOKUP(TRUE, EXACT(Table2[[#This Row],[Z2]], Table9[orig]), Table9[char])</f>
        <v>v</v>
      </c>
      <c r="S53" t="str" cm="1">
        <f t="array" ref="S53">_xlfn.XLOOKUP(TRUE, EXACT(Q53, Table3[orig]), Table3[(Z)])</f>
        <v>r2</v>
      </c>
      <c r="T53" s="5" t="str" cm="1">
        <f t="array" ref="T53">_xlfn.XLOOKUP(TRUE, EXACT(Table2[[#This Row],[Z'']], Table9[orig]), Table9[char])</f>
        <v>j</v>
      </c>
      <c r="U53" t="str" cm="1">
        <f t="array" ref="U53">_xlfn.XLOOKUP(TRUE, EXACT(Table2[[#This Row],[orig]], Table5[orig]), Table5[(T-reflection)])</f>
        <v>d2</v>
      </c>
      <c r="V53" s="5" t="str" cm="1">
        <f t="array" ref="V53">_xlfn.XLOOKUP(TRUE, EXACT(Table2[[#This Row],[T-reflection]], Table9[orig]), Table9[char])</f>
        <v>_</v>
      </c>
      <c r="W53" t="str" cm="1">
        <f t="array" ref="W53">_xlfn.XLOOKUP(TRUE, EXACT(Table2[[#This Row],[orig]], Table6[orig]), Table6[(H-reflection)])</f>
        <v>u2</v>
      </c>
      <c r="X53" s="5" t="str" cm="1">
        <f t="array" ref="X53">_xlfn.XLOOKUP(TRUE, EXACT(Table2[[#This Row],[H-reflection]], Table9[orig]), Table9[char])</f>
        <v>v</v>
      </c>
      <c r="Y53" t="str" cm="1">
        <f t="array" ref="Y53">_xlfn.XLOOKUP(TRUE, EXACT(Table2[[#This Row],[orig]], Table7[orig]), Table7[(S-reflection)])</f>
        <v>d2</v>
      </c>
      <c r="Z53" s="5" t="str" cm="1">
        <f t="array" ref="Z53">_xlfn.XLOOKUP(TRUE, EXACT(Table2[[#This Row],[S-reflection]], Table9[orig]), Table9[char])</f>
        <v>_</v>
      </c>
    </row>
    <row r="54" spans="1:26" x14ac:dyDescent="0.2">
      <c r="A54" t="str">
        <f>Tables!E57</f>
        <v>D2</v>
      </c>
      <c r="B54" s="5" t="str" cm="1">
        <f t="array" ref="B54">_xlfn.XLOOKUP(TRUE, EXACT(Table2[[#This Row],[orig]], Table9[orig]), Table9[char])</f>
        <v>c</v>
      </c>
      <c r="C54" t="str" cm="1">
        <f t="array" ref="C54">_xlfn.XLOOKUP(TRUE, EXACT(Table2[[#This Row],[orig]], Table4[orig]), Table4[(X)])</f>
        <v>F2</v>
      </c>
      <c r="D54" s="5" t="str" cm="1">
        <f t="array" ref="D54">_xlfn.XLOOKUP(TRUE, EXACT(Table2[[#This Row],[X]], Table9[orig]), Table9[char])</f>
        <v>$</v>
      </c>
      <c r="E54" t="str" cm="1">
        <f t="array" ref="E54">_xlfn.XLOOKUP(TRUE, EXACT(C54, Table4[orig]), Table4[(X)])</f>
        <v>U2</v>
      </c>
      <c r="F54" s="5" t="str" cm="1">
        <f t="array" ref="F54">_xlfn.XLOOKUP(TRUE, EXACT(Table2[[#This Row],[X2]], Table9[orig]), Table9[char])</f>
        <v>\</v>
      </c>
      <c r="G54" t="str" cm="1">
        <f t="array" ref="G54">_xlfn.XLOOKUP(TRUE, EXACT(E54, Table4[orig]), Table4[(X)])</f>
        <v>B2</v>
      </c>
      <c r="H54" s="5" t="str" cm="1">
        <f t="array" ref="H54">_xlfn.XLOOKUP(TRUE, EXACT(Table2[[#This Row],[X'']], Table9[orig]), Table9[char])</f>
        <v>`</v>
      </c>
      <c r="I54" t="str" cm="1">
        <f t="array" ref="I54">_xlfn.XLOOKUP(TRUE, EXACT(A54, Table1[orig]), Table1[(Y)])</f>
        <v>D2</v>
      </c>
      <c r="J54" s="5" t="str" cm="1">
        <f t="array" ref="J54">_xlfn.XLOOKUP(TRUE, EXACT(Table2[[#This Row],[Y]], Table9[orig]), Table9[char])</f>
        <v>c</v>
      </c>
      <c r="K54" t="str" cm="1">
        <f t="array" ref="K54">_xlfn.XLOOKUP(TRUE, EXACT(I54, Table1[orig]), Table1[(Y)])</f>
        <v>D2</v>
      </c>
      <c r="L54" s="5" t="str" cm="1">
        <f t="array" ref="L54">_xlfn.XLOOKUP(TRUE, EXACT(Table2[[#This Row],[Y2]], Table9[orig]), Table9[char])</f>
        <v>c</v>
      </c>
      <c r="M54" t="str" cm="1">
        <f t="array" ref="M54">_xlfn.XLOOKUP(TRUE, EXACT(K54, Table1[orig]), Table1[(Y)])</f>
        <v>D2</v>
      </c>
      <c r="N54" s="5" t="str" cm="1">
        <f t="array" ref="N54">_xlfn.XLOOKUP(TRUE, EXACT(Table2[[#This Row],[Y'']], Table9[orig]), Table9[char])</f>
        <v>c</v>
      </c>
      <c r="O54" t="str" cm="1">
        <f t="array" ref="O54">_xlfn.XLOOKUP(TRUE, EXACT(Table2[[#This Row],[orig]], Table3[orig]), Table3[(Z)])</f>
        <v>L2</v>
      </c>
      <c r="P54" s="5" t="str" cm="1">
        <f t="array" ref="P54">_xlfn.XLOOKUP(TRUE, EXACT(Table2[[#This Row],[Z]], Table9[orig]), Table9[char])</f>
        <v>N</v>
      </c>
      <c r="Q54" t="str" cm="1">
        <f t="array" ref="Q54">_xlfn.XLOOKUP(TRUE, EXACT(O54, Table3[orig]), Table3[(Z)])</f>
        <v>U2</v>
      </c>
      <c r="R54" s="5" t="str" cm="1">
        <f t="array" ref="R54">_xlfn.XLOOKUP(TRUE, EXACT(Table2[[#This Row],[Z2]], Table9[orig]), Table9[char])</f>
        <v>\</v>
      </c>
      <c r="S54" t="str" cm="1">
        <f t="array" ref="S54">_xlfn.XLOOKUP(TRUE, EXACT(Q54, Table3[orig]), Table3[(Z)])</f>
        <v>R2</v>
      </c>
      <c r="T54" s="5" t="str" cm="1">
        <f t="array" ref="T54">_xlfn.XLOOKUP(TRUE, EXACT(Table2[[#This Row],[Z'']], Table9[orig]), Table9[char])</f>
        <v>J</v>
      </c>
      <c r="U54" t="str" cm="1">
        <f t="array" ref="U54">_xlfn.XLOOKUP(TRUE, EXACT(Table2[[#This Row],[orig]], Table5[orig]), Table5[(T-reflection)])</f>
        <v>D2</v>
      </c>
      <c r="V54" s="5" t="str" cm="1">
        <f t="array" ref="V54">_xlfn.XLOOKUP(TRUE, EXACT(Table2[[#This Row],[T-reflection]], Table9[orig]), Table9[char])</f>
        <v>c</v>
      </c>
      <c r="W54" t="str" cm="1">
        <f t="array" ref="W54">_xlfn.XLOOKUP(TRUE, EXACT(Table2[[#This Row],[orig]], Table6[orig]), Table6[(H-reflection)])</f>
        <v>U2</v>
      </c>
      <c r="X54" s="5" t="str" cm="1">
        <f t="array" ref="X54">_xlfn.XLOOKUP(TRUE, EXACT(Table2[[#This Row],[H-reflection]], Table9[orig]), Table9[char])</f>
        <v>\</v>
      </c>
      <c r="Y54" t="str" cm="1">
        <f t="array" ref="Y54">_xlfn.XLOOKUP(TRUE, EXACT(Table2[[#This Row],[orig]], Table7[orig]), Table7[(S-reflection)])</f>
        <v>D2</v>
      </c>
      <c r="Z54" s="5" t="str" cm="1">
        <f t="array" ref="Z54">_xlfn.XLOOKUP(TRUE, EXACT(Table2[[#This Row],[S-reflection]], Table9[orig]), Table9[char])</f>
        <v>c</v>
      </c>
    </row>
    <row r="55" spans="1:26" x14ac:dyDescent="0.2">
      <c r="A55" s="3" t="str">
        <f>Tables!E58</f>
        <v>Y2</v>
      </c>
      <c r="B55" s="8" t="str" cm="1">
        <f t="array" ref="B55">_xlfn.XLOOKUP(TRUE, EXACT(Table2[[#This Row],[orig]], Table9[orig]), Table9[char])</f>
        <v>I</v>
      </c>
      <c r="C55" s="3" t="str" cm="1">
        <f t="array" ref="C55">_xlfn.XLOOKUP(TRUE, EXACT(Table2[[#This Row],[orig]], Table4[orig]), Table4[(X)])</f>
        <v>Z2</v>
      </c>
      <c r="D55" s="8" t="str" cm="1">
        <f t="array" ref="D55">_xlfn.XLOOKUP(TRUE, EXACT(Table2[[#This Row],[X]], Table9[orig]), Table9[char])</f>
        <v>=</v>
      </c>
      <c r="E55" s="3" t="str" cm="1">
        <f t="array" ref="E55">_xlfn.XLOOKUP(TRUE, EXACT(C55, Table4[orig]), Table4[(X)])</f>
        <v>Y2</v>
      </c>
      <c r="F55" s="8" t="str" cm="1">
        <f t="array" ref="F55">_xlfn.XLOOKUP(TRUE, EXACT(Table2[[#This Row],[X2]], Table9[orig]), Table9[char])</f>
        <v>I</v>
      </c>
      <c r="G55" s="3" t="str" cm="1">
        <f t="array" ref="G55">_xlfn.XLOOKUP(TRUE, EXACT(E55, Table4[orig]), Table4[(X)])</f>
        <v>Z2</v>
      </c>
      <c r="H55" s="8" t="str" cm="1">
        <f t="array" ref="H55">_xlfn.XLOOKUP(TRUE, EXACT(Table2[[#This Row],[X'']], Table9[orig]), Table9[char])</f>
        <v>=</v>
      </c>
      <c r="I55" s="3" t="str" cm="1">
        <f t="array" ref="I55">_xlfn.XLOOKUP(TRUE, EXACT(A55, Table1[orig]), Table1[(Y)])</f>
        <v>Y2</v>
      </c>
      <c r="J55" s="8" t="str" cm="1">
        <f t="array" ref="J55">_xlfn.XLOOKUP(TRUE, EXACT(Table2[[#This Row],[Y]], Table9[orig]), Table9[char])</f>
        <v>I</v>
      </c>
      <c r="K55" s="3" t="str" cm="1">
        <f t="array" ref="K55">_xlfn.XLOOKUP(TRUE, EXACT(I55, Table1[orig]), Table1[(Y)])</f>
        <v>Y2</v>
      </c>
      <c r="L55" s="8" t="str" cm="1">
        <f t="array" ref="L55">_xlfn.XLOOKUP(TRUE, EXACT(Table2[[#This Row],[Y2]], Table9[orig]), Table9[char])</f>
        <v>I</v>
      </c>
      <c r="M55" s="3" t="str" cm="1">
        <f t="array" ref="M55">_xlfn.XLOOKUP(TRUE, EXACT(K55, Table1[orig]), Table1[(Y)])</f>
        <v>Y2</v>
      </c>
      <c r="N55" s="8" t="str" cm="1">
        <f t="array" ref="N55">_xlfn.XLOOKUP(TRUE, EXACT(Table2[[#This Row],[Y'']], Table9[orig]), Table9[char])</f>
        <v>I</v>
      </c>
      <c r="O55" s="3" t="str" cm="1">
        <f t="array" ref="O55">_xlfn.XLOOKUP(TRUE, EXACT(Table2[[#This Row],[orig]], Table3[orig]), Table3[(Z)])</f>
        <v>X2</v>
      </c>
      <c r="P55" s="8" t="str" cm="1">
        <f t="array" ref="P55">_xlfn.XLOOKUP(TRUE, EXACT(Table2[[#This Row],[Z]], Table9[orig]), Table9[char])</f>
        <v>P</v>
      </c>
      <c r="Q55" s="3" t="str" cm="1">
        <f t="array" ref="Q55">_xlfn.XLOOKUP(TRUE, EXACT(O55, Table3[orig]), Table3[(Z)])</f>
        <v>Y2</v>
      </c>
      <c r="R55" s="8" t="str" cm="1">
        <f t="array" ref="R55">_xlfn.XLOOKUP(TRUE, EXACT(Table2[[#This Row],[Z2]], Table9[orig]), Table9[char])</f>
        <v>I</v>
      </c>
      <c r="S55" s="3" t="str" cm="1">
        <f t="array" ref="S55">_xlfn.XLOOKUP(TRUE, EXACT(Q55, Table3[orig]), Table3[(Z)])</f>
        <v>X2</v>
      </c>
      <c r="T55" s="8" t="str" cm="1">
        <f t="array" ref="T55">_xlfn.XLOOKUP(TRUE, EXACT(Table2[[#This Row],[Z'']], Table9[orig]), Table9[char])</f>
        <v>P</v>
      </c>
      <c r="U55" s="3" t="str" cm="1">
        <f t="array" ref="U55">_xlfn.XLOOKUP(TRUE, EXACT(Table2[[#This Row],[orig]], Table5[orig]), Table5[(T-reflection)])</f>
        <v>Y2</v>
      </c>
      <c r="V55" s="8" t="str" cm="1">
        <f t="array" ref="V55">_xlfn.XLOOKUP(TRUE, EXACT(Table2[[#This Row],[T-reflection]], Table9[orig]), Table9[char])</f>
        <v>I</v>
      </c>
      <c r="W55" s="3" t="str" cm="1">
        <f t="array" ref="W55">_xlfn.XLOOKUP(TRUE, EXACT(Table2[[#This Row],[orig]], Table6[orig]), Table6[(H-reflection)])</f>
        <v>Y2</v>
      </c>
      <c r="X55" s="8" t="str" cm="1">
        <f t="array" ref="X55">_xlfn.XLOOKUP(TRUE, EXACT(Table2[[#This Row],[H-reflection]], Table9[orig]), Table9[char])</f>
        <v>I</v>
      </c>
      <c r="Y55" s="3" t="str" cm="1">
        <f t="array" ref="Y55">_xlfn.XLOOKUP(TRUE, EXACT(Table2[[#This Row],[orig]], Table7[orig]), Table7[(S-reflection)])</f>
        <v>Y2</v>
      </c>
      <c r="Z55" s="5" t="str" cm="1">
        <f t="array" ref="Z55">_xlfn.XLOOKUP(TRUE, EXACT(Table2[[#This Row],[S-reflection]], Table9[orig]), Table9[char])</f>
        <v>I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Tables</vt:lpstr>
      <vt:lpstr>Other Tables</vt:lpstr>
      <vt:lpstr>table_1</vt:lpstr>
      <vt:lpstr>table_2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Susan Sprigg</cp:lastModifiedBy>
  <cp:revision/>
  <dcterms:created xsi:type="dcterms:W3CDTF">2024-03-04T03:28:46Z</dcterms:created>
  <dcterms:modified xsi:type="dcterms:W3CDTF">2024-06-30T06:23:17Z</dcterms:modified>
  <cp:category/>
  <cp:contentStatus/>
</cp:coreProperties>
</file>