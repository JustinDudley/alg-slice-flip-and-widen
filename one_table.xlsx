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dudley/dev/cube/Alg_Slice_And_Widen_daddy/alg-slice-and-widen/"/>
    </mc:Choice>
  </mc:AlternateContent>
  <xr:revisionPtr revIDLastSave="0" documentId="13_ncr:1_{58836AC4-ECDF-BE4A-90C9-CDA26DD0A2EE}" xr6:coauthVersionLast="47" xr6:coauthVersionMax="47" xr10:uidLastSave="{00000000-0000-0000-0000-000000000000}"/>
  <bookViews>
    <workbookView xWindow="0" yWindow="1400" windowWidth="32260" windowHeight="16800" activeTab="1" xr2:uid="{00000000-000D-0000-FFFF-FFFF00000000}"/>
  </bookViews>
  <sheets>
    <sheet name="table_1" sheetId="13" r:id="rId1"/>
    <sheet name="Sheet1" sheetId="1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5" l="1"/>
  <c r="C5" i="15"/>
  <c r="C4" i="15"/>
  <c r="C3" i="15"/>
  <c r="C2" i="15"/>
  <c r="J55" i="13"/>
  <c r="E55" i="13" a="1"/>
  <c r="E55" i="13" s="1"/>
  <c r="F55" i="13" s="1"/>
  <c r="C55" i="13"/>
  <c r="J54" i="13"/>
  <c r="H54" i="13" a="1"/>
  <c r="H54" i="13"/>
  <c r="E54" i="13" a="1"/>
  <c r="E54" i="13"/>
  <c r="F54" i="13" s="1"/>
  <c r="C54" i="13"/>
  <c r="J53" i="13"/>
  <c r="H53" i="13" a="1"/>
  <c r="H53" i="13"/>
  <c r="E53" i="13" a="1"/>
  <c r="E53" i="13" s="1"/>
  <c r="F53" i="13" s="1"/>
  <c r="C53" i="13"/>
  <c r="J52" i="13"/>
  <c r="H52" i="13" a="1"/>
  <c r="H52" i="13"/>
  <c r="E52" i="13" a="1"/>
  <c r="E52" i="13" s="1"/>
  <c r="F52" i="13" s="1"/>
  <c r="C52" i="13"/>
  <c r="J51" i="13"/>
  <c r="H51" i="13" a="1"/>
  <c r="H51" i="13" s="1"/>
  <c r="E51" i="13" a="1"/>
  <c r="E51" i="13"/>
  <c r="F51" i="13" s="1"/>
  <c r="C51" i="13"/>
  <c r="J50" i="13"/>
  <c r="H50" i="13" a="1"/>
  <c r="H50" i="13"/>
  <c r="E50" i="13" a="1"/>
  <c r="E50" i="13"/>
  <c r="F50" i="13" s="1"/>
  <c r="C50" i="13"/>
  <c r="J49" i="13"/>
  <c r="E49" i="13" a="1"/>
  <c r="E49" i="13"/>
  <c r="F49" i="13" s="1"/>
  <c r="C49" i="13"/>
  <c r="J48" i="13"/>
  <c r="H48" i="13" a="1"/>
  <c r="H48" i="13"/>
  <c r="E48" i="13" a="1"/>
  <c r="E48" i="13" s="1"/>
  <c r="F48" i="13" s="1"/>
  <c r="C48" i="13"/>
  <c r="J47" i="13"/>
  <c r="H47" i="13" a="1"/>
  <c r="H47" i="13"/>
  <c r="E47" i="13" a="1"/>
  <c r="E47" i="13"/>
  <c r="F47" i="13" s="1"/>
  <c r="C47" i="13"/>
  <c r="J46" i="13"/>
  <c r="H46" i="13" a="1"/>
  <c r="H46" i="13"/>
  <c r="E46" i="13" a="1"/>
  <c r="E46" i="13"/>
  <c r="F46" i="13" s="1"/>
  <c r="C46" i="13"/>
  <c r="J45" i="13"/>
  <c r="H45" i="13" a="1"/>
  <c r="H45" i="13"/>
  <c r="E45" i="13" a="1"/>
  <c r="E45" i="13"/>
  <c r="F45" i="13" s="1"/>
  <c r="C45" i="13"/>
  <c r="J44" i="13"/>
  <c r="H44" i="13" a="1"/>
  <c r="H44" i="13" s="1"/>
  <c r="E44" i="13" a="1"/>
  <c r="E44" i="13"/>
  <c r="F44" i="13" s="1"/>
  <c r="C44" i="13"/>
  <c r="J43" i="13"/>
  <c r="E43" i="13" a="1"/>
  <c r="E43" i="13"/>
  <c r="F43" i="13" s="1"/>
  <c r="C43" i="13"/>
  <c r="J42" i="13"/>
  <c r="H42" i="13" a="1"/>
  <c r="H42" i="13" s="1"/>
  <c r="E42" i="13" a="1"/>
  <c r="E42" i="13"/>
  <c r="F42" i="13" s="1"/>
  <c r="C42" i="13"/>
  <c r="J41" i="13"/>
  <c r="H41" i="13" a="1"/>
  <c r="H41" i="13"/>
  <c r="F41" i="13"/>
  <c r="E41" i="13" a="1"/>
  <c r="E41" i="13"/>
  <c r="C41" i="13"/>
  <c r="J40" i="13"/>
  <c r="H40" i="13" a="1"/>
  <c r="H40" i="13" s="1"/>
  <c r="E40" i="13" a="1"/>
  <c r="E40" i="13"/>
  <c r="F40" i="13" s="1"/>
  <c r="C40" i="13"/>
  <c r="J39" i="13"/>
  <c r="H39" i="13" a="1"/>
  <c r="H39" i="13" s="1"/>
  <c r="E39" i="13" a="1"/>
  <c r="E39" i="13" s="1"/>
  <c r="F39" i="13" s="1"/>
  <c r="C39" i="13"/>
  <c r="J38" i="13"/>
  <c r="H38" i="13" a="1"/>
  <c r="H38" i="13"/>
  <c r="E38" i="13" a="1"/>
  <c r="E38" i="13"/>
  <c r="F38" i="13" s="1"/>
  <c r="C38" i="13"/>
  <c r="J37" i="13"/>
  <c r="E37" i="13" a="1"/>
  <c r="E37" i="13" s="1"/>
  <c r="F37" i="13" s="1"/>
  <c r="C37" i="13"/>
  <c r="J36" i="13"/>
  <c r="H36" i="13" a="1"/>
  <c r="H36" i="13"/>
  <c r="E36" i="13" a="1"/>
  <c r="E36" i="13"/>
  <c r="F36" i="13" s="1"/>
  <c r="C36" i="13"/>
  <c r="J35" i="13"/>
  <c r="H35" i="13" a="1"/>
  <c r="H35" i="13"/>
  <c r="E35" i="13" a="1"/>
  <c r="E35" i="13" s="1"/>
  <c r="F35" i="13" s="1"/>
  <c r="C35" i="13"/>
  <c r="J34" i="13"/>
  <c r="H34" i="13" a="1"/>
  <c r="H34" i="13"/>
  <c r="E34" i="13" a="1"/>
  <c r="E34" i="13" s="1"/>
  <c r="F34" i="13" s="1"/>
  <c r="C34" i="13"/>
  <c r="J33" i="13"/>
  <c r="H33" i="13" a="1"/>
  <c r="H33" i="13"/>
  <c r="E33" i="13" a="1"/>
  <c r="E33" i="13"/>
  <c r="F33" i="13" s="1"/>
  <c r="C33" i="13"/>
  <c r="J32" i="13"/>
  <c r="H32" i="13" a="1"/>
  <c r="H32" i="13"/>
  <c r="E32" i="13" a="1"/>
  <c r="E32" i="13"/>
  <c r="F32" i="13" s="1"/>
  <c r="C32" i="13"/>
  <c r="J31" i="13"/>
  <c r="E31" i="13" a="1"/>
  <c r="E31" i="13"/>
  <c r="F31" i="13" s="1"/>
  <c r="C31" i="13"/>
  <c r="J30" i="13"/>
  <c r="H30" i="13" a="1"/>
  <c r="H30" i="13"/>
  <c r="E30" i="13" a="1"/>
  <c r="E30" i="13"/>
  <c r="F30" i="13" s="1"/>
  <c r="C30" i="13"/>
  <c r="J29" i="13"/>
  <c r="H29" i="13" a="1"/>
  <c r="H29" i="13"/>
  <c r="E29" i="13" a="1"/>
  <c r="E29" i="13"/>
  <c r="F29" i="13" s="1"/>
  <c r="C29" i="13"/>
  <c r="J28" i="13"/>
  <c r="H28" i="13" a="1"/>
  <c r="H28" i="13"/>
  <c r="F28" i="13"/>
  <c r="E28" i="13" a="1"/>
  <c r="E28" i="13"/>
  <c r="C28" i="13"/>
  <c r="J27" i="13"/>
  <c r="H27" i="13" a="1"/>
  <c r="H27" i="13"/>
  <c r="E27" i="13" a="1"/>
  <c r="E27" i="13"/>
  <c r="F27" i="13" s="1"/>
  <c r="C27" i="13"/>
  <c r="J26" i="13"/>
  <c r="H26" i="13" a="1"/>
  <c r="H26" i="13" s="1"/>
  <c r="E26" i="13" a="1"/>
  <c r="E26" i="13"/>
  <c r="F26" i="13" s="1"/>
  <c r="C26" i="13"/>
  <c r="J25" i="13"/>
  <c r="E25" i="13" a="1"/>
  <c r="E25" i="13"/>
  <c r="F25" i="13" s="1"/>
  <c r="C25" i="13"/>
  <c r="J24" i="13"/>
  <c r="H24" i="13" a="1"/>
  <c r="H24" i="13" s="1"/>
  <c r="E24" i="13" a="1"/>
  <c r="E24" i="13"/>
  <c r="F24" i="13" s="1"/>
  <c r="C24" i="13"/>
  <c r="J23" i="13"/>
  <c r="H23" i="13" a="1"/>
  <c r="H23" i="13"/>
  <c r="F23" i="13"/>
  <c r="E23" i="13" a="1"/>
  <c r="E23" i="13"/>
  <c r="C23" i="13"/>
  <c r="J22" i="13"/>
  <c r="H22" i="13" a="1"/>
  <c r="H22" i="13" s="1"/>
  <c r="E22" i="13" a="1"/>
  <c r="E22" i="13"/>
  <c r="F22" i="13" s="1"/>
  <c r="C22" i="13"/>
  <c r="J21" i="13"/>
  <c r="H21" i="13" a="1"/>
  <c r="H21" i="13" s="1"/>
  <c r="E21" i="13" a="1"/>
  <c r="E21" i="13" s="1"/>
  <c r="F21" i="13" s="1"/>
  <c r="C21" i="13"/>
  <c r="J20" i="13"/>
  <c r="H20" i="13" a="1"/>
  <c r="H20" i="13"/>
  <c r="E20" i="13" a="1"/>
  <c r="E20" i="13"/>
  <c r="F20" i="13" s="1"/>
  <c r="C20" i="13"/>
  <c r="J19" i="13"/>
  <c r="E19" i="13" a="1"/>
  <c r="E19" i="13" s="1"/>
  <c r="F19" i="13" s="1"/>
  <c r="C19" i="13"/>
  <c r="J18" i="13"/>
  <c r="H18" i="13" a="1"/>
  <c r="H18" i="13"/>
  <c r="E18" i="13" a="1"/>
  <c r="E18" i="13"/>
  <c r="F18" i="13" s="1"/>
  <c r="C18" i="13"/>
  <c r="J17" i="13"/>
  <c r="H17" i="13" a="1"/>
  <c r="H17" i="13"/>
  <c r="E17" i="13" a="1"/>
  <c r="E17" i="13" s="1"/>
  <c r="F17" i="13" s="1"/>
  <c r="C17" i="13"/>
  <c r="J16" i="13"/>
  <c r="H16" i="13" a="1"/>
  <c r="H16" i="13"/>
  <c r="E16" i="13" a="1"/>
  <c r="E16" i="13" s="1"/>
  <c r="F16" i="13" s="1"/>
  <c r="C16" i="13"/>
  <c r="J15" i="13"/>
  <c r="H15" i="13" a="1"/>
  <c r="H15" i="13"/>
  <c r="E15" i="13" a="1"/>
  <c r="E15" i="13"/>
  <c r="F15" i="13" s="1"/>
  <c r="C15" i="13"/>
  <c r="J14" i="13"/>
  <c r="H14" i="13" a="1"/>
  <c r="H14" i="13"/>
  <c r="E14" i="13" a="1"/>
  <c r="E14" i="13"/>
  <c r="F14" i="13" s="1"/>
  <c r="C14" i="13"/>
  <c r="J13" i="13"/>
  <c r="E13" i="13" a="1"/>
  <c r="E13" i="13"/>
  <c r="F13" i="13" s="1"/>
  <c r="C13" i="13"/>
  <c r="J12" i="13"/>
  <c r="H12" i="13" a="1"/>
  <c r="H12" i="13"/>
  <c r="E12" i="13" a="1"/>
  <c r="E12" i="13"/>
  <c r="F12" i="13" s="1"/>
  <c r="C12" i="13"/>
  <c r="J11" i="13"/>
  <c r="H11" i="13" a="1"/>
  <c r="H11" i="13"/>
  <c r="E11" i="13" a="1"/>
  <c r="E11" i="13"/>
  <c r="F11" i="13" s="1"/>
  <c r="C11" i="13"/>
  <c r="J10" i="13"/>
  <c r="H10" i="13" a="1"/>
  <c r="H10" i="13"/>
  <c r="F10" i="13"/>
  <c r="E10" i="13" a="1"/>
  <c r="E10" i="13"/>
  <c r="C10" i="13"/>
  <c r="J9" i="13"/>
  <c r="H9" i="13" a="1"/>
  <c r="H9" i="13"/>
  <c r="E9" i="13" a="1"/>
  <c r="E9" i="13"/>
  <c r="F9" i="13" s="1"/>
  <c r="C9" i="13"/>
  <c r="J8" i="13"/>
  <c r="H8" i="13" a="1"/>
  <c r="H8" i="13" s="1"/>
  <c r="E8" i="13" a="1"/>
  <c r="E8" i="13"/>
  <c r="F8" i="13" s="1"/>
  <c r="C8" i="13"/>
  <c r="J7" i="13"/>
  <c r="E7" i="13" a="1"/>
  <c r="E7" i="13"/>
  <c r="F7" i="13" s="1"/>
  <c r="C7" i="13"/>
  <c r="J6" i="13"/>
  <c r="H6" i="13" a="1"/>
  <c r="H6" i="13" s="1"/>
  <c r="E6" i="13" a="1"/>
  <c r="E6" i="13"/>
  <c r="F6" i="13" s="1"/>
  <c r="C6" i="13"/>
  <c r="J5" i="13"/>
  <c r="H5" i="13" a="1"/>
  <c r="H5" i="13"/>
  <c r="F5" i="13"/>
  <c r="E5" i="13" a="1"/>
  <c r="E5" i="13"/>
  <c r="C5" i="13"/>
  <c r="J4" i="13"/>
  <c r="H4" i="13" a="1"/>
  <c r="H4" i="13" s="1"/>
  <c r="E4" i="13" a="1"/>
  <c r="E4" i="13"/>
  <c r="F4" i="13" s="1"/>
  <c r="C4" i="13"/>
  <c r="J3" i="13"/>
  <c r="H3" i="13" a="1"/>
  <c r="H3" i="13" s="1"/>
  <c r="E3" i="13" a="1"/>
  <c r="E3" i="13" s="1"/>
  <c r="F3" i="13" s="1"/>
  <c r="C3" i="13"/>
  <c r="J2" i="13"/>
  <c r="H2" i="13" a="1"/>
  <c r="H2" i="13"/>
  <c r="E2" i="13" a="1"/>
  <c r="E2" i="13"/>
  <c r="F2" i="13" s="1"/>
  <c r="C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<sst xmlns="http://schemas.openxmlformats.org/spreadsheetml/2006/main" count="290" uniqueCount="109">
  <si>
    <t>X</t>
  </si>
  <si>
    <t>X'</t>
  </si>
  <si>
    <t>X2</t>
  </si>
  <si>
    <t>Y</t>
  </si>
  <si>
    <t>Y'</t>
  </si>
  <si>
    <t>Y2</t>
  </si>
  <si>
    <t>Z</t>
  </si>
  <si>
    <t>Z'</t>
  </si>
  <si>
    <t>Z2</t>
  </si>
  <si>
    <t>R</t>
  </si>
  <si>
    <t>L'</t>
  </si>
  <si>
    <t>R'</t>
  </si>
  <si>
    <t>L</t>
  </si>
  <si>
    <t>R2</t>
  </si>
  <si>
    <t>L2</t>
  </si>
  <si>
    <t>a</t>
  </si>
  <si>
    <t>b</t>
  </si>
  <si>
    <t>c</t>
  </si>
  <si>
    <t>d</t>
  </si>
  <si>
    <t>A</t>
  </si>
  <si>
    <t>B</t>
  </si>
  <si>
    <t>C</t>
  </si>
  <si>
    <t>D</t>
  </si>
  <si>
    <t>orig</t>
  </si>
  <si>
    <t>char</t>
  </si>
  <si>
    <t>code</t>
  </si>
  <si>
    <t>inverse</t>
  </si>
  <si>
    <t>inv char</t>
  </si>
  <si>
    <t>inv code</t>
  </si>
  <si>
    <t>Complement</t>
  </si>
  <si>
    <t>CompChar</t>
  </si>
  <si>
    <t>Rotation Direction</t>
  </si>
  <si>
    <t>orig + &lt;space&gt;</t>
  </si>
  <si>
    <t>l</t>
  </si>
  <si>
    <t>F</t>
  </si>
  <si>
    <t>r</t>
  </si>
  <si>
    <t>r'</t>
  </si>
  <si>
    <t>f</t>
  </si>
  <si>
    <t>l'</t>
  </si>
  <si>
    <t>T</t>
  </si>
  <si>
    <t>T'</t>
  </si>
  <si>
    <t>R'L</t>
  </si>
  <si>
    <t>S</t>
  </si>
  <si>
    <t>H'</t>
  </si>
  <si>
    <t>u</t>
  </si>
  <si>
    <t>U</t>
  </si>
  <si>
    <t>F'</t>
  </si>
  <si>
    <t>D'</t>
  </si>
  <si>
    <t>f'</t>
  </si>
  <si>
    <t>d'</t>
  </si>
  <si>
    <t>RL'</t>
  </si>
  <si>
    <t>S'</t>
  </si>
  <si>
    <t>H</t>
  </si>
  <si>
    <t>g</t>
  </si>
  <si>
    <t>b'</t>
  </si>
  <si>
    <t>u'</t>
  </si>
  <si>
    <t>G</t>
  </si>
  <si>
    <t>B'</t>
  </si>
  <si>
    <t>U'</t>
  </si>
  <si>
    <t>!</t>
  </si>
  <si>
    <t>J</t>
  </si>
  <si>
    <t>l2</t>
  </si>
  <si>
    <t>F2</t>
  </si>
  <si>
    <t>D2</t>
  </si>
  <si>
    <t>r2</t>
  </si>
  <si>
    <t>j</t>
  </si>
  <si>
    <t>f2</t>
  </si>
  <si>
    <t>d2</t>
  </si>
  <si>
    <t>T2</t>
  </si>
  <si>
    <t>K</t>
  </si>
  <si>
    <t>R2L2</t>
  </si>
  <si>
    <t>S2</t>
  </si>
  <si>
    <t>H2</t>
  </si>
  <si>
    <t>n</t>
  </si>
  <si>
    <t>b2</t>
  </si>
  <si>
    <t>u2</t>
  </si>
  <si>
    <t>N</t>
  </si>
  <si>
    <t>B2</t>
  </si>
  <si>
    <t>U2</t>
  </si>
  <si>
    <t>P</t>
  </si>
  <si>
    <t>F'B</t>
  </si>
  <si>
    <t>Q</t>
  </si>
  <si>
    <t>q</t>
  </si>
  <si>
    <t>V</t>
  </si>
  <si>
    <t>FB'</t>
  </si>
  <si>
    <t>&amp;</t>
  </si>
  <si>
    <t>@</t>
  </si>
  <si>
    <t>#</t>
  </si>
  <si>
    <t>$</t>
  </si>
  <si>
    <t>?</t>
  </si>
  <si>
    <t>^</t>
  </si>
  <si>
    <t>F2B2</t>
  </si>
  <si>
    <t>~</t>
  </si>
  <si>
    <t>`</t>
  </si>
  <si>
    <t>=</t>
  </si>
  <si>
    <t>U'D</t>
  </si>
  <si>
    <t>.</t>
  </si>
  <si>
    <t>-</t>
  </si>
  <si>
    <t>+</t>
  </si>
  <si>
    <t>UD'</t>
  </si>
  <si>
    <t>k</t>
  </si>
  <si>
    <t>%</t>
  </si>
  <si>
    <t>p</t>
  </si>
  <si>
    <t>\</t>
  </si>
  <si>
    <t>v</t>
  </si>
  <si>
    <t>/</t>
  </si>
  <si>
    <t>U2D2</t>
  </si>
  <si>
    <t>_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</si>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</sst>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/>
      <bottom style="thin">
        <color rgb="FF50505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2" borderId="0" xfId="0" applyFill="1"/>
    <xf numFmtId="0" fontId="0" fillId="0" borderId="0" xfId="0" quotePrefix="1"/>
    <xf numFmtId="0" fontId="0" fillId="0" borderId="1" xfId="0" quotePrefix="1" applyBorder="1"/>
    <xf numFmtId="0" fontId="2" fillId="0" borderId="1" xfId="0" applyFont="1" applyBorder="1"/>
    <xf numFmtId="0" fontId="0" fillId="2" borderId="3" xfId="0" applyFont="1" applyFill="1" applyBorder="1"/>
    <xf numFmtId="0" fontId="0" fillId="0" borderId="3" xfId="0" applyFont="1" applyBorder="1"/>
    <xf numFmtId="0" fontId="0" fillId="2" borderId="2" xfId="0" applyFont="1" applyFill="1" applyBorder="1"/>
    <xf numFmtId="0" fontId="0" fillId="0" borderId="2" xfId="0" applyFont="1" applyBorder="1"/>
    <xf numFmtId="0" fontId="3" fillId="3" borderId="3" xfId="0" applyFont="1" applyFill="1" applyBorder="1"/>
    <xf numFmtId="0" fontId="3" fillId="3" borderId="2" xfId="0" applyFont="1" applyFill="1" applyBorder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</dxfs>
  <tableStyles count="0" defaultTableStyle="TableStyleMedium2" defaultPivotStyle="PivotStyleMedium9"/>
  <colors>
    <mruColors>
      <color rgb="FF56E8C6"/>
      <color rgb="FFF36DE9"/>
      <color rgb="FF00D2C7"/>
      <color rgb="FF20E8ED"/>
      <color rgb="FFE85A6D"/>
      <color rgb="FFFF90C7"/>
      <color rgb="FF2B2B2B"/>
      <color rgb="FF7C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755446-5EF2-8143-8C87-1A7ABBC21F39}" name="Table9" displayName="Table9" ref="A1:J55" totalsRowShown="0" headerRowDxfId="12" dataDxfId="11" tableBorderDxfId="10">
  <autoFilter ref="A1:J55" xr:uid="{C5755446-5EF2-8143-8C87-1A7ABBC21F39}"/>
  <tableColumns count="10">
    <tableColumn id="1" xr3:uid="{6D6CEE8D-9ABA-1D4C-80BC-0111D5EBDB36}" name="orig" dataDxfId="9"/>
    <tableColumn id="5" xr3:uid="{1662E3B9-B2C3-4C42-803C-60253799CAFC}" name="char" dataDxfId="8"/>
    <tableColumn id="2" xr3:uid="{1324CB00-79A6-2B4D-9143-6DBAC3008FAC}" name="code" dataDxfId="7">
      <calculatedColumnFormula>CODE(Table9[[#This Row],[char]])</calculatedColumnFormula>
    </tableColumn>
    <tableColumn id="3" xr3:uid="{051D478E-0904-4B06-9033-9E911DE61016}" name="inverse" dataDxfId="6"/>
    <tableColumn id="4" xr3:uid="{392433D2-6BE2-4850-929B-7095C5837F30}" name="inv char" dataDxfId="5">
      <calculatedColumnFormula array="1">_xlfn.XLOOKUP(TRUE, EXACT(Table9[[#This Row],[inverse]], Table9[orig]), Table9[char])</calculatedColumnFormula>
    </tableColumn>
    <tableColumn id="6" xr3:uid="{B13605D8-41AC-4125-9F70-B4643E0BA6CD}" name="inv code" dataDxfId="4">
      <calculatedColumnFormula>CODE(Table9[[#This Row],[inv char]])</calculatedColumnFormula>
    </tableColumn>
    <tableColumn id="11" xr3:uid="{B435DF90-3F4A-0D44-B7C7-981F4EA63919}" name="Complement" dataDxfId="3"/>
    <tableColumn id="7" xr3:uid="{5ECCA94A-4BB1-0B49-AAD0-FD03A72963DD}" name="CompChar" dataDxfId="2">
      <calculatedColumnFormula array="1">_xlfn.XLOOKUP(TRUE, EXACT(Table9[[#This Row],[Complement]], Table9[orig]), Table9[char])</calculatedColumnFormula>
    </tableColumn>
    <tableColumn id="10" xr3:uid="{1C37F64A-F270-DF44-B8D4-BC724CBAFEB0}" name="Rotation Direction" dataDxfId="1"/>
    <tableColumn id="8" xr3:uid="{EE48057C-B7A2-9F47-8D32-A7037F92D06D}" name="orig + &lt;space&gt;" dataDxfId="0">
      <calculatedColumnFormula>Table9[[#This Row],[orig]] &amp; " 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A195-81A8-DF47-B186-7A7693547A2A}">
  <dimension ref="A1:J55"/>
  <sheetViews>
    <sheetView workbookViewId="0">
      <selection sqref="A1:D6"/>
    </sheetView>
  </sheetViews>
  <sheetFormatPr baseColWidth="10" defaultRowHeight="15" x14ac:dyDescent="0.2"/>
  <sheetData>
    <row r="1" spans="1:10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</row>
    <row r="2" spans="1:10" x14ac:dyDescent="0.2">
      <c r="A2" s="4" t="s">
        <v>9</v>
      </c>
      <c r="B2" s="4" t="s">
        <v>9</v>
      </c>
      <c r="C2">
        <f>CODE(Table9[[#This Row],[char]])</f>
        <v>82</v>
      </c>
      <c r="D2" t="s">
        <v>11</v>
      </c>
      <c r="E2" t="str" cm="1">
        <f t="array" ref="E2">_xlfn.XLOOKUP(TRUE, EXACT(Table9[[#This Row],[inverse]], Table9[orig]), Table9[char])</f>
        <v>A</v>
      </c>
      <c r="F2">
        <f>CODE(Table9[[#This Row],[inv char]])</f>
        <v>65</v>
      </c>
      <c r="G2" t="s">
        <v>33</v>
      </c>
      <c r="H2" t="str" cm="1">
        <f t="array" ref="H2">_xlfn.XLOOKUP(TRUE, EXACT(Table9[[#This Row],[Complement]], Table9[orig]), Table9[char])</f>
        <v>l</v>
      </c>
      <c r="I2" t="s">
        <v>0</v>
      </c>
      <c r="J2" t="str">
        <f>Table9[[#This Row],[orig]] &amp; " "</f>
        <v xml:space="preserve">R </v>
      </c>
    </row>
    <row r="3" spans="1:10" x14ac:dyDescent="0.2">
      <c r="A3" t="s">
        <v>35</v>
      </c>
      <c r="B3" t="s">
        <v>35</v>
      </c>
      <c r="C3">
        <f>CODE(Table9[[#This Row],[char]])</f>
        <v>114</v>
      </c>
      <c r="D3" t="s">
        <v>36</v>
      </c>
      <c r="E3" t="str" cm="1">
        <f t="array" ref="E3">_xlfn.XLOOKUP(TRUE, EXACT(Table9[[#This Row],[inverse]], Table9[orig]), Table9[char])</f>
        <v>a</v>
      </c>
      <c r="F3">
        <f>CODE(Table9[[#This Row],[inv char]])</f>
        <v>97</v>
      </c>
      <c r="G3" t="s">
        <v>12</v>
      </c>
      <c r="H3" t="str" cm="1">
        <f t="array" ref="H3">_xlfn.XLOOKUP(TRUE, EXACT(Table9[[#This Row],[Complement]], Table9[orig]), Table9[char])</f>
        <v>L</v>
      </c>
      <c r="I3" t="s">
        <v>0</v>
      </c>
      <c r="J3" t="str">
        <f>Table9[[#This Row],[orig]] &amp; " "</f>
        <v xml:space="preserve">r </v>
      </c>
    </row>
    <row r="4" spans="1:10" x14ac:dyDescent="0.2">
      <c r="A4" s="4" t="s">
        <v>39</v>
      </c>
      <c r="B4" s="4" t="s">
        <v>39</v>
      </c>
      <c r="C4">
        <f>CODE(Table9[[#This Row],[char]])</f>
        <v>84</v>
      </c>
      <c r="D4" t="s">
        <v>40</v>
      </c>
      <c r="E4" t="str" cm="1">
        <f t="array" ref="E4">_xlfn.XLOOKUP(TRUE, EXACT(Table9[[#This Row],[inverse]], Table9[orig]), Table9[char])</f>
        <v>C</v>
      </c>
      <c r="F4">
        <f>CODE(Table9[[#This Row],[inv char]])</f>
        <v>67</v>
      </c>
      <c r="G4" t="s">
        <v>41</v>
      </c>
      <c r="H4" t="str" cm="1">
        <f t="array" ref="H4">_xlfn.CONCAT(_xlfn.XLOOKUP(TRUE, EXACT(A8, Table9[orig]), Table9[char]), _xlfn.XLOOKUP(TRUE, EXACT(A6, Table9[orig]), Table9[char]))</f>
        <v>AL</v>
      </c>
      <c r="I4" t="s">
        <v>0</v>
      </c>
      <c r="J4" t="str">
        <f>Table9[[#This Row],[orig]] &amp; " "</f>
        <v xml:space="preserve">T </v>
      </c>
    </row>
    <row r="5" spans="1:10" x14ac:dyDescent="0.2">
      <c r="A5" t="s">
        <v>33</v>
      </c>
      <c r="B5" t="s">
        <v>33</v>
      </c>
      <c r="C5">
        <f>CODE(Table9[[#This Row],[char]])</f>
        <v>108</v>
      </c>
      <c r="D5" t="s">
        <v>38</v>
      </c>
      <c r="E5" t="str" cm="1">
        <f t="array" ref="E5">_xlfn.XLOOKUP(TRUE, EXACT(Table9[[#This Row],[inverse]], Table9[orig]), Table9[char])</f>
        <v>g</v>
      </c>
      <c r="F5">
        <f>CODE(Table9[[#This Row],[inv char]])</f>
        <v>103</v>
      </c>
      <c r="G5" t="s">
        <v>9</v>
      </c>
      <c r="H5" t="str" cm="1">
        <f t="array" ref="H5">_xlfn.XLOOKUP(TRUE, EXACT(Table9[[#This Row],[Complement]], Table9[orig]), Table9[char])</f>
        <v>R</v>
      </c>
      <c r="I5" t="s">
        <v>1</v>
      </c>
      <c r="J5" t="str">
        <f>Table9[[#This Row],[orig]] &amp; " "</f>
        <v xml:space="preserve">l </v>
      </c>
    </row>
    <row r="6" spans="1:10" x14ac:dyDescent="0.2">
      <c r="A6" s="4" t="s">
        <v>12</v>
      </c>
      <c r="B6" s="4" t="s">
        <v>12</v>
      </c>
      <c r="C6">
        <f>CODE(Table9[[#This Row],[char]])</f>
        <v>76</v>
      </c>
      <c r="D6" t="s">
        <v>10</v>
      </c>
      <c r="E6" t="str" cm="1">
        <f t="array" ref="E6">_xlfn.XLOOKUP(TRUE, EXACT(Table9[[#This Row],[inverse]], Table9[orig]), Table9[char])</f>
        <v>G</v>
      </c>
      <c r="F6">
        <f>CODE(Table9[[#This Row],[inv char]])</f>
        <v>71</v>
      </c>
      <c r="G6" t="s">
        <v>35</v>
      </c>
      <c r="H6" t="str" cm="1">
        <f t="array" ref="H6">_xlfn.XLOOKUP(TRUE, EXACT(Table9[[#This Row],[Complement]], Table9[orig]), Table9[char])</f>
        <v>r</v>
      </c>
      <c r="I6" t="s">
        <v>1</v>
      </c>
      <c r="J6" t="str">
        <f>Table9[[#This Row],[orig]] &amp; " "</f>
        <v xml:space="preserve">L </v>
      </c>
    </row>
    <row r="7" spans="1:10" x14ac:dyDescent="0.2">
      <c r="A7" s="3" t="s">
        <v>0</v>
      </c>
      <c r="B7" s="3" t="s">
        <v>0</v>
      </c>
      <c r="C7" s="3">
        <f>CODE(Table9[[#This Row],[char]])</f>
        <v>88</v>
      </c>
      <c r="D7" s="3" t="s">
        <v>1</v>
      </c>
      <c r="E7" s="3" t="str" cm="1">
        <f t="array" ref="E7">_xlfn.XLOOKUP(TRUE, EXACT(Table9[[#This Row],[inverse]], Table9[orig]), Table9[char])</f>
        <v>!</v>
      </c>
      <c r="F7" s="3">
        <f>CODE(Table9[[#This Row],[inv char]])</f>
        <v>33</v>
      </c>
      <c r="G7" s="3">
        <v>0</v>
      </c>
      <c r="H7" s="3">
        <v>0</v>
      </c>
      <c r="I7" s="3" t="s">
        <v>0</v>
      </c>
      <c r="J7" t="str">
        <f>Table9[[#This Row],[orig]] &amp; " "</f>
        <v xml:space="preserve">X </v>
      </c>
    </row>
    <row r="8" spans="1:10" x14ac:dyDescent="0.2">
      <c r="A8" s="4" t="s">
        <v>11</v>
      </c>
      <c r="B8" s="4" t="s">
        <v>19</v>
      </c>
      <c r="C8">
        <f>CODE(Table9[[#This Row],[char]])</f>
        <v>65</v>
      </c>
      <c r="D8" t="s">
        <v>9</v>
      </c>
      <c r="E8" t="str" cm="1">
        <f t="array" ref="E8">_xlfn.XLOOKUP(TRUE, EXACT(Table9[[#This Row],[inverse]], Table9[orig]), Table9[char])</f>
        <v>R</v>
      </c>
      <c r="F8">
        <f>CODE(Table9[[#This Row],[inv char]])</f>
        <v>82</v>
      </c>
      <c r="G8" t="s">
        <v>38</v>
      </c>
      <c r="H8" t="str" cm="1">
        <f t="array" ref="H8">_xlfn.XLOOKUP(TRUE, EXACT(Table9[[#This Row],[Complement]], Table9[orig]), Table9[char])</f>
        <v>g</v>
      </c>
      <c r="I8" t="s">
        <v>1</v>
      </c>
      <c r="J8" t="str">
        <f>Table9[[#This Row],[orig]] &amp; " "</f>
        <v xml:space="preserve">R' </v>
      </c>
    </row>
    <row r="9" spans="1:10" x14ac:dyDescent="0.2">
      <c r="A9" t="s">
        <v>36</v>
      </c>
      <c r="B9" t="s">
        <v>15</v>
      </c>
      <c r="C9">
        <f>CODE(Table9[[#This Row],[char]])</f>
        <v>97</v>
      </c>
      <c r="D9" t="s">
        <v>35</v>
      </c>
      <c r="E9" t="str" cm="1">
        <f t="array" ref="E9">_xlfn.XLOOKUP(TRUE, EXACT(Table9[[#This Row],[inverse]], Table9[orig]), Table9[char])</f>
        <v>r</v>
      </c>
      <c r="F9">
        <f>CODE(Table9[[#This Row],[inv char]])</f>
        <v>114</v>
      </c>
      <c r="G9" t="s">
        <v>10</v>
      </c>
      <c r="H9" t="str" cm="1">
        <f t="array" ref="H9">_xlfn.XLOOKUP(TRUE, EXACT(Table9[[#This Row],[Complement]], Table9[orig]), Table9[char])</f>
        <v>G</v>
      </c>
      <c r="I9" t="s">
        <v>1</v>
      </c>
      <c r="J9" t="str">
        <f>Table9[[#This Row],[orig]] &amp; " "</f>
        <v xml:space="preserve">r' </v>
      </c>
    </row>
    <row r="10" spans="1:10" x14ac:dyDescent="0.2">
      <c r="A10" s="4" t="s">
        <v>40</v>
      </c>
      <c r="B10" s="4" t="s">
        <v>21</v>
      </c>
      <c r="C10">
        <f>CODE(Table9[[#This Row],[char]])</f>
        <v>67</v>
      </c>
      <c r="D10" t="s">
        <v>39</v>
      </c>
      <c r="E10" t="str" cm="1">
        <f t="array" ref="E10">_xlfn.XLOOKUP(TRUE, EXACT(Table9[[#This Row],[inverse]], Table9[orig]), Table9[char])</f>
        <v>T</v>
      </c>
      <c r="F10">
        <f>CODE(Table9[[#This Row],[inv char]])</f>
        <v>84</v>
      </c>
      <c r="G10" t="s">
        <v>50</v>
      </c>
      <c r="H10" t="str" cm="1">
        <f t="array" ref="H10">_xlfn.CONCAT(_xlfn.XLOOKUP(TRUE, EXACT(A2, Table9[orig]), Table9[char]), _xlfn.XLOOKUP(TRUE, EXACT(A12, Table9[orig]), Table9[char]))</f>
        <v>RG</v>
      </c>
      <c r="I10" t="s">
        <v>1</v>
      </c>
      <c r="J10" t="str">
        <f>Table9[[#This Row],[orig]] &amp; " "</f>
        <v xml:space="preserve">T' </v>
      </c>
    </row>
    <row r="11" spans="1:10" x14ac:dyDescent="0.2">
      <c r="A11" t="s">
        <v>38</v>
      </c>
      <c r="B11" t="s">
        <v>53</v>
      </c>
      <c r="C11">
        <f>CODE(Table9[[#This Row],[char]])</f>
        <v>103</v>
      </c>
      <c r="D11" t="s">
        <v>33</v>
      </c>
      <c r="E11" t="str" cm="1">
        <f t="array" ref="E11">_xlfn.XLOOKUP(TRUE, EXACT(Table9[[#This Row],[inverse]], Table9[orig]), Table9[char])</f>
        <v>l</v>
      </c>
      <c r="F11">
        <f>CODE(Table9[[#This Row],[inv char]])</f>
        <v>108</v>
      </c>
      <c r="G11" t="s">
        <v>11</v>
      </c>
      <c r="H11" t="str" cm="1">
        <f t="array" ref="H11">_xlfn.XLOOKUP(TRUE, EXACT(Table9[[#This Row],[Complement]], Table9[orig]), Table9[char])</f>
        <v>A</v>
      </c>
      <c r="I11" t="s">
        <v>0</v>
      </c>
      <c r="J11" t="str">
        <f>Table9[[#This Row],[orig]] &amp; " "</f>
        <v xml:space="preserve">l' </v>
      </c>
    </row>
    <row r="12" spans="1:10" x14ac:dyDescent="0.2">
      <c r="A12" s="4" t="s">
        <v>10</v>
      </c>
      <c r="B12" s="4" t="s">
        <v>56</v>
      </c>
      <c r="C12" s="1">
        <f>CODE(Table9[[#This Row],[char]])</f>
        <v>71</v>
      </c>
      <c r="D12" t="s">
        <v>12</v>
      </c>
      <c r="E12" t="str" cm="1">
        <f t="array" ref="E12">_xlfn.XLOOKUP(TRUE, EXACT(Table9[[#This Row],[inverse]], Table9[orig]), Table9[char])</f>
        <v>L</v>
      </c>
      <c r="F12">
        <f>CODE(Table9[[#This Row],[inv char]])</f>
        <v>76</v>
      </c>
      <c r="G12" t="s">
        <v>36</v>
      </c>
      <c r="H12" t="str" cm="1">
        <f t="array" ref="H12">_xlfn.XLOOKUP(TRUE, EXACT(Table9[[#This Row],[Complement]], Table9[orig]), Table9[char])</f>
        <v>a</v>
      </c>
      <c r="I12" t="s">
        <v>0</v>
      </c>
      <c r="J12" t="str">
        <f>Table9[[#This Row],[orig]] &amp; " "</f>
        <v xml:space="preserve">L' </v>
      </c>
    </row>
    <row r="13" spans="1:10" x14ac:dyDescent="0.2">
      <c r="A13" s="3" t="s">
        <v>1</v>
      </c>
      <c r="B13" s="3" t="s">
        <v>59</v>
      </c>
      <c r="C13" s="7">
        <f>CODE(Table9[[#This Row],[char]])</f>
        <v>33</v>
      </c>
      <c r="D13" s="3" t="s">
        <v>0</v>
      </c>
      <c r="E13" s="3" t="str" cm="1">
        <f t="array" ref="E13">_xlfn.XLOOKUP(TRUE, EXACT(Table9[[#This Row],[inverse]], Table9[orig]), Table9[char])</f>
        <v>X</v>
      </c>
      <c r="F13" s="3">
        <f>CODE(Table9[[#This Row],[inv char]])</f>
        <v>88</v>
      </c>
      <c r="G13" s="3">
        <v>0</v>
      </c>
      <c r="H13" s="3">
        <v>0</v>
      </c>
      <c r="I13" s="3" t="s">
        <v>1</v>
      </c>
      <c r="J13" t="str">
        <f>Table9[[#This Row],[orig]] &amp; " "</f>
        <v xml:space="preserve">X' </v>
      </c>
    </row>
    <row r="14" spans="1:10" x14ac:dyDescent="0.2">
      <c r="A14" s="4" t="s">
        <v>13</v>
      </c>
      <c r="B14" s="4" t="s">
        <v>60</v>
      </c>
      <c r="C14" s="1">
        <f>CODE(Table9[[#This Row],[char]])</f>
        <v>74</v>
      </c>
      <c r="D14" t="s">
        <v>13</v>
      </c>
      <c r="E14" t="str" cm="1">
        <f t="array" ref="E14">_xlfn.XLOOKUP(TRUE, EXACT(Table9[[#This Row],[inverse]], Table9[orig]), Table9[char])</f>
        <v>J</v>
      </c>
      <c r="F14">
        <f>CODE(Table9[[#This Row],[inv char]])</f>
        <v>74</v>
      </c>
      <c r="G14" t="s">
        <v>61</v>
      </c>
      <c r="H14" t="str" cm="1">
        <f t="array" ref="H14">_xlfn.XLOOKUP(TRUE, EXACT(Table9[[#This Row],[Complement]], Table9[orig]), Table9[char])</f>
        <v>n</v>
      </c>
      <c r="I14" t="s">
        <v>2</v>
      </c>
      <c r="J14" t="str">
        <f>Table9[[#This Row],[orig]] &amp; " "</f>
        <v xml:space="preserve">R2 </v>
      </c>
    </row>
    <row r="15" spans="1:10" x14ac:dyDescent="0.2">
      <c r="A15" t="s">
        <v>64</v>
      </c>
      <c r="B15" t="s">
        <v>65</v>
      </c>
      <c r="C15" s="1">
        <f>CODE(Table9[[#This Row],[char]])</f>
        <v>106</v>
      </c>
      <c r="D15" t="s">
        <v>64</v>
      </c>
      <c r="E15" t="str" cm="1">
        <f t="array" ref="E15">_xlfn.XLOOKUP(TRUE, EXACT(Table9[[#This Row],[inverse]], Table9[orig]), Table9[char])</f>
        <v>j</v>
      </c>
      <c r="F15">
        <f>CODE(Table9[[#This Row],[inv char]])</f>
        <v>106</v>
      </c>
      <c r="G15" t="s">
        <v>14</v>
      </c>
      <c r="H15" t="str" cm="1">
        <f t="array" ref="H15">_xlfn.XLOOKUP(TRUE, EXACT(Table9[[#This Row],[Complement]], Table9[orig]), Table9[char])</f>
        <v>N</v>
      </c>
      <c r="I15" t="s">
        <v>2</v>
      </c>
      <c r="J15" t="str">
        <f>Table9[[#This Row],[orig]] &amp; " "</f>
        <v xml:space="preserve">r2 </v>
      </c>
    </row>
    <row r="16" spans="1:10" x14ac:dyDescent="0.2">
      <c r="A16" s="4" t="s">
        <v>68</v>
      </c>
      <c r="B16" s="4" t="s">
        <v>69</v>
      </c>
      <c r="C16" s="1">
        <f>CODE(Table9[[#This Row],[char]])</f>
        <v>75</v>
      </c>
      <c r="D16" t="s">
        <v>68</v>
      </c>
      <c r="E16" t="str" cm="1">
        <f t="array" ref="E16">_xlfn.XLOOKUP(TRUE, EXACT(Table9[[#This Row],[inverse]], Table9[orig]), Table9[char])</f>
        <v>K</v>
      </c>
      <c r="F16">
        <f>CODE(Table9[[#This Row],[inv char]])</f>
        <v>75</v>
      </c>
      <c r="G16" t="s">
        <v>70</v>
      </c>
      <c r="H16" t="str" cm="1">
        <f t="array" ref="H16">_xlfn.CONCAT(_xlfn.XLOOKUP(TRUE, EXACT(A14, Table9[orig]), Table9[char]), _xlfn.XLOOKUP(TRUE, EXACT(A18, Table9[orig]), Table9[char]))</f>
        <v>JN</v>
      </c>
      <c r="I16" t="s">
        <v>2</v>
      </c>
      <c r="J16" t="str">
        <f>Table9[[#This Row],[orig]] &amp; " "</f>
        <v xml:space="preserve">T2 </v>
      </c>
    </row>
    <row r="17" spans="1:10" x14ac:dyDescent="0.2">
      <c r="A17" t="s">
        <v>61</v>
      </c>
      <c r="B17" t="s">
        <v>73</v>
      </c>
      <c r="C17" s="1">
        <f>CODE(Table9[[#This Row],[char]])</f>
        <v>110</v>
      </c>
      <c r="D17" t="s">
        <v>61</v>
      </c>
      <c r="E17" t="str" cm="1">
        <f t="array" ref="E17">_xlfn.XLOOKUP(TRUE, EXACT(Table9[[#This Row],[inverse]], Table9[orig]), Table9[char])</f>
        <v>n</v>
      </c>
      <c r="F17">
        <f>CODE(Table9[[#This Row],[inv char]])</f>
        <v>110</v>
      </c>
      <c r="G17" t="s">
        <v>13</v>
      </c>
      <c r="H17" t="str" cm="1">
        <f t="array" ref="H17">_xlfn.XLOOKUP(TRUE, EXACT(Table9[[#This Row],[Complement]], Table9[orig]), Table9[char])</f>
        <v>J</v>
      </c>
      <c r="I17" t="s">
        <v>2</v>
      </c>
      <c r="J17" t="str">
        <f>Table9[[#This Row],[orig]] &amp; " "</f>
        <v xml:space="preserve">l2 </v>
      </c>
    </row>
    <row r="18" spans="1:10" x14ac:dyDescent="0.2">
      <c r="A18" s="4" t="s">
        <v>14</v>
      </c>
      <c r="B18" s="4" t="s">
        <v>76</v>
      </c>
      <c r="C18" s="1">
        <f>CODE(Table9[[#This Row],[char]])</f>
        <v>78</v>
      </c>
      <c r="D18" t="s">
        <v>14</v>
      </c>
      <c r="E18" t="str" cm="1">
        <f t="array" ref="E18">_xlfn.XLOOKUP(TRUE, EXACT(Table9[[#This Row],[inverse]], Table9[orig]), Table9[char])</f>
        <v>N</v>
      </c>
      <c r="F18">
        <f>CODE(Table9[[#This Row],[inv char]])</f>
        <v>78</v>
      </c>
      <c r="G18" t="s">
        <v>64</v>
      </c>
      <c r="H18" t="str" cm="1">
        <f t="array" ref="H18">_xlfn.XLOOKUP(TRUE, EXACT(Table9[[#This Row],[Complement]], Table9[orig]), Table9[char])</f>
        <v>j</v>
      </c>
      <c r="I18" t="s">
        <v>2</v>
      </c>
      <c r="J18" t="str">
        <f>Table9[[#This Row],[orig]] &amp; " "</f>
        <v xml:space="preserve">L2 </v>
      </c>
    </row>
    <row r="19" spans="1:10" x14ac:dyDescent="0.2">
      <c r="A19" s="3" t="s">
        <v>2</v>
      </c>
      <c r="B19" s="3" t="s">
        <v>79</v>
      </c>
      <c r="C19" s="7">
        <f>CODE(Table9[[#This Row],[char]])</f>
        <v>80</v>
      </c>
      <c r="D19" s="3" t="s">
        <v>2</v>
      </c>
      <c r="E19" s="3" t="str" cm="1">
        <f t="array" ref="E19">_xlfn.XLOOKUP(TRUE, EXACT(Table9[[#This Row],[inverse]], Table9[orig]), Table9[char])</f>
        <v>P</v>
      </c>
      <c r="F19" s="3">
        <f>CODE(Table9[[#This Row],[inv char]])</f>
        <v>80</v>
      </c>
      <c r="G19" s="3">
        <v>0</v>
      </c>
      <c r="H19" s="3">
        <v>0</v>
      </c>
      <c r="I19" s="3" t="s">
        <v>2</v>
      </c>
      <c r="J19" t="str">
        <f>Table9[[#This Row],[orig]] &amp; " "</f>
        <v xml:space="preserve">X2 </v>
      </c>
    </row>
    <row r="20" spans="1:10" x14ac:dyDescent="0.2">
      <c r="A20" s="4" t="s">
        <v>34</v>
      </c>
      <c r="B20" s="4" t="s">
        <v>34</v>
      </c>
      <c r="C20" s="1">
        <f>CODE(Table9[[#This Row],[char]])</f>
        <v>70</v>
      </c>
      <c r="D20" t="s">
        <v>46</v>
      </c>
      <c r="E20" t="str" cm="1">
        <f t="array" ref="E20">_xlfn.XLOOKUP(TRUE, EXACT(Table9[[#This Row],[inverse]], Table9[orig]), Table9[char])</f>
        <v>Q</v>
      </c>
      <c r="F20">
        <f>CODE(Table9[[#This Row],[inv char]])</f>
        <v>81</v>
      </c>
      <c r="G20" t="s">
        <v>16</v>
      </c>
      <c r="H20" t="str" cm="1">
        <f t="array" ref="H20">_xlfn.XLOOKUP(TRUE, EXACT(Table9[[#This Row],[Complement]], Table9[orig]), Table9[char])</f>
        <v>b</v>
      </c>
      <c r="I20" t="s">
        <v>6</v>
      </c>
      <c r="J20" t="str">
        <f>Table9[[#This Row],[orig]] &amp; " "</f>
        <v xml:space="preserve">F </v>
      </c>
    </row>
    <row r="21" spans="1:10" x14ac:dyDescent="0.2">
      <c r="A21" t="s">
        <v>37</v>
      </c>
      <c r="B21" t="s">
        <v>37</v>
      </c>
      <c r="C21" s="1">
        <f>CODE(Table9[[#This Row],[char]])</f>
        <v>102</v>
      </c>
      <c r="D21" t="s">
        <v>48</v>
      </c>
      <c r="E21" t="str" cm="1">
        <f t="array" ref="E21">_xlfn.XLOOKUP(TRUE, EXACT(Table9[[#This Row],[inverse]], Table9[orig]), Table9[char])</f>
        <v>q</v>
      </c>
      <c r="F21">
        <f>CODE(Table9[[#This Row],[inv char]])</f>
        <v>113</v>
      </c>
      <c r="G21" t="s">
        <v>20</v>
      </c>
      <c r="H21" t="str" cm="1">
        <f t="array" ref="H21">_xlfn.XLOOKUP(TRUE, EXACT(Table9[[#This Row],[Complement]], Table9[orig]), Table9[char])</f>
        <v>B</v>
      </c>
      <c r="I21" t="s">
        <v>6</v>
      </c>
      <c r="J21" t="str">
        <f>Table9[[#This Row],[orig]] &amp; " "</f>
        <v xml:space="preserve">f </v>
      </c>
    </row>
    <row r="22" spans="1:10" x14ac:dyDescent="0.2">
      <c r="A22" s="4" t="s">
        <v>42</v>
      </c>
      <c r="B22" s="4" t="s">
        <v>42</v>
      </c>
      <c r="C22" s="1">
        <f>CODE(Table9[[#This Row],[char]])</f>
        <v>83</v>
      </c>
      <c r="D22" t="s">
        <v>51</v>
      </c>
      <c r="E22" t="str" cm="1">
        <f t="array" ref="E22">_xlfn.XLOOKUP(TRUE, EXACT(Table9[[#This Row],[inverse]], Table9[orig]), Table9[char])</f>
        <v>V</v>
      </c>
      <c r="F22">
        <f>CODE(Table9[[#This Row],[inv char]])</f>
        <v>86</v>
      </c>
      <c r="G22" t="s">
        <v>80</v>
      </c>
      <c r="H22" t="str" cm="1">
        <f t="array" ref="H22">_xlfn.CONCAT(_xlfn.XLOOKUP(TRUE, EXACT(A26, Table9[orig]), Table9[char]), _xlfn.XLOOKUP(TRUE, EXACT(A24, Table9[orig]), Table9[char]))</f>
        <v>QB</v>
      </c>
      <c r="I22" t="s">
        <v>6</v>
      </c>
      <c r="J22" t="str">
        <f>Table9[[#This Row],[orig]] &amp; " "</f>
        <v xml:space="preserve">S </v>
      </c>
    </row>
    <row r="23" spans="1:10" x14ac:dyDescent="0.2">
      <c r="A23" t="s">
        <v>16</v>
      </c>
      <c r="B23" t="s">
        <v>16</v>
      </c>
      <c r="C23" s="1">
        <f>CODE(Table9[[#This Row],[char]])</f>
        <v>98</v>
      </c>
      <c r="D23" t="s">
        <v>54</v>
      </c>
      <c r="E23" t="str" cm="1">
        <f t="array" ref="E23">_xlfn.XLOOKUP(TRUE, EXACT(Table9[[#This Row],[inverse]], Table9[orig]), Table9[char])</f>
        <v>&amp;</v>
      </c>
      <c r="F23">
        <f>CODE(Table9[[#This Row],[inv char]])</f>
        <v>38</v>
      </c>
      <c r="G23" t="s">
        <v>34</v>
      </c>
      <c r="H23" t="str" cm="1">
        <f t="array" ref="H23">_xlfn.XLOOKUP(TRUE, EXACT(Table9[[#This Row],[Complement]], Table9[orig]), Table9[char])</f>
        <v>F</v>
      </c>
      <c r="I23" t="s">
        <v>7</v>
      </c>
      <c r="J23" t="str">
        <f>Table9[[#This Row],[orig]] &amp; " "</f>
        <v xml:space="preserve">b </v>
      </c>
    </row>
    <row r="24" spans="1:10" x14ac:dyDescent="0.2">
      <c r="A24" s="4" t="s">
        <v>20</v>
      </c>
      <c r="B24" s="4" t="s">
        <v>20</v>
      </c>
      <c r="C24" s="1">
        <f>CODE(Table9[[#This Row],[char]])</f>
        <v>66</v>
      </c>
      <c r="D24" t="s">
        <v>57</v>
      </c>
      <c r="E24" t="str" cm="1">
        <f t="array" ref="E24">_xlfn.XLOOKUP(TRUE, EXACT(Table9[[#This Row],[inverse]], Table9[orig]), Table9[char])</f>
        <v>@</v>
      </c>
      <c r="F24">
        <f>CODE(Table9[[#This Row],[inv char]])</f>
        <v>64</v>
      </c>
      <c r="G24" t="s">
        <v>37</v>
      </c>
      <c r="H24" t="str" cm="1">
        <f t="array" ref="H24">_xlfn.XLOOKUP(TRUE, EXACT(Table9[[#This Row],[Complement]], Table9[orig]), Table9[char])</f>
        <v>f</v>
      </c>
      <c r="I24" t="s">
        <v>7</v>
      </c>
      <c r="J24" t="str">
        <f>Table9[[#This Row],[orig]] &amp; " "</f>
        <v xml:space="preserve">B </v>
      </c>
    </row>
    <row r="25" spans="1:10" x14ac:dyDescent="0.2">
      <c r="A25" s="3" t="s">
        <v>6</v>
      </c>
      <c r="B25" s="3" t="s">
        <v>6</v>
      </c>
      <c r="C25" s="7">
        <f>CODE(Table9[[#This Row],[char]])</f>
        <v>90</v>
      </c>
      <c r="D25" s="3" t="s">
        <v>7</v>
      </c>
      <c r="E25" s="3" t="str" cm="1">
        <f t="array" ref="E25">_xlfn.XLOOKUP(TRUE, EXACT(Table9[[#This Row],[inverse]], Table9[orig]), Table9[char])</f>
        <v>#</v>
      </c>
      <c r="F25" s="3">
        <f>CODE(Table9[[#This Row],[inv char]])</f>
        <v>35</v>
      </c>
      <c r="G25" s="3">
        <v>0</v>
      </c>
      <c r="H25" s="3">
        <v>0</v>
      </c>
      <c r="I25" s="3" t="s">
        <v>6</v>
      </c>
      <c r="J25" t="str">
        <f>Table9[[#This Row],[orig]] &amp; " "</f>
        <v xml:space="preserve">Z </v>
      </c>
    </row>
    <row r="26" spans="1:10" x14ac:dyDescent="0.2">
      <c r="A26" s="4" t="s">
        <v>46</v>
      </c>
      <c r="B26" s="4" t="s">
        <v>81</v>
      </c>
      <c r="C26" s="1">
        <f>CODE(Table9[[#This Row],[char]])</f>
        <v>81</v>
      </c>
      <c r="D26" t="s">
        <v>34</v>
      </c>
      <c r="E26" t="str" cm="1">
        <f t="array" ref="E26">_xlfn.XLOOKUP(TRUE, EXACT(Table9[[#This Row],[inverse]], Table9[orig]), Table9[char])</f>
        <v>F</v>
      </c>
      <c r="F26">
        <f>CODE(Table9[[#This Row],[inv char]])</f>
        <v>70</v>
      </c>
      <c r="G26" t="s">
        <v>54</v>
      </c>
      <c r="H26" t="str" cm="1">
        <f t="array" ref="H26">_xlfn.XLOOKUP(TRUE, EXACT(Table9[[#This Row],[Complement]], Table9[orig]), Table9[char])</f>
        <v>&amp;</v>
      </c>
      <c r="I26" t="s">
        <v>7</v>
      </c>
      <c r="J26" t="str">
        <f>Table9[[#This Row],[orig]] &amp; " "</f>
        <v xml:space="preserve">F' </v>
      </c>
    </row>
    <row r="27" spans="1:10" x14ac:dyDescent="0.2">
      <c r="A27" t="s">
        <v>48</v>
      </c>
      <c r="B27" t="s">
        <v>82</v>
      </c>
      <c r="C27" s="1">
        <f>CODE(Table9[[#This Row],[char]])</f>
        <v>113</v>
      </c>
      <c r="D27" t="s">
        <v>37</v>
      </c>
      <c r="E27" t="str" cm="1">
        <f t="array" ref="E27">_xlfn.XLOOKUP(TRUE, EXACT(Table9[[#This Row],[inverse]], Table9[orig]), Table9[char])</f>
        <v>f</v>
      </c>
      <c r="F27">
        <f>CODE(Table9[[#This Row],[inv char]])</f>
        <v>102</v>
      </c>
      <c r="G27" t="s">
        <v>57</v>
      </c>
      <c r="H27" t="str" cm="1">
        <f t="array" ref="H27">_xlfn.XLOOKUP(TRUE, EXACT(Table9[[#This Row],[Complement]], Table9[orig]), Table9[char])</f>
        <v>@</v>
      </c>
      <c r="I27" t="s">
        <v>7</v>
      </c>
      <c r="J27" t="str">
        <f>Table9[[#This Row],[orig]] &amp; " "</f>
        <v xml:space="preserve">f' </v>
      </c>
    </row>
    <row r="28" spans="1:10" x14ac:dyDescent="0.2">
      <c r="A28" s="4" t="s">
        <v>51</v>
      </c>
      <c r="B28" s="4" t="s">
        <v>83</v>
      </c>
      <c r="C28" s="1">
        <f>CODE(Table9[[#This Row],[char]])</f>
        <v>86</v>
      </c>
      <c r="D28" t="s">
        <v>42</v>
      </c>
      <c r="E28" t="str" cm="1">
        <f t="array" ref="E28">_xlfn.XLOOKUP(TRUE, EXACT(Table9[[#This Row],[inverse]], Table9[orig]), Table9[char])</f>
        <v>S</v>
      </c>
      <c r="F28">
        <f>CODE(Table9[[#This Row],[inv char]])</f>
        <v>83</v>
      </c>
      <c r="G28" t="s">
        <v>84</v>
      </c>
      <c r="H28" t="str" cm="1">
        <f t="array" ref="H28">_xlfn.CONCAT(_xlfn.XLOOKUP(TRUE, EXACT(A20, Table9[orig]), Table9[char]), _xlfn.XLOOKUP(TRUE, EXACT(A30, Table9[orig]), Table9[char]))</f>
        <v>F@</v>
      </c>
      <c r="I28" t="s">
        <v>7</v>
      </c>
      <c r="J28" t="str">
        <f>Table9[[#This Row],[orig]] &amp; " "</f>
        <v xml:space="preserve">S' </v>
      </c>
    </row>
    <row r="29" spans="1:10" x14ac:dyDescent="0.2">
      <c r="A29" t="s">
        <v>54</v>
      </c>
      <c r="B29" s="1" t="s">
        <v>85</v>
      </c>
      <c r="C29" s="1">
        <f>CODE(Table9[[#This Row],[char]])</f>
        <v>38</v>
      </c>
      <c r="D29" t="s">
        <v>16</v>
      </c>
      <c r="E29" t="str" cm="1">
        <f t="array" ref="E29">_xlfn.XLOOKUP(TRUE, EXACT(Table9[[#This Row],[inverse]], Table9[orig]), Table9[char])</f>
        <v>b</v>
      </c>
      <c r="F29">
        <f>CODE(Table9[[#This Row],[inv char]])</f>
        <v>98</v>
      </c>
      <c r="G29" t="s">
        <v>46</v>
      </c>
      <c r="H29" t="str" cm="1">
        <f t="array" ref="H29">_xlfn.XLOOKUP(TRUE, EXACT(Table9[[#This Row],[Complement]], Table9[orig]), Table9[char])</f>
        <v>Q</v>
      </c>
      <c r="I29" t="s">
        <v>6</v>
      </c>
      <c r="J29" t="str">
        <f>Table9[[#This Row],[orig]] &amp; " "</f>
        <v xml:space="preserve">b' </v>
      </c>
    </row>
    <row r="30" spans="1:10" x14ac:dyDescent="0.2">
      <c r="A30" s="4" t="s">
        <v>57</v>
      </c>
      <c r="B30" s="4" t="s">
        <v>86</v>
      </c>
      <c r="C30" s="1">
        <f>CODE(Table9[[#This Row],[char]])</f>
        <v>64</v>
      </c>
      <c r="D30" t="s">
        <v>20</v>
      </c>
      <c r="E30" t="str" cm="1">
        <f t="array" ref="E30">_xlfn.XLOOKUP(TRUE, EXACT(Table9[[#This Row],[inverse]], Table9[orig]), Table9[char])</f>
        <v>B</v>
      </c>
      <c r="F30">
        <f>CODE(Table9[[#This Row],[inv char]])</f>
        <v>66</v>
      </c>
      <c r="G30" t="s">
        <v>48</v>
      </c>
      <c r="H30" t="str" cm="1">
        <f t="array" ref="H30">_xlfn.XLOOKUP(TRUE, EXACT(Table9[[#This Row],[Complement]], Table9[orig]), Table9[char])</f>
        <v>q</v>
      </c>
      <c r="I30" t="s">
        <v>6</v>
      </c>
      <c r="J30" t="str">
        <f>Table9[[#This Row],[orig]] &amp; " "</f>
        <v xml:space="preserve">B' </v>
      </c>
    </row>
    <row r="31" spans="1:10" x14ac:dyDescent="0.2">
      <c r="A31" s="3" t="s">
        <v>7</v>
      </c>
      <c r="B31" s="3" t="s">
        <v>87</v>
      </c>
      <c r="C31" s="7">
        <f>CODE(Table9[[#This Row],[char]])</f>
        <v>35</v>
      </c>
      <c r="D31" s="3" t="s">
        <v>6</v>
      </c>
      <c r="E31" s="3" t="str" cm="1">
        <f t="array" ref="E31">_xlfn.XLOOKUP(TRUE, EXACT(Table9[[#This Row],[inverse]], Table9[orig]), Table9[char])</f>
        <v>Z</v>
      </c>
      <c r="F31" s="3">
        <f>CODE(Table9[[#This Row],[inv char]])</f>
        <v>90</v>
      </c>
      <c r="G31" s="3">
        <v>0</v>
      </c>
      <c r="H31" s="3">
        <v>0</v>
      </c>
      <c r="I31" s="3" t="s">
        <v>7</v>
      </c>
      <c r="J31" t="str">
        <f>Table9[[#This Row],[orig]] &amp; " "</f>
        <v xml:space="preserve">Z' </v>
      </c>
    </row>
    <row r="32" spans="1:10" x14ac:dyDescent="0.2">
      <c r="A32" s="4" t="s">
        <v>62</v>
      </c>
      <c r="B32" s="4" t="s">
        <v>88</v>
      </c>
      <c r="C32" s="1">
        <f>CODE(Table9[[#This Row],[char]])</f>
        <v>36</v>
      </c>
      <c r="D32" t="s">
        <v>62</v>
      </c>
      <c r="E32" t="str" cm="1">
        <f t="array" ref="E32">_xlfn.XLOOKUP(TRUE, EXACT(Table9[[#This Row],[inverse]], Table9[orig]), Table9[char])</f>
        <v>$</v>
      </c>
      <c r="F32">
        <f>CODE(Table9[[#This Row],[inv char]])</f>
        <v>36</v>
      </c>
      <c r="G32" t="s">
        <v>74</v>
      </c>
      <c r="H32" t="str" cm="1">
        <f t="array" ref="H32">_xlfn.XLOOKUP(TRUE, EXACT(Table9[[#This Row],[Complement]], Table9[orig]), Table9[char])</f>
        <v>~</v>
      </c>
      <c r="I32" t="s">
        <v>8</v>
      </c>
      <c r="J32" t="str">
        <f>Table9[[#This Row],[orig]] &amp; " "</f>
        <v xml:space="preserve">F2 </v>
      </c>
    </row>
    <row r="33" spans="1:10" x14ac:dyDescent="0.2">
      <c r="A33" t="s">
        <v>66</v>
      </c>
      <c r="B33" t="s">
        <v>89</v>
      </c>
      <c r="C33" s="1">
        <f>CODE(Table9[[#This Row],[char]])</f>
        <v>63</v>
      </c>
      <c r="D33" t="s">
        <v>66</v>
      </c>
      <c r="E33" t="str" cm="1">
        <f t="array" ref="E33">_xlfn.XLOOKUP(TRUE, EXACT(Table9[[#This Row],[inverse]], Table9[orig]), Table9[char])</f>
        <v>?</v>
      </c>
      <c r="F33">
        <f>CODE(Table9[[#This Row],[inv char]])</f>
        <v>63</v>
      </c>
      <c r="G33" t="s">
        <v>77</v>
      </c>
      <c r="H33" t="str" cm="1">
        <f t="array" ref="H33">_xlfn.XLOOKUP(TRUE, EXACT(Table9[[#This Row],[Complement]], Table9[orig]), Table9[char])</f>
        <v>`</v>
      </c>
      <c r="I33" t="s">
        <v>8</v>
      </c>
      <c r="J33" t="str">
        <f>Table9[[#This Row],[orig]] &amp; " "</f>
        <v xml:space="preserve">f2 </v>
      </c>
    </row>
    <row r="34" spans="1:10" x14ac:dyDescent="0.2">
      <c r="A34" s="4" t="s">
        <v>71</v>
      </c>
      <c r="B34" s="4" t="s">
        <v>90</v>
      </c>
      <c r="C34" s="1">
        <f>CODE(Table9[[#This Row],[char]])</f>
        <v>94</v>
      </c>
      <c r="D34" t="s">
        <v>71</v>
      </c>
      <c r="E34" t="str" cm="1">
        <f t="array" ref="E34">_xlfn.XLOOKUP(TRUE, EXACT(Table9[[#This Row],[inverse]], Table9[orig]), Table9[char])</f>
        <v>^</v>
      </c>
      <c r="F34">
        <f>CODE(Table9[[#This Row],[inv char]])</f>
        <v>94</v>
      </c>
      <c r="G34" t="s">
        <v>91</v>
      </c>
      <c r="H34" t="str" cm="1">
        <f t="array" ref="H34">_xlfn.CONCAT(_xlfn.XLOOKUP(TRUE, EXACT(A32, Table9[orig]), Table9[char]), _xlfn.XLOOKUP(TRUE, EXACT(A36, Table9[orig]), Table9[char]))</f>
        <v>$`</v>
      </c>
      <c r="I34" t="s">
        <v>8</v>
      </c>
      <c r="J34" t="str">
        <f>Table9[[#This Row],[orig]] &amp; " "</f>
        <v xml:space="preserve">S2 </v>
      </c>
    </row>
    <row r="35" spans="1:10" x14ac:dyDescent="0.2">
      <c r="A35" t="s">
        <v>74</v>
      </c>
      <c r="B35" s="1" t="s">
        <v>92</v>
      </c>
      <c r="C35" s="1">
        <f>CODE(Table9[[#This Row],[char]])</f>
        <v>126</v>
      </c>
      <c r="D35" t="s">
        <v>74</v>
      </c>
      <c r="E35" t="str" cm="1">
        <f t="array" ref="E35">_xlfn.XLOOKUP(TRUE, EXACT(Table9[[#This Row],[inverse]], Table9[orig]), Table9[char])</f>
        <v>~</v>
      </c>
      <c r="F35">
        <f>CODE(Table9[[#This Row],[inv char]])</f>
        <v>126</v>
      </c>
      <c r="G35" t="s">
        <v>62</v>
      </c>
      <c r="H35" t="str" cm="1">
        <f t="array" ref="H35">_xlfn.XLOOKUP(TRUE, EXACT(Table9[[#This Row],[Complement]], Table9[orig]), Table9[char])</f>
        <v>$</v>
      </c>
      <c r="I35" t="s">
        <v>8</v>
      </c>
      <c r="J35" t="str">
        <f>Table9[[#This Row],[orig]] &amp; " "</f>
        <v xml:space="preserve">b2 </v>
      </c>
    </row>
    <row r="36" spans="1:10" x14ac:dyDescent="0.2">
      <c r="A36" s="4" t="s">
        <v>77</v>
      </c>
      <c r="B36" s="4" t="s">
        <v>93</v>
      </c>
      <c r="C36" s="1">
        <f>CODE(Table9[[#This Row],[char]])</f>
        <v>96</v>
      </c>
      <c r="D36" t="s">
        <v>77</v>
      </c>
      <c r="E36" t="str" cm="1">
        <f t="array" ref="E36">_xlfn.XLOOKUP(TRUE, EXACT(Table9[[#This Row],[inverse]], Table9[orig]), Table9[char])</f>
        <v>`</v>
      </c>
      <c r="F36">
        <f>CODE(Table9[[#This Row],[inv char]])</f>
        <v>96</v>
      </c>
      <c r="G36" t="s">
        <v>66</v>
      </c>
      <c r="H36" t="str" cm="1">
        <f t="array" ref="H36">_xlfn.XLOOKUP(TRUE, EXACT(Table9[[#This Row],[Complement]], Table9[orig]), Table9[char])</f>
        <v>?</v>
      </c>
      <c r="I36" t="s">
        <v>8</v>
      </c>
      <c r="J36" t="str">
        <f>Table9[[#This Row],[orig]] &amp; " "</f>
        <v xml:space="preserve">B2 </v>
      </c>
    </row>
    <row r="37" spans="1:10" x14ac:dyDescent="0.2">
      <c r="A37" s="3" t="s">
        <v>8</v>
      </c>
      <c r="B37" s="6" t="s">
        <v>94</v>
      </c>
      <c r="C37" s="7">
        <f>CODE(Table9[[#This Row],[char]])</f>
        <v>61</v>
      </c>
      <c r="D37" s="3" t="s">
        <v>8</v>
      </c>
      <c r="E37" s="3" t="str" cm="1">
        <f t="array" ref="E37">_xlfn.XLOOKUP(TRUE, EXACT(Table9[[#This Row],[inverse]], Table9[orig]), Table9[char])</f>
        <v>=</v>
      </c>
      <c r="F37" s="3">
        <f>CODE(Table9[[#This Row],[inv char]])</f>
        <v>61</v>
      </c>
      <c r="G37" s="3">
        <v>0</v>
      </c>
      <c r="H37" s="3">
        <v>0</v>
      </c>
      <c r="I37" s="3" t="s">
        <v>8</v>
      </c>
      <c r="J37" t="str">
        <f>Table9[[#This Row],[orig]] &amp; " "</f>
        <v xml:space="preserve">Z2 </v>
      </c>
    </row>
    <row r="38" spans="1:10" x14ac:dyDescent="0.2">
      <c r="A38" s="4" t="s">
        <v>45</v>
      </c>
      <c r="B38" s="4" t="s">
        <v>45</v>
      </c>
      <c r="C38" s="1">
        <f>CODE(Table9[[#This Row],[char]])</f>
        <v>85</v>
      </c>
      <c r="D38" t="s">
        <v>58</v>
      </c>
      <c r="E38" t="str" cm="1">
        <f t="array" ref="E38">_xlfn.XLOOKUP(TRUE, EXACT(Table9[[#This Row],[inverse]], Table9[orig]), Table9[char])</f>
        <v>.</v>
      </c>
      <c r="F38">
        <f>CODE(Table9[[#This Row],[inv char]])</f>
        <v>46</v>
      </c>
      <c r="G38" t="s">
        <v>18</v>
      </c>
      <c r="H38" t="str" cm="1">
        <f t="array" ref="H38">_xlfn.XLOOKUP(TRUE, EXACT(Table9[[#This Row],[Complement]], Table9[orig]), Table9[char])</f>
        <v>d</v>
      </c>
      <c r="I38" t="s">
        <v>3</v>
      </c>
      <c r="J38" t="str">
        <f>Table9[[#This Row],[orig]] &amp; " "</f>
        <v xml:space="preserve">U </v>
      </c>
    </row>
    <row r="39" spans="1:10" x14ac:dyDescent="0.2">
      <c r="A39" t="s">
        <v>44</v>
      </c>
      <c r="B39" t="s">
        <v>44</v>
      </c>
      <c r="C39" s="1">
        <f>CODE(Table9[[#This Row],[char]])</f>
        <v>117</v>
      </c>
      <c r="D39" t="s">
        <v>55</v>
      </c>
      <c r="E39" t="str" cm="1">
        <f t="array" ref="E39">_xlfn.XLOOKUP(TRUE, EXACT(Table9[[#This Row],[inverse]], Table9[orig]), Table9[char])</f>
        <v>-</v>
      </c>
      <c r="F39">
        <f>CODE(Table9[[#This Row],[inv char]])</f>
        <v>45</v>
      </c>
      <c r="G39" t="s">
        <v>22</v>
      </c>
      <c r="H39" t="str" cm="1">
        <f t="array" ref="H39">_xlfn.XLOOKUP(TRUE, EXACT(Table9[[#This Row],[Complement]], Table9[orig]), Table9[char])</f>
        <v>D</v>
      </c>
      <c r="I39" t="s">
        <v>3</v>
      </c>
      <c r="J39" t="str">
        <f>Table9[[#This Row],[orig]] &amp; " "</f>
        <v xml:space="preserve">u </v>
      </c>
    </row>
    <row r="40" spans="1:10" x14ac:dyDescent="0.2">
      <c r="A40" s="4" t="s">
        <v>52</v>
      </c>
      <c r="B40" s="4" t="s">
        <v>52</v>
      </c>
      <c r="C40" s="1">
        <f>CODE(Table9[[#This Row],[char]])</f>
        <v>72</v>
      </c>
      <c r="D40" t="s">
        <v>43</v>
      </c>
      <c r="E40" t="str" cm="1">
        <f t="array" ref="E40">_xlfn.XLOOKUP(TRUE, EXACT(Table9[[#This Row],[inverse]], Table9[orig]), Table9[char])</f>
        <v>+</v>
      </c>
      <c r="F40">
        <f>CODE(Table9[[#This Row],[inv char]])</f>
        <v>43</v>
      </c>
      <c r="G40" t="s">
        <v>95</v>
      </c>
      <c r="H40" t="str" cm="1">
        <f t="array" ref="H40">_xlfn.CONCAT(_xlfn.XLOOKUP(TRUE, EXACT(A44, Table9[orig]), Table9[char]), _xlfn.XLOOKUP(TRUE, EXACT(A42, Table9[orig]), Table9[char]))</f>
        <v>.D</v>
      </c>
      <c r="I40" t="s">
        <v>3</v>
      </c>
      <c r="J40" t="str">
        <f>Table9[[#This Row],[orig]] &amp; " "</f>
        <v xml:space="preserve">H </v>
      </c>
    </row>
    <row r="41" spans="1:10" x14ac:dyDescent="0.2">
      <c r="A41" t="s">
        <v>18</v>
      </c>
      <c r="B41" t="s">
        <v>18</v>
      </c>
      <c r="C41" s="1">
        <f>CODE(Table9[[#This Row],[char]])</f>
        <v>100</v>
      </c>
      <c r="D41" t="s">
        <v>49</v>
      </c>
      <c r="E41" t="str" cm="1">
        <f t="array" ref="E41">_xlfn.XLOOKUP(TRUE, EXACT(Table9[[#This Row],[inverse]], Table9[orig]), Table9[char])</f>
        <v>k</v>
      </c>
      <c r="F41">
        <f>CODE(Table9[[#This Row],[inv char]])</f>
        <v>107</v>
      </c>
      <c r="G41" t="s">
        <v>45</v>
      </c>
      <c r="H41" t="str" cm="1">
        <f t="array" ref="H41">_xlfn.XLOOKUP(TRUE, EXACT(Table9[[#This Row],[Complement]], Table9[orig]), Table9[char])</f>
        <v>U</v>
      </c>
      <c r="I41" t="s">
        <v>4</v>
      </c>
      <c r="J41" t="str">
        <f>Table9[[#This Row],[orig]] &amp; " "</f>
        <v xml:space="preserve">d </v>
      </c>
    </row>
    <row r="42" spans="1:10" x14ac:dyDescent="0.2">
      <c r="A42" s="4" t="s">
        <v>22</v>
      </c>
      <c r="B42" s="4" t="s">
        <v>22</v>
      </c>
      <c r="C42" s="1">
        <f>CODE(Table9[[#This Row],[char]])</f>
        <v>68</v>
      </c>
      <c r="D42" t="s">
        <v>47</v>
      </c>
      <c r="E42" t="str" cm="1">
        <f t="array" ref="E42">_xlfn.XLOOKUP(TRUE, EXACT(Table9[[#This Row],[inverse]], Table9[orig]), Table9[char])</f>
        <v>%</v>
      </c>
      <c r="F42">
        <f>CODE(Table9[[#This Row],[inv char]])</f>
        <v>37</v>
      </c>
      <c r="G42" t="s">
        <v>44</v>
      </c>
      <c r="H42" t="str" cm="1">
        <f t="array" ref="H42">_xlfn.XLOOKUP(TRUE, EXACT(Table9[[#This Row],[Complement]], Table9[orig]), Table9[char])</f>
        <v>u</v>
      </c>
      <c r="I42" t="s">
        <v>4</v>
      </c>
      <c r="J42" t="str">
        <f>Table9[[#This Row],[orig]] &amp; " "</f>
        <v xml:space="preserve">D </v>
      </c>
    </row>
    <row r="43" spans="1:10" x14ac:dyDescent="0.2">
      <c r="A43" s="3" t="s">
        <v>3</v>
      </c>
      <c r="B43" s="3" t="s">
        <v>3</v>
      </c>
      <c r="C43" s="7">
        <f>CODE(Table9[[#This Row],[char]])</f>
        <v>89</v>
      </c>
      <c r="D43" s="3" t="s">
        <v>4</v>
      </c>
      <c r="E43" s="3" t="str" cm="1">
        <f t="array" ref="E43">_xlfn.XLOOKUP(TRUE, EXACT(Table9[[#This Row],[inverse]], Table9[orig]), Table9[char])</f>
        <v>p</v>
      </c>
      <c r="F43" s="3">
        <f>CODE(Table9[[#This Row],[inv char]])</f>
        <v>112</v>
      </c>
      <c r="G43" s="3">
        <v>0</v>
      </c>
      <c r="H43" s="3">
        <v>0</v>
      </c>
      <c r="I43" s="3" t="s">
        <v>3</v>
      </c>
      <c r="J43" t="str">
        <f>Table9[[#This Row],[orig]] &amp; " "</f>
        <v xml:space="preserve">Y </v>
      </c>
    </row>
    <row r="44" spans="1:10" x14ac:dyDescent="0.2">
      <c r="A44" s="4" t="s">
        <v>58</v>
      </c>
      <c r="B44" s="4" t="s">
        <v>96</v>
      </c>
      <c r="C44" s="1">
        <f>CODE(Table9[[#This Row],[char]])</f>
        <v>46</v>
      </c>
      <c r="D44" t="s">
        <v>45</v>
      </c>
      <c r="E44" t="str" cm="1">
        <f t="array" ref="E44">_xlfn.XLOOKUP(TRUE, EXACT(Table9[[#This Row],[inverse]], Table9[orig]), Table9[char])</f>
        <v>U</v>
      </c>
      <c r="F44">
        <f>CODE(Table9[[#This Row],[inv char]])</f>
        <v>85</v>
      </c>
      <c r="G44" t="s">
        <v>49</v>
      </c>
      <c r="H44" t="str" cm="1">
        <f t="array" ref="H44">_xlfn.XLOOKUP(TRUE, EXACT(Table9[[#This Row],[Complement]], Table9[orig]), Table9[char])</f>
        <v>k</v>
      </c>
      <c r="I44" t="s">
        <v>4</v>
      </c>
      <c r="J44" t="str">
        <f>Table9[[#This Row],[orig]] &amp; " "</f>
        <v xml:space="preserve">U' </v>
      </c>
    </row>
    <row r="45" spans="1:10" x14ac:dyDescent="0.2">
      <c r="A45" t="s">
        <v>55</v>
      </c>
      <c r="B45" t="s">
        <v>97</v>
      </c>
      <c r="C45" s="1">
        <f>CODE(Table9[[#This Row],[char]])</f>
        <v>45</v>
      </c>
      <c r="D45" t="s">
        <v>44</v>
      </c>
      <c r="E45" t="str" cm="1">
        <f t="array" ref="E45">_xlfn.XLOOKUP(TRUE, EXACT(Table9[[#This Row],[inverse]], Table9[orig]), Table9[char])</f>
        <v>u</v>
      </c>
      <c r="F45">
        <f>CODE(Table9[[#This Row],[inv char]])</f>
        <v>117</v>
      </c>
      <c r="G45" t="s">
        <v>47</v>
      </c>
      <c r="H45" t="str" cm="1">
        <f t="array" ref="H45">_xlfn.XLOOKUP(TRUE, EXACT(Table9[[#This Row],[Complement]], Table9[orig]), Table9[char])</f>
        <v>%</v>
      </c>
      <c r="I45" t="s">
        <v>4</v>
      </c>
      <c r="J45" t="str">
        <f>Table9[[#This Row],[orig]] &amp; " "</f>
        <v xml:space="preserve">u' </v>
      </c>
    </row>
    <row r="46" spans="1:10" x14ac:dyDescent="0.2">
      <c r="A46" s="4" t="s">
        <v>43</v>
      </c>
      <c r="B46" s="4" t="s">
        <v>98</v>
      </c>
      <c r="C46" s="1">
        <f>CODE(Table9[[#This Row],[char]])</f>
        <v>43</v>
      </c>
      <c r="D46" t="s">
        <v>52</v>
      </c>
      <c r="E46" t="str" cm="1">
        <f t="array" ref="E46">_xlfn.XLOOKUP(TRUE, EXACT(Table9[[#This Row],[inverse]], Table9[orig]), Table9[char])</f>
        <v>H</v>
      </c>
      <c r="F46">
        <f>CODE(Table9[[#This Row],[inv char]])</f>
        <v>72</v>
      </c>
      <c r="G46" t="s">
        <v>99</v>
      </c>
      <c r="H46" t="str" cm="1">
        <f t="array" ref="H46">_xlfn.CONCAT(_xlfn.XLOOKUP(TRUE, EXACT(A38, Table9[orig]), Table9[char]), _xlfn.XLOOKUP(TRUE, EXACT(A48, Table9[orig]), Table9[char]))</f>
        <v>U%</v>
      </c>
      <c r="I46" t="s">
        <v>4</v>
      </c>
      <c r="J46" t="str">
        <f>Table9[[#This Row],[orig]] &amp; " "</f>
        <v xml:space="preserve">H' </v>
      </c>
    </row>
    <row r="47" spans="1:10" x14ac:dyDescent="0.2">
      <c r="A47" t="s">
        <v>49</v>
      </c>
      <c r="B47" s="5" t="s">
        <v>100</v>
      </c>
      <c r="C47" s="1">
        <f>CODE(Table9[[#This Row],[char]])</f>
        <v>107</v>
      </c>
      <c r="D47" t="s">
        <v>18</v>
      </c>
      <c r="E47" t="str" cm="1">
        <f t="array" ref="E47">_xlfn.XLOOKUP(TRUE, EXACT(Table9[[#This Row],[inverse]], Table9[orig]), Table9[char])</f>
        <v>d</v>
      </c>
      <c r="F47">
        <f>CODE(Table9[[#This Row],[inv char]])</f>
        <v>100</v>
      </c>
      <c r="G47" t="s">
        <v>58</v>
      </c>
      <c r="H47" t="str" cm="1">
        <f t="array" ref="H47">_xlfn.XLOOKUP(TRUE, EXACT(Table9[[#This Row],[Complement]], Table9[orig]), Table9[char])</f>
        <v>.</v>
      </c>
      <c r="I47" t="s">
        <v>3</v>
      </c>
      <c r="J47" t="str">
        <f>Table9[[#This Row],[orig]] &amp; " "</f>
        <v xml:space="preserve">d' </v>
      </c>
    </row>
    <row r="48" spans="1:10" x14ac:dyDescent="0.2">
      <c r="A48" s="4" t="s">
        <v>47</v>
      </c>
      <c r="B48" s="4" t="s">
        <v>101</v>
      </c>
      <c r="C48" s="1">
        <f>CODE(Table9[[#This Row],[char]])</f>
        <v>37</v>
      </c>
      <c r="D48" t="s">
        <v>22</v>
      </c>
      <c r="E48" t="str" cm="1">
        <f t="array" ref="E48">_xlfn.XLOOKUP(TRUE, EXACT(Table9[[#This Row],[inverse]], Table9[orig]), Table9[char])</f>
        <v>D</v>
      </c>
      <c r="F48">
        <f>CODE(Table9[[#This Row],[inv char]])</f>
        <v>68</v>
      </c>
      <c r="G48" t="s">
        <v>55</v>
      </c>
      <c r="H48" t="str" cm="1">
        <f t="array" ref="H48">_xlfn.XLOOKUP(TRUE, EXACT(Table9[[#This Row],[Complement]], Table9[orig]), Table9[char])</f>
        <v>-</v>
      </c>
      <c r="I48" t="s">
        <v>3</v>
      </c>
      <c r="J48" t="str">
        <f>Table9[[#This Row],[orig]] &amp; " "</f>
        <v xml:space="preserve">D' </v>
      </c>
    </row>
    <row r="49" spans="1:10" x14ac:dyDescent="0.2">
      <c r="A49" s="3" t="s">
        <v>4</v>
      </c>
      <c r="B49" s="6" t="s">
        <v>102</v>
      </c>
      <c r="C49" s="7">
        <f>CODE(Table9[[#This Row],[char]])</f>
        <v>112</v>
      </c>
      <c r="D49" s="3" t="s">
        <v>3</v>
      </c>
      <c r="E49" s="3" t="str" cm="1">
        <f t="array" ref="E49">_xlfn.XLOOKUP(TRUE, EXACT(Table9[[#This Row],[inverse]], Table9[orig]), Table9[char])</f>
        <v>Y</v>
      </c>
      <c r="F49" s="3">
        <f>CODE(Table9[[#This Row],[inv char]])</f>
        <v>89</v>
      </c>
      <c r="G49" s="3">
        <v>0</v>
      </c>
      <c r="H49" s="3">
        <v>0</v>
      </c>
      <c r="I49" s="3" t="s">
        <v>4</v>
      </c>
      <c r="J49" t="str">
        <f>Table9[[#This Row],[orig]] &amp; " "</f>
        <v xml:space="preserve">Y' </v>
      </c>
    </row>
    <row r="50" spans="1:10" x14ac:dyDescent="0.2">
      <c r="A50" s="4" t="s">
        <v>78</v>
      </c>
      <c r="B50" s="4" t="s">
        <v>103</v>
      </c>
      <c r="C50" s="1">
        <f>CODE(Table9[[#This Row],[char]])</f>
        <v>92</v>
      </c>
      <c r="D50" t="s">
        <v>78</v>
      </c>
      <c r="E50" t="str" cm="1">
        <f t="array" ref="E50">_xlfn.XLOOKUP(TRUE, EXACT(Table9[[#This Row],[inverse]], Table9[orig]), Table9[char])</f>
        <v>\</v>
      </c>
      <c r="F50">
        <f>CODE(Table9[[#This Row],[inv char]])</f>
        <v>92</v>
      </c>
      <c r="G50" t="s">
        <v>67</v>
      </c>
      <c r="H50" t="str" cm="1">
        <f t="array" ref="H50">_xlfn.XLOOKUP(TRUE, EXACT(Table9[[#This Row],[Complement]], Table9[orig]), Table9[char])</f>
        <v>_</v>
      </c>
      <c r="I50" t="s">
        <v>5</v>
      </c>
      <c r="J50" t="str">
        <f>Table9[[#This Row],[orig]] &amp; " "</f>
        <v xml:space="preserve">U2 </v>
      </c>
    </row>
    <row r="51" spans="1:10" x14ac:dyDescent="0.2">
      <c r="A51" t="s">
        <v>75</v>
      </c>
      <c r="B51" t="s">
        <v>104</v>
      </c>
      <c r="C51" s="1">
        <f>CODE(Table9[[#This Row],[char]])</f>
        <v>118</v>
      </c>
      <c r="D51" t="s">
        <v>75</v>
      </c>
      <c r="E51" t="str" cm="1">
        <f t="array" ref="E51">_xlfn.XLOOKUP(TRUE, EXACT(Table9[[#This Row],[inverse]], Table9[orig]), Table9[char])</f>
        <v>v</v>
      </c>
      <c r="F51">
        <f>CODE(Table9[[#This Row],[inv char]])</f>
        <v>118</v>
      </c>
      <c r="G51" t="s">
        <v>63</v>
      </c>
      <c r="H51" t="str" cm="1">
        <f t="array" ref="H51">_xlfn.XLOOKUP(TRUE, EXACT(Table9[[#This Row],[Complement]], Table9[orig]), Table9[char])</f>
        <v>c</v>
      </c>
      <c r="I51" t="s">
        <v>5</v>
      </c>
      <c r="J51" t="str">
        <f>Table9[[#This Row],[orig]] &amp; " "</f>
        <v xml:space="preserve">u2 </v>
      </c>
    </row>
    <row r="52" spans="1:10" x14ac:dyDescent="0.2">
      <c r="A52" s="4" t="s">
        <v>72</v>
      </c>
      <c r="B52" s="4" t="s">
        <v>105</v>
      </c>
      <c r="C52" s="1">
        <f>CODE(Table9[[#This Row],[char]])</f>
        <v>47</v>
      </c>
      <c r="D52" t="s">
        <v>72</v>
      </c>
      <c r="E52" t="str" cm="1">
        <f t="array" ref="E52">_xlfn.XLOOKUP(TRUE, EXACT(Table9[[#This Row],[inverse]], Table9[orig]), Table9[char])</f>
        <v>/</v>
      </c>
      <c r="F52">
        <f>CODE(Table9[[#This Row],[inv char]])</f>
        <v>47</v>
      </c>
      <c r="G52" t="s">
        <v>106</v>
      </c>
      <c r="H52" t="str" cm="1">
        <f t="array" ref="H52">_xlfn.CONCAT(_xlfn.XLOOKUP(TRUE, EXACT(A50, Table9[orig]), Table9[char]), _xlfn.XLOOKUP(TRUE, EXACT(A54, Table9[orig]), Table9[char]))</f>
        <v>\c</v>
      </c>
      <c r="I52" t="s">
        <v>5</v>
      </c>
      <c r="J52" t="str">
        <f>Table9[[#This Row],[orig]] &amp; " "</f>
        <v xml:space="preserve">H2 </v>
      </c>
    </row>
    <row r="53" spans="1:10" x14ac:dyDescent="0.2">
      <c r="A53" t="s">
        <v>67</v>
      </c>
      <c r="B53" t="s">
        <v>107</v>
      </c>
      <c r="C53" s="1">
        <f>CODE(Table9[[#This Row],[char]])</f>
        <v>95</v>
      </c>
      <c r="D53" t="s">
        <v>67</v>
      </c>
      <c r="E53" t="str" cm="1">
        <f t="array" ref="E53">_xlfn.XLOOKUP(TRUE, EXACT(Table9[[#This Row],[inverse]], Table9[orig]), Table9[char])</f>
        <v>_</v>
      </c>
      <c r="F53">
        <f>CODE(Table9[[#This Row],[inv char]])</f>
        <v>95</v>
      </c>
      <c r="G53" t="s">
        <v>78</v>
      </c>
      <c r="H53" t="str" cm="1">
        <f t="array" ref="H53">_xlfn.XLOOKUP(TRUE, EXACT(Table9[[#This Row],[Complement]], Table9[orig]), Table9[char])</f>
        <v>\</v>
      </c>
      <c r="I53" t="s">
        <v>5</v>
      </c>
      <c r="J53" t="str">
        <f>Table9[[#This Row],[orig]] &amp; " "</f>
        <v xml:space="preserve">d2 </v>
      </c>
    </row>
    <row r="54" spans="1:10" x14ac:dyDescent="0.2">
      <c r="A54" s="4" t="s">
        <v>63</v>
      </c>
      <c r="B54" s="4" t="s">
        <v>17</v>
      </c>
      <c r="C54" s="1">
        <f>CODE(Table9[[#This Row],[char]])</f>
        <v>99</v>
      </c>
      <c r="D54" t="s">
        <v>63</v>
      </c>
      <c r="E54" t="str" cm="1">
        <f t="array" ref="E54">_xlfn.XLOOKUP(TRUE, EXACT(Table9[[#This Row],[inverse]], Table9[orig]), Table9[char])</f>
        <v>c</v>
      </c>
      <c r="F54">
        <f>CODE(Table9[[#This Row],[inv char]])</f>
        <v>99</v>
      </c>
      <c r="G54" t="s">
        <v>75</v>
      </c>
      <c r="H54" t="str" cm="1">
        <f t="array" ref="H54">_xlfn.XLOOKUP(TRUE, EXACT(Table9[[#This Row],[Complement]], Table9[orig]), Table9[char])</f>
        <v>v</v>
      </c>
      <c r="I54" t="s">
        <v>5</v>
      </c>
      <c r="J54" t="str">
        <f>Table9[[#This Row],[orig]] &amp; " "</f>
        <v xml:space="preserve">D2 </v>
      </c>
    </row>
    <row r="55" spans="1:10" x14ac:dyDescent="0.2">
      <c r="A55" s="3" t="s">
        <v>5</v>
      </c>
      <c r="B55" s="3" t="s">
        <v>108</v>
      </c>
      <c r="C55" s="7">
        <f>CODE(Table9[[#This Row],[char]])</f>
        <v>73</v>
      </c>
      <c r="D55" s="3" t="s">
        <v>5</v>
      </c>
      <c r="E55" s="3" t="str" cm="1">
        <f t="array" ref="E55">_xlfn.XLOOKUP(TRUE, EXACT(Table9[[#This Row],[inverse]], Table9[orig]), Table9[char])</f>
        <v>I</v>
      </c>
      <c r="F55" s="3">
        <f>CODE(Table9[[#This Row],[inv char]])</f>
        <v>73</v>
      </c>
      <c r="G55" s="3">
        <v>0</v>
      </c>
      <c r="H55" s="3">
        <v>0</v>
      </c>
      <c r="I55" s="3" t="s">
        <v>5</v>
      </c>
      <c r="J55" t="str">
        <f>Table9[[#This Row],[orig]] &amp; " "</f>
        <v xml:space="preserve">Y2 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5CCB-7D65-D243-8CDB-CF4C906AFF4B}">
  <dimension ref="A1:D6"/>
  <sheetViews>
    <sheetView tabSelected="1" workbookViewId="0">
      <selection sqref="A1:D6"/>
    </sheetView>
  </sheetViews>
  <sheetFormatPr baseColWidth="10" defaultRowHeight="15" x14ac:dyDescent="0.2"/>
  <sheetData>
    <row r="1" spans="1:4" x14ac:dyDescent="0.2">
      <c r="A1" s="12" t="s">
        <v>23</v>
      </c>
      <c r="B1" s="13" t="s">
        <v>24</v>
      </c>
      <c r="C1" s="13" t="s">
        <v>25</v>
      </c>
      <c r="D1" s="13" t="s">
        <v>26</v>
      </c>
    </row>
    <row r="2" spans="1:4" x14ac:dyDescent="0.2">
      <c r="A2" s="8" t="s">
        <v>9</v>
      </c>
      <c r="B2" s="10" t="s">
        <v>9</v>
      </c>
      <c r="C2" s="10">
        <f>CODE(Table9[[#This Row],[char]])</f>
        <v>82</v>
      </c>
      <c r="D2" s="10" t="s">
        <v>11</v>
      </c>
    </row>
    <row r="3" spans="1:4" x14ac:dyDescent="0.2">
      <c r="A3" s="9" t="s">
        <v>35</v>
      </c>
      <c r="B3" s="11" t="s">
        <v>35</v>
      </c>
      <c r="C3" s="11">
        <f>CODE(Table9[[#This Row],[char]])</f>
        <v>114</v>
      </c>
      <c r="D3" s="11" t="s">
        <v>36</v>
      </c>
    </row>
    <row r="4" spans="1:4" x14ac:dyDescent="0.2">
      <c r="A4" s="8" t="s">
        <v>39</v>
      </c>
      <c r="B4" s="10" t="s">
        <v>39</v>
      </c>
      <c r="C4" s="10">
        <f>CODE(Table9[[#This Row],[char]])</f>
        <v>84</v>
      </c>
      <c r="D4" s="10" t="s">
        <v>40</v>
      </c>
    </row>
    <row r="5" spans="1:4" x14ac:dyDescent="0.2">
      <c r="A5" s="9" t="s">
        <v>33</v>
      </c>
      <c r="B5" s="11" t="s">
        <v>33</v>
      </c>
      <c r="C5" s="11">
        <f>CODE(Table9[[#This Row],[char]])</f>
        <v>108</v>
      </c>
      <c r="D5" s="11" t="s">
        <v>38</v>
      </c>
    </row>
    <row r="6" spans="1:4" x14ac:dyDescent="0.2">
      <c r="A6" s="8" t="s">
        <v>12</v>
      </c>
      <c r="B6" s="10" t="s">
        <v>12</v>
      </c>
      <c r="C6" s="10">
        <f>CODE(Table9[[#This Row],[char]])</f>
        <v>76</v>
      </c>
      <c r="D6" s="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 Sprigg</cp:lastModifiedBy>
  <cp:revision/>
  <dcterms:created xsi:type="dcterms:W3CDTF">2024-03-04T03:28:46Z</dcterms:created>
  <dcterms:modified xsi:type="dcterms:W3CDTF">2024-06-30T06:31:32Z</dcterms:modified>
  <cp:category/>
  <cp:contentStatus/>
</cp:coreProperties>
</file>