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66925"/>
  <mc:AlternateContent xmlns:mc="http://schemas.openxmlformats.org/markup-compatibility/2006">
    <mc:Choice Requires="x15">
      <x15ac:absPath xmlns:x15ac="http://schemas.microsoft.com/office/spreadsheetml/2010/11/ac" url="/Users/justindudley/dev/cube/Alg_Slice_And_Widen_daddy/alg-slice-and-widen/tables/"/>
    </mc:Choice>
  </mc:AlternateContent>
  <xr:revisionPtr revIDLastSave="0" documentId="13_ncr:1_{C00AE0EF-FF0C-7342-A2EC-CFCB4AAB0618}" xr6:coauthVersionLast="47" xr6:coauthVersionMax="47" xr10:uidLastSave="{00000000-0000-0000-0000-000000000000}"/>
  <bookViews>
    <workbookView xWindow="0" yWindow="1400" windowWidth="32260" windowHeight="16800" activeTab="2" xr2:uid="{00000000-000D-0000-FFFF-FFFF00000000}"/>
  </bookViews>
  <sheets>
    <sheet name="TABLES" sheetId="52" r:id="rId1"/>
    <sheet name="core" sheetId="54" r:id="rId2"/>
    <sheet name="turns" sheetId="55" r:id="rId3"/>
    <sheet name="rotations_24" sheetId="56" r:id="rId4"/>
    <sheet name="reflections_24" sheetId="5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G53" i="52" l="1" a="1"/>
  <c r="DG53" i="52" s="1"/>
  <c r="DM55" i="52" a="1"/>
  <c r="DM55" i="52" s="1"/>
  <c r="DJ60" i="52" a="1"/>
  <c r="DJ60" i="52" s="1"/>
  <c r="DJ61" i="52" a="1"/>
  <c r="DJ61" i="52" s="1"/>
  <c r="DG64" i="52" a="1"/>
  <c r="DG64" i="52" s="1"/>
  <c r="DM64" i="52" a="1"/>
  <c r="DM64" i="52" s="1"/>
  <c r="CI48" i="52"/>
  <c r="CI60" i="52"/>
  <c r="CI56" i="52"/>
  <c r="DJ56" i="52" s="1" a="1"/>
  <c r="DJ56" i="52" s="1"/>
  <c r="CI52" i="52"/>
  <c r="DJ52" i="52" s="1" a="1"/>
  <c r="DJ52" i="52" s="1"/>
  <c r="CF61" i="52"/>
  <c r="DG61" i="52" s="1" a="1"/>
  <c r="DG61" i="52" s="1"/>
  <c r="CF63" i="52"/>
  <c r="DG63" i="52" s="1" a="1"/>
  <c r="DG63" i="52" s="1"/>
  <c r="CF60" i="52"/>
  <c r="DG60" i="52" s="1" a="1"/>
  <c r="DG60" i="52" s="1"/>
  <c r="CF62" i="52"/>
  <c r="DG62" i="52" s="1" a="1"/>
  <c r="DG62" i="52" s="1"/>
  <c r="CL53" i="52"/>
  <c r="DM53" i="52" s="1" a="1"/>
  <c r="DM53" i="52" s="1"/>
  <c r="CL50" i="52"/>
  <c r="DM50" i="52" s="1" a="1"/>
  <c r="DM50" i="52" s="1"/>
  <c r="CL51" i="52"/>
  <c r="DM51" i="52" s="1" a="1"/>
  <c r="DM51" i="52" s="1"/>
  <c r="CI53" i="52"/>
  <c r="DJ53" i="52" s="1" a="1"/>
  <c r="DJ53" i="52" s="1"/>
  <c r="CI49" i="52"/>
  <c r="DJ49" i="52" s="1" a="1"/>
  <c r="DJ49" i="52" s="1"/>
  <c r="CI61" i="52"/>
  <c r="CF57" i="52"/>
  <c r="DG57" i="52" s="1" a="1"/>
  <c r="DG57" i="52" s="1"/>
  <c r="CF56" i="52"/>
  <c r="DG56" i="52" s="1" a="1"/>
  <c r="DG56" i="52" s="1"/>
  <c r="CI46" i="52"/>
  <c r="DJ46" i="52" s="1" a="1"/>
  <c r="DJ46" i="52" s="1"/>
  <c r="CI47" i="52"/>
  <c r="CL59" i="52"/>
  <c r="DM59" i="52" s="1" a="1"/>
  <c r="DM59" i="52" s="1"/>
  <c r="CL58" i="52"/>
  <c r="CO58" i="52" s="1" a="1"/>
  <c r="CO58" i="52" s="1"/>
  <c r="DP58" i="52" s="1" a="1"/>
  <c r="DP58" i="52" s="1"/>
  <c r="CL61" i="52"/>
  <c r="DM61" i="52" s="1" a="1"/>
  <c r="DM61" i="52" s="1"/>
  <c r="CF51" i="52"/>
  <c r="DG51" i="52" s="1" a="1"/>
  <c r="DG51" i="52" s="1"/>
  <c r="CL60" i="52"/>
  <c r="DM60" i="52" s="1" a="1"/>
  <c r="DM60" i="52" s="1"/>
  <c r="CF58" i="52"/>
  <c r="DG58" i="52" s="1" a="1"/>
  <c r="DG58" i="52" s="1"/>
  <c r="CF64" i="52"/>
  <c r="CF52" i="52"/>
  <c r="DG52" i="52" s="1" a="1"/>
  <c r="DG52" i="52" s="1"/>
  <c r="CI45" i="52"/>
  <c r="DJ45" i="52" s="1" a="1"/>
  <c r="DJ45" i="52" s="1"/>
  <c r="CF42" i="52"/>
  <c r="DG42" i="52" s="1" a="1"/>
  <c r="DG42" i="52" s="1"/>
  <c r="CI44" i="52"/>
  <c r="DJ44" i="52" s="1" a="1"/>
  <c r="DJ44" i="52" s="1"/>
  <c r="CF45" i="52"/>
  <c r="DG45" i="52" s="1" a="1"/>
  <c r="DG45" i="52" s="1"/>
  <c r="CF59" i="52"/>
  <c r="DG59" i="52" s="1" a="1"/>
  <c r="DG59" i="52" s="1"/>
  <c r="CF65" i="52"/>
  <c r="CU62" i="52" s="1" a="1"/>
  <c r="CU62" i="52" s="1"/>
  <c r="DV62" i="52" s="1" a="1"/>
  <c r="DV62" i="52" s="1"/>
  <c r="CI50" i="52"/>
  <c r="CF46" i="52"/>
  <c r="DG46" i="52" s="1" a="1"/>
  <c r="DG46" i="52" s="1"/>
  <c r="CI51" i="52"/>
  <c r="DJ51" i="52" s="1" a="1"/>
  <c r="DJ51" i="52" s="1"/>
  <c r="CF47" i="52"/>
  <c r="CL55" i="52"/>
  <c r="CL64" i="52"/>
  <c r="CL49" i="52"/>
  <c r="DM49" i="52" s="1" a="1"/>
  <c r="DM49" i="52" s="1"/>
  <c r="CL54" i="52"/>
  <c r="DM54" i="52" s="1" a="1"/>
  <c r="DM54" i="52" s="1"/>
  <c r="CL63" i="52"/>
  <c r="DM63" i="52" s="1" a="1"/>
  <c r="DM63" i="52" s="1"/>
  <c r="CL48" i="52"/>
  <c r="DM48" i="52" s="1" a="1"/>
  <c r="DM48" i="52" s="1"/>
  <c r="CI62" i="52"/>
  <c r="DJ62" i="52" s="1" a="1"/>
  <c r="DJ62" i="52" s="1"/>
  <c r="CI65" i="52"/>
  <c r="DJ65" i="52" s="1" a="1"/>
  <c r="DJ65" i="52" s="1"/>
  <c r="CI64" i="52"/>
  <c r="DJ64" i="52" s="1" a="1"/>
  <c r="DJ64" i="52" s="1"/>
  <c r="CF43" i="52"/>
  <c r="DG43" i="52" s="1" a="1"/>
  <c r="DG43" i="52" s="1"/>
  <c r="CI63" i="52"/>
  <c r="DJ63" i="52" s="1" a="1"/>
  <c r="DJ63" i="52" s="1"/>
  <c r="CF44" i="52"/>
  <c r="DG44" i="52" s="1" a="1"/>
  <c r="DG44" i="52" s="1"/>
  <c r="CF53" i="52"/>
  <c r="CL45" i="52"/>
  <c r="DM45" i="52" s="1" a="1"/>
  <c r="DM45" i="52" s="1"/>
  <c r="CF54" i="52"/>
  <c r="DG54" i="52" s="1" a="1"/>
  <c r="DG54" i="52" s="1"/>
  <c r="CL43" i="52"/>
  <c r="DM43" i="52" s="1" a="1"/>
  <c r="DM43" i="52" s="1"/>
  <c r="CF49" i="52"/>
  <c r="DG49" i="52" s="1" a="1"/>
  <c r="DG49" i="52" s="1"/>
  <c r="CF48" i="52"/>
  <c r="DG48" i="52" s="1" a="1"/>
  <c r="DG48" i="52" s="1"/>
  <c r="CF55" i="52"/>
  <c r="DG55" i="52" s="1" a="1"/>
  <c r="DG55" i="52" s="1"/>
  <c r="CL47" i="52"/>
  <c r="DM47" i="52" s="1" a="1"/>
  <c r="DM47" i="52" s="1"/>
  <c r="CL52" i="52"/>
  <c r="DM52" i="52" s="1" a="1"/>
  <c r="DM52" i="52" s="1"/>
  <c r="CF50" i="52"/>
  <c r="CL56" i="52"/>
  <c r="DM56" i="52" s="1" a="1"/>
  <c r="DM56" i="52" s="1"/>
  <c r="CL65" i="52"/>
  <c r="DM65" i="52" s="1" a="1"/>
  <c r="DM65" i="52" s="1"/>
  <c r="CL44" i="52"/>
  <c r="DM44" i="52" s="1" a="1"/>
  <c r="DM44" i="52" s="1"/>
  <c r="CL57" i="52"/>
  <c r="DM57" i="52" s="1" a="1"/>
  <c r="DM57" i="52" s="1"/>
  <c r="CL62" i="52"/>
  <c r="DM62" i="52" s="1" a="1"/>
  <c r="DM62" i="52" s="1"/>
  <c r="CL42" i="52"/>
  <c r="DM42" i="52" s="1" a="1"/>
  <c r="DM42" i="52" s="1"/>
  <c r="CI55" i="52"/>
  <c r="DJ55" i="52" s="1" a="1"/>
  <c r="DJ55" i="52" s="1"/>
  <c r="CI54" i="52"/>
  <c r="DJ54" i="52" s="1" a="1"/>
  <c r="DJ54" i="52" s="1"/>
  <c r="CL46" i="52"/>
  <c r="DM46" i="52" s="1" a="1"/>
  <c r="DM46" i="52" s="1"/>
  <c r="CI17" i="52"/>
  <c r="DJ17" i="52" s="1" a="1"/>
  <c r="DJ17" i="52" s="1"/>
  <c r="CL13" i="52"/>
  <c r="DM13" i="52" s="1" a="1"/>
  <c r="DM13" i="52" s="1"/>
  <c r="CF15" i="52"/>
  <c r="DG15" i="52" s="1" a="1"/>
  <c r="DG15" i="52" s="1"/>
  <c r="CI14" i="52"/>
  <c r="DJ14" i="52" s="1" a="1"/>
  <c r="DJ14" i="52" s="1"/>
  <c r="CF16" i="52"/>
  <c r="CI16" i="52"/>
  <c r="DJ16" i="52" s="1" a="1"/>
  <c r="DJ16" i="52" s="1"/>
  <c r="CI13" i="52"/>
  <c r="DJ13" i="52" s="1" a="1"/>
  <c r="DJ13" i="52" s="1"/>
  <c r="CI58" i="52"/>
  <c r="DJ58" i="52" s="1" a="1"/>
  <c r="DJ58" i="52" s="1"/>
  <c r="CL14" i="52"/>
  <c r="CF14" i="52"/>
  <c r="DG14" i="52" s="1" a="1"/>
  <c r="DG14" i="52" s="1"/>
  <c r="CI12" i="52"/>
  <c r="DJ12" i="52" s="1" a="1"/>
  <c r="DJ12" i="52" s="1"/>
  <c r="CF12" i="52"/>
  <c r="DG12" i="52" s="1" a="1"/>
  <c r="DG12" i="52" s="1"/>
  <c r="CI59" i="52"/>
  <c r="DJ59" i="52" s="1" a="1"/>
  <c r="DJ59" i="52" s="1"/>
  <c r="CF13" i="52"/>
  <c r="DG13" i="52" s="1" a="1"/>
  <c r="DG13" i="52" s="1"/>
  <c r="CL16" i="52"/>
  <c r="DM16" i="52" s="1" a="1"/>
  <c r="DM16" i="52" s="1"/>
  <c r="CF17" i="52"/>
  <c r="DG17" i="52" s="1" a="1"/>
  <c r="DG17" i="52" s="1"/>
  <c r="CL15" i="52"/>
  <c r="DM15" i="52" s="1" a="1"/>
  <c r="DM15" i="52" s="1"/>
  <c r="CL12" i="52"/>
  <c r="DM12" i="52" s="1" a="1"/>
  <c r="DM12" i="52" s="1"/>
  <c r="CI42" i="52"/>
  <c r="DJ42" i="52" s="1" a="1"/>
  <c r="DJ42" i="52" s="1"/>
  <c r="CI43" i="52"/>
  <c r="DJ43" i="52" s="1" a="1"/>
  <c r="DJ43" i="52" s="1"/>
  <c r="CL17" i="52"/>
  <c r="DM17" i="52" s="1" a="1"/>
  <c r="DM17" i="52" s="1"/>
  <c r="W16" i="52"/>
  <c r="W12" i="52"/>
  <c r="AR13" i="52"/>
  <c r="AS13" i="52" s="1" a="1"/>
  <c r="AS13" i="52" s="1"/>
  <c r="AT13" i="52" s="1" a="1"/>
  <c r="AT13" i="52" s="1"/>
  <c r="W13" i="52"/>
  <c r="W15" i="52"/>
  <c r="W14" i="52"/>
  <c r="X14" i="52" s="1" a="1"/>
  <c r="X14" i="52" s="1"/>
  <c r="W17" i="52"/>
  <c r="X17" i="52" s="1" a="1"/>
  <c r="X17" i="52" s="1"/>
  <c r="W18" i="52"/>
  <c r="W31" i="52"/>
  <c r="W19" i="52"/>
  <c r="W32" i="52"/>
  <c r="W20" i="52"/>
  <c r="W33" i="52"/>
  <c r="W21" i="52"/>
  <c r="W30" i="52"/>
  <c r="W22" i="52"/>
  <c r="W23" i="52"/>
  <c r="W24" i="52"/>
  <c r="W25" i="52"/>
  <c r="W26" i="52"/>
  <c r="W27" i="52"/>
  <c r="W28" i="52"/>
  <c r="W29" i="52"/>
  <c r="W39" i="52"/>
  <c r="W40" i="52"/>
  <c r="W41" i="52"/>
  <c r="W38" i="52"/>
  <c r="W34" i="52"/>
  <c r="W37" i="52"/>
  <c r="W35" i="52"/>
  <c r="W36" i="52"/>
  <c r="W42" i="52"/>
  <c r="W55" i="52"/>
  <c r="W43" i="52"/>
  <c r="W56" i="52"/>
  <c r="W44" i="52"/>
  <c r="W57" i="52"/>
  <c r="W45" i="52"/>
  <c r="W54" i="52"/>
  <c r="W46" i="52"/>
  <c r="W47" i="52"/>
  <c r="W48" i="52"/>
  <c r="W49" i="52"/>
  <c r="W50" i="52"/>
  <c r="W51" i="52"/>
  <c r="W52" i="52"/>
  <c r="W53" i="52"/>
  <c r="W63" i="52"/>
  <c r="W64" i="52"/>
  <c r="W65" i="52"/>
  <c r="W62" i="52"/>
  <c r="W58" i="52"/>
  <c r="W61" i="52"/>
  <c r="W59" i="52"/>
  <c r="W60" i="52"/>
  <c r="Q16" i="52"/>
  <c r="Z16" i="52"/>
  <c r="AA16" i="52" s="1" a="1"/>
  <c r="AA16" i="52" s="1"/>
  <c r="AB16" i="52" s="1" a="1"/>
  <c r="AB16" i="52" s="1"/>
  <c r="T16" i="52"/>
  <c r="T17" i="52"/>
  <c r="Z13" i="52"/>
  <c r="AA13" i="52" s="1" a="1"/>
  <c r="AA13" i="52" s="1"/>
  <c r="AB13" i="52" s="1" a="1"/>
  <c r="AB13" i="52" s="1"/>
  <c r="T13" i="52"/>
  <c r="T14" i="52"/>
  <c r="T12" i="52"/>
  <c r="U12" i="52" s="1" a="1"/>
  <c r="U12" i="52" s="1"/>
  <c r="T15" i="52"/>
  <c r="U15" i="52" s="1" a="1"/>
  <c r="U15" i="52" s="1"/>
  <c r="V15" i="52" s="1" a="1"/>
  <c r="V15" i="52" s="1"/>
  <c r="T18" i="52"/>
  <c r="T19" i="52"/>
  <c r="T20" i="52"/>
  <c r="T21" i="52"/>
  <c r="T22" i="52"/>
  <c r="T34" i="52"/>
  <c r="T23" i="52"/>
  <c r="T35" i="52"/>
  <c r="T24" i="52"/>
  <c r="T36" i="52"/>
  <c r="T25" i="52"/>
  <c r="T37" i="52"/>
  <c r="T26" i="52"/>
  <c r="T27" i="52"/>
  <c r="T28" i="52"/>
  <c r="T29" i="52"/>
  <c r="T30" i="52"/>
  <c r="T31" i="52"/>
  <c r="T32" i="52"/>
  <c r="T33" i="52"/>
  <c r="T38" i="52"/>
  <c r="T41" i="52"/>
  <c r="T39" i="52"/>
  <c r="T40" i="52"/>
  <c r="T42" i="52"/>
  <c r="T43" i="52"/>
  <c r="U42" i="52" s="1" a="1"/>
  <c r="U42" i="52" s="1"/>
  <c r="T44" i="52"/>
  <c r="T45" i="52"/>
  <c r="T46" i="52"/>
  <c r="T58" i="52"/>
  <c r="T47" i="52"/>
  <c r="T59" i="52"/>
  <c r="T48" i="52"/>
  <c r="T60" i="52"/>
  <c r="T49" i="52"/>
  <c r="T61" i="52"/>
  <c r="T50" i="52"/>
  <c r="T51" i="52"/>
  <c r="T52" i="52"/>
  <c r="T53" i="52"/>
  <c r="T54" i="52"/>
  <c r="T55" i="52"/>
  <c r="T56" i="52"/>
  <c r="T57" i="52"/>
  <c r="T62" i="52"/>
  <c r="T65" i="52"/>
  <c r="T63" i="52"/>
  <c r="T64" i="52"/>
  <c r="AR16" i="52"/>
  <c r="BJ16" i="52"/>
  <c r="BK16" i="52" s="1" a="1"/>
  <c r="BK16" i="52" s="1"/>
  <c r="BL16" i="52" s="1" a="1"/>
  <c r="BL16" i="52" s="1"/>
  <c r="BJ15" i="52"/>
  <c r="BK15" i="52" s="1" a="1"/>
  <c r="BK15" i="52" s="1"/>
  <c r="BL15" i="52" s="1" a="1"/>
  <c r="BL15" i="52" s="1"/>
  <c r="BJ13" i="52"/>
  <c r="BK13" i="52" s="1" a="1"/>
  <c r="BK13" i="52" s="1"/>
  <c r="BL13" i="52" s="1" a="1"/>
  <c r="BL13" i="52" s="1"/>
  <c r="BJ12" i="52"/>
  <c r="BK12" i="52" s="1" a="1"/>
  <c r="BK12" i="52" s="1"/>
  <c r="BL12" i="52" s="1" a="1"/>
  <c r="BL12" i="52" s="1"/>
  <c r="AR12" i="52"/>
  <c r="AS12" i="52" s="1" a="1"/>
  <c r="AS12" i="52" s="1"/>
  <c r="AT12" i="52" s="1" a="1"/>
  <c r="AT12" i="52" s="1"/>
  <c r="AR15" i="52"/>
  <c r="AS15" i="52" s="1" a="1"/>
  <c r="AS15" i="52" s="1"/>
  <c r="AT15" i="52" s="1" a="1"/>
  <c r="AT15" i="52" s="1"/>
  <c r="Q12" i="52"/>
  <c r="Q17" i="52"/>
  <c r="Q15" i="52"/>
  <c r="Z14" i="52"/>
  <c r="AA14" i="52" s="1" a="1"/>
  <c r="AA14" i="52" s="1"/>
  <c r="AB14" i="52" s="1" a="1"/>
  <c r="AB14" i="52" s="1"/>
  <c r="Q14" i="52"/>
  <c r="Z15" i="52"/>
  <c r="Z17" i="52"/>
  <c r="AA17" i="52" s="1" a="1"/>
  <c r="AA17" i="52" s="1"/>
  <c r="AB17" i="52" s="1" a="1"/>
  <c r="AB17" i="52" s="1"/>
  <c r="AR17" i="52"/>
  <c r="AS17" i="52" s="1" a="1"/>
  <c r="AS17" i="52" s="1"/>
  <c r="AT17" i="52" s="1" a="1"/>
  <c r="AT17" i="52" s="1"/>
  <c r="BJ17" i="52"/>
  <c r="BK17" i="52" s="1" a="1"/>
  <c r="BK17" i="52" s="1"/>
  <c r="BL17" i="52" s="1" a="1"/>
  <c r="BL17" i="52" s="1"/>
  <c r="Z12" i="52"/>
  <c r="AA12" i="52" s="1" a="1"/>
  <c r="AA12" i="52" s="1"/>
  <c r="AB12" i="52" s="1" a="1"/>
  <c r="AB12" i="52" s="1"/>
  <c r="AR14" i="52"/>
  <c r="AS14" i="52" s="1" a="1"/>
  <c r="AS14" i="52" s="1"/>
  <c r="AT14" i="52" s="1" a="1"/>
  <c r="AT14" i="52" s="1"/>
  <c r="Q13" i="52"/>
  <c r="R13" i="52" s="1" a="1"/>
  <c r="R13" i="52" s="1"/>
  <c r="BJ14" i="52"/>
  <c r="BK14" i="52" s="1" a="1"/>
  <c r="BK14" i="52" s="1"/>
  <c r="BL14" i="52" s="1" a="1"/>
  <c r="BL14" i="52" s="1"/>
  <c r="Z21" i="52"/>
  <c r="AA21" i="52" s="1" a="1"/>
  <c r="AA21" i="52" s="1"/>
  <c r="AB21" i="52" s="1" a="1"/>
  <c r="AB21" i="52" s="1"/>
  <c r="Q21" i="52"/>
  <c r="Q35" i="52"/>
  <c r="Q41" i="52"/>
  <c r="BJ29" i="52"/>
  <c r="Q26" i="52"/>
  <c r="Q18" i="52"/>
  <c r="Q36" i="52"/>
  <c r="Q19" i="52"/>
  <c r="Q37" i="52"/>
  <c r="Q20" i="52"/>
  <c r="Q34" i="52"/>
  <c r="Q22" i="52"/>
  <c r="Q25" i="52"/>
  <c r="Q23" i="52"/>
  <c r="Q24" i="52"/>
  <c r="Q27" i="52"/>
  <c r="Q28" i="52"/>
  <c r="Q29" i="52"/>
  <c r="Q30" i="52"/>
  <c r="R30" i="52" s="1" a="1"/>
  <c r="R30" i="52" s="1"/>
  <c r="Q31" i="52"/>
  <c r="Q32" i="52"/>
  <c r="Q33" i="52"/>
  <c r="Q40" i="52"/>
  <c r="Q38" i="52"/>
  <c r="Q39" i="52"/>
  <c r="Q42" i="52"/>
  <c r="Q60" i="52"/>
  <c r="Q43" i="52"/>
  <c r="Q61" i="52"/>
  <c r="Q44" i="52"/>
  <c r="Q58" i="52"/>
  <c r="Q45" i="52"/>
  <c r="Q59" i="52"/>
  <c r="Q46" i="52"/>
  <c r="Q49" i="52"/>
  <c r="Q47" i="52"/>
  <c r="Q48" i="52"/>
  <c r="Q50" i="52"/>
  <c r="Q51" i="52"/>
  <c r="Q52" i="52"/>
  <c r="Q53" i="52"/>
  <c r="Q54" i="52"/>
  <c r="Q55" i="52"/>
  <c r="Q56" i="52"/>
  <c r="Q57" i="52"/>
  <c r="Q64" i="52"/>
  <c r="Q65" i="52"/>
  <c r="Q62" i="52"/>
  <c r="Q63" i="52"/>
  <c r="BJ26" i="52"/>
  <c r="BJ27" i="52"/>
  <c r="BK26" i="52" s="1" a="1"/>
  <c r="BK26" i="52" s="1"/>
  <c r="CL18" i="52"/>
  <c r="DM18" i="52" s="1" a="1"/>
  <c r="DM18" i="52" s="1"/>
  <c r="CL31" i="52"/>
  <c r="DM31" i="52" s="1" a="1"/>
  <c r="DM31" i="52" s="1"/>
  <c r="CF40" i="52"/>
  <c r="DG40" i="52" s="1" a="1"/>
  <c r="DG40" i="52" s="1"/>
  <c r="CF28" i="52"/>
  <c r="DG28" i="52" s="1" a="1"/>
  <c r="DG28" i="52" s="1"/>
  <c r="CF20" i="52"/>
  <c r="DG20" i="52" s="1" a="1"/>
  <c r="DG20" i="52" s="1"/>
  <c r="CL19" i="52"/>
  <c r="DM19" i="52" s="1" a="1"/>
  <c r="DM19" i="52" s="1"/>
  <c r="CL32" i="52"/>
  <c r="DM32" i="52" s="1" a="1"/>
  <c r="DM32" i="52" s="1"/>
  <c r="CF41" i="52"/>
  <c r="DG41" i="52" s="1" a="1"/>
  <c r="DG41" i="52" s="1"/>
  <c r="CF29" i="52"/>
  <c r="DG29" i="52" s="1" a="1"/>
  <c r="DG29" i="52" s="1"/>
  <c r="CF21" i="52"/>
  <c r="DG21" i="52" s="1" a="1"/>
  <c r="DG21" i="52" s="1"/>
  <c r="CL20" i="52"/>
  <c r="DM20" i="52" s="1" a="1"/>
  <c r="DM20" i="52" s="1"/>
  <c r="CL33" i="52"/>
  <c r="DM33" i="52" s="1" a="1"/>
  <c r="DM33" i="52" s="1"/>
  <c r="CF38" i="52"/>
  <c r="DG38" i="52" s="1" a="1"/>
  <c r="DG38" i="52" s="1"/>
  <c r="CF26" i="52"/>
  <c r="DG26" i="52" s="1" a="1"/>
  <c r="DG26" i="52" s="1"/>
  <c r="CF18" i="52"/>
  <c r="DG18" i="52" s="1" a="1"/>
  <c r="DG18" i="52" s="1"/>
  <c r="CL21" i="52"/>
  <c r="DM21" i="52" s="1" a="1"/>
  <c r="DM21" i="52" s="1"/>
  <c r="CL30" i="52"/>
  <c r="DM30" i="52" s="1" a="1"/>
  <c r="DM30" i="52" s="1"/>
  <c r="CF39" i="52"/>
  <c r="DG39" i="52" s="1" a="1"/>
  <c r="DG39" i="52" s="1"/>
  <c r="CF27" i="52"/>
  <c r="DG27" i="52" s="1" a="1"/>
  <c r="DG27" i="52" s="1"/>
  <c r="CF19" i="52"/>
  <c r="DG19" i="52" s="1" a="1"/>
  <c r="DG19" i="52" s="1"/>
  <c r="CL22" i="52"/>
  <c r="DM22" i="52" s="1" a="1"/>
  <c r="DM22" i="52" s="1"/>
  <c r="CF32" i="52"/>
  <c r="DG32" i="52" s="1" a="1"/>
  <c r="DG32" i="52" s="1"/>
  <c r="CF33" i="52"/>
  <c r="DG33" i="52" s="1" a="1"/>
  <c r="DG33" i="52" s="1"/>
  <c r="CF30" i="52"/>
  <c r="DG30" i="52" s="1" a="1"/>
  <c r="DG30" i="52" s="1"/>
  <c r="CL23" i="52"/>
  <c r="DM23" i="52" s="1" a="1"/>
  <c r="DM23" i="52" s="1"/>
  <c r="CF31" i="52"/>
  <c r="DG31" i="52" s="1" a="1"/>
  <c r="DG31" i="52" s="1"/>
  <c r="CL24" i="52"/>
  <c r="DM24" i="52" s="1" a="1"/>
  <c r="DM24" i="52" s="1"/>
  <c r="CL25" i="52"/>
  <c r="DM25" i="52" s="1" a="1"/>
  <c r="DM25" i="52" s="1"/>
  <c r="CL26" i="52"/>
  <c r="DM26" i="52" s="1" a="1"/>
  <c r="DM26" i="52" s="1"/>
  <c r="CL27" i="52"/>
  <c r="DM27" i="52" s="1" a="1"/>
  <c r="DM27" i="52" s="1"/>
  <c r="CF34" i="52"/>
  <c r="DG34" i="52" s="1" a="1"/>
  <c r="DG34" i="52" s="1"/>
  <c r="CL28" i="52"/>
  <c r="DM28" i="52" s="1" a="1"/>
  <c r="DM28" i="52" s="1"/>
  <c r="CF35" i="52"/>
  <c r="DG35" i="52" s="1" a="1"/>
  <c r="DG35" i="52" s="1"/>
  <c r="CL29" i="52"/>
  <c r="DM29" i="52" s="1" a="1"/>
  <c r="DM29" i="52" s="1"/>
  <c r="CF36" i="52"/>
  <c r="DG36" i="52" s="1" a="1"/>
  <c r="DG36" i="52" s="1"/>
  <c r="CF37" i="52"/>
  <c r="DG37" i="52" s="1" a="1"/>
  <c r="DG37" i="52" s="1"/>
  <c r="CL39" i="52"/>
  <c r="DM39" i="52" s="1" a="1"/>
  <c r="DM39" i="52" s="1"/>
  <c r="CF24" i="52"/>
  <c r="DG24" i="52" s="1" a="1"/>
  <c r="DG24" i="52" s="1"/>
  <c r="CF23" i="52"/>
  <c r="DG23" i="52" s="1" a="1"/>
  <c r="DG23" i="52" s="1"/>
  <c r="CF22" i="52"/>
  <c r="DG22" i="52" s="1" a="1"/>
  <c r="DG22" i="52" s="1"/>
  <c r="CL40" i="52"/>
  <c r="DM40" i="52" s="1" a="1"/>
  <c r="DM40" i="52" s="1"/>
  <c r="CF25" i="52"/>
  <c r="DG25" i="52" s="1" a="1"/>
  <c r="DG25" i="52" s="1"/>
  <c r="CL41" i="52"/>
  <c r="DM41" i="52" s="1" a="1"/>
  <c r="DM41" i="52" s="1"/>
  <c r="CL38" i="52"/>
  <c r="DM38" i="52" s="1" a="1"/>
  <c r="DM38" i="52" s="1"/>
  <c r="CL34" i="52"/>
  <c r="DM34" i="52" s="1" a="1"/>
  <c r="DM34" i="52" s="1"/>
  <c r="CL37" i="52"/>
  <c r="DM37" i="52" s="1" a="1"/>
  <c r="DM37" i="52" s="1"/>
  <c r="CL35" i="52"/>
  <c r="DM35" i="52" s="1" a="1"/>
  <c r="DM35" i="52" s="1"/>
  <c r="CL36" i="52"/>
  <c r="DM36" i="52" s="1" a="1"/>
  <c r="DM36" i="52" s="1"/>
  <c r="CM45" i="52" a="1"/>
  <c r="CM45" i="52" s="1"/>
  <c r="DN45" i="52" s="1" a="1"/>
  <c r="DN45" i="52" s="1"/>
  <c r="CI15" i="52"/>
  <c r="DJ15" i="52" s="1" a="1"/>
  <c r="DJ15" i="52" s="1"/>
  <c r="CI18" i="52"/>
  <c r="DJ18" i="52" s="1" a="1"/>
  <c r="DJ18" i="52" s="1"/>
  <c r="CI19" i="52"/>
  <c r="DJ19" i="52" s="1" a="1"/>
  <c r="DJ19" i="52" s="1"/>
  <c r="CI20" i="52"/>
  <c r="DJ20" i="52" s="1" a="1"/>
  <c r="DJ20" i="52" s="1"/>
  <c r="CI21" i="52"/>
  <c r="DJ21" i="52" s="1" a="1"/>
  <c r="DJ21" i="52" s="1"/>
  <c r="CI22" i="52"/>
  <c r="DJ22" i="52" s="1" a="1"/>
  <c r="DJ22" i="52" s="1"/>
  <c r="CI23" i="52"/>
  <c r="DJ23" i="52" s="1" a="1"/>
  <c r="DJ23" i="52" s="1"/>
  <c r="CI24" i="52"/>
  <c r="DJ24" i="52" s="1" a="1"/>
  <c r="DJ24" i="52" s="1"/>
  <c r="CI25" i="52"/>
  <c r="DJ25" i="52" s="1" a="1"/>
  <c r="DJ25" i="52" s="1"/>
  <c r="CI26" i="52"/>
  <c r="DJ26" i="52" s="1" a="1"/>
  <c r="DJ26" i="52" s="1"/>
  <c r="CI27" i="52"/>
  <c r="DJ27" i="52" s="1" a="1"/>
  <c r="DJ27" i="52" s="1"/>
  <c r="CI28" i="52"/>
  <c r="DJ28" i="52" s="1" a="1"/>
  <c r="DJ28" i="52" s="1"/>
  <c r="CI29" i="52"/>
  <c r="DJ29" i="52" s="1" a="1"/>
  <c r="DJ29" i="52" s="1"/>
  <c r="CI30" i="52"/>
  <c r="DJ30" i="52" s="1" a="1"/>
  <c r="DJ30" i="52" s="1"/>
  <c r="CI31" i="52"/>
  <c r="DJ31" i="52" s="1" a="1"/>
  <c r="DJ31" i="52" s="1"/>
  <c r="CI32" i="52"/>
  <c r="DJ32" i="52" s="1" a="1"/>
  <c r="DJ32" i="52" s="1"/>
  <c r="CI33" i="52"/>
  <c r="DJ33" i="52" s="1" a="1"/>
  <c r="DJ33" i="52" s="1"/>
  <c r="CI34" i="52"/>
  <c r="DJ34" i="52" s="1" a="1"/>
  <c r="DJ34" i="52" s="1"/>
  <c r="CI35" i="52"/>
  <c r="DJ35" i="52" s="1" a="1"/>
  <c r="DJ35" i="52" s="1"/>
  <c r="CI36" i="52"/>
  <c r="DJ36" i="52" s="1" a="1"/>
  <c r="DJ36" i="52" s="1"/>
  <c r="CI37" i="52"/>
  <c r="DJ37" i="52" s="1" a="1"/>
  <c r="DJ37" i="52" s="1"/>
  <c r="CI38" i="52"/>
  <c r="DJ38" i="52" s="1" a="1"/>
  <c r="DJ38" i="52" s="1"/>
  <c r="CI39" i="52"/>
  <c r="DJ39" i="52" s="1" a="1"/>
  <c r="DJ39" i="52" s="1"/>
  <c r="CI40" i="52"/>
  <c r="DJ40" i="52" s="1" a="1"/>
  <c r="DJ40" i="52" s="1"/>
  <c r="CI41" i="52"/>
  <c r="DJ41" i="52" s="1" a="1"/>
  <c r="DJ41" i="52" s="1"/>
  <c r="CI57" i="52"/>
  <c r="DJ57" i="52" s="1" a="1"/>
  <c r="DJ57" i="52" s="1"/>
  <c r="CJ49" i="52" a="1"/>
  <c r="CJ49" i="52" s="1"/>
  <c r="DK49" i="52" s="1" a="1"/>
  <c r="DK49" i="52" s="1"/>
  <c r="CJ60" i="52" a="1"/>
  <c r="CJ60" i="52" s="1"/>
  <c r="DK60" i="52" s="1" a="1"/>
  <c r="DK60" i="52" s="1"/>
  <c r="CJ65" i="52" a="1"/>
  <c r="CJ65" i="52" s="1"/>
  <c r="DK65" i="52" s="1" a="1"/>
  <c r="DK65" i="52" s="1"/>
  <c r="CU44" i="52" a="1"/>
  <c r="CU44" i="52" s="1"/>
  <c r="DV44" i="52" s="1" a="1"/>
  <c r="DV44" i="52" s="1"/>
  <c r="CU49" i="52" a="1"/>
  <c r="CU49" i="52" s="1"/>
  <c r="DV49" i="52" s="1" a="1"/>
  <c r="DV49" i="52" s="1"/>
  <c r="CE12" i="52"/>
  <c r="DF12" i="52" s="1" a="1"/>
  <c r="DF12" i="52" s="1"/>
  <c r="CE13" i="52"/>
  <c r="DF13" i="52" s="1" a="1"/>
  <c r="DF13" i="52" s="1"/>
  <c r="CE14" i="52"/>
  <c r="DF14" i="52" s="1" a="1"/>
  <c r="DF14" i="52" s="1"/>
  <c r="CE15" i="52"/>
  <c r="DF15" i="52" s="1" a="1"/>
  <c r="DF15" i="52" s="1"/>
  <c r="CE16" i="52"/>
  <c r="DF16" i="52" s="1" a="1"/>
  <c r="DF16" i="52" s="1"/>
  <c r="CE17" i="52"/>
  <c r="DF17" i="52" s="1" a="1"/>
  <c r="DF17" i="52" s="1"/>
  <c r="CE18" i="52"/>
  <c r="DF18" i="52" s="1" a="1"/>
  <c r="DF18" i="52" s="1"/>
  <c r="CE19" i="52"/>
  <c r="DF19" i="52" s="1" a="1"/>
  <c r="DF19" i="52" s="1"/>
  <c r="CE20" i="52"/>
  <c r="DF20" i="52" s="1" a="1"/>
  <c r="DF20" i="52" s="1"/>
  <c r="CE21" i="52"/>
  <c r="DF21" i="52" s="1" a="1"/>
  <c r="DF21" i="52" s="1"/>
  <c r="CE22" i="52"/>
  <c r="DF22" i="52" s="1" a="1"/>
  <c r="DF22" i="52" s="1"/>
  <c r="CE23" i="52"/>
  <c r="DF23" i="52" s="1" a="1"/>
  <c r="DF23" i="52" s="1"/>
  <c r="CE24" i="52"/>
  <c r="DF24" i="52" s="1" a="1"/>
  <c r="DF24" i="52" s="1"/>
  <c r="CE25" i="52"/>
  <c r="DF25" i="52" s="1" a="1"/>
  <c r="DF25" i="52" s="1"/>
  <c r="CE26" i="52"/>
  <c r="DF26" i="52" s="1" a="1"/>
  <c r="DF26" i="52" s="1"/>
  <c r="CE27" i="52"/>
  <c r="DF27" i="52" s="1" a="1"/>
  <c r="DF27" i="52" s="1"/>
  <c r="CE28" i="52"/>
  <c r="DF28" i="52" s="1" a="1"/>
  <c r="DF28" i="52" s="1"/>
  <c r="CE29" i="52"/>
  <c r="DF29" i="52" s="1" a="1"/>
  <c r="DF29" i="52" s="1"/>
  <c r="CE30" i="52"/>
  <c r="DF30" i="52" s="1" a="1"/>
  <c r="DF30" i="52" s="1"/>
  <c r="CE31" i="52"/>
  <c r="DF31" i="52" s="1" a="1"/>
  <c r="DF31" i="52" s="1"/>
  <c r="CE32" i="52"/>
  <c r="DF32" i="52" s="1" a="1"/>
  <c r="DF32" i="52" s="1"/>
  <c r="CE33" i="52"/>
  <c r="DF33" i="52" s="1" a="1"/>
  <c r="DF33" i="52" s="1"/>
  <c r="CE34" i="52"/>
  <c r="DF34" i="52" s="1" a="1"/>
  <c r="DF34" i="52" s="1"/>
  <c r="CE35" i="52"/>
  <c r="DF35" i="52" s="1" a="1"/>
  <c r="DF35" i="52" s="1"/>
  <c r="CE36" i="52"/>
  <c r="DF36" i="52" s="1" a="1"/>
  <c r="DF36" i="52" s="1"/>
  <c r="CE37" i="52"/>
  <c r="DF37" i="52" s="1" a="1"/>
  <c r="DF37" i="52" s="1"/>
  <c r="CE38" i="52"/>
  <c r="DF38" i="52" s="1" a="1"/>
  <c r="DF38" i="52" s="1"/>
  <c r="CE39" i="52"/>
  <c r="DF39" i="52" s="1" a="1"/>
  <c r="DF39" i="52" s="1"/>
  <c r="CE40" i="52"/>
  <c r="DF40" i="52" s="1" a="1"/>
  <c r="DF40" i="52" s="1"/>
  <c r="CE41" i="52"/>
  <c r="DF41" i="52" s="1" a="1"/>
  <c r="DF41" i="52" s="1"/>
  <c r="CE42" i="52"/>
  <c r="DF42" i="52" s="1" a="1"/>
  <c r="DF42" i="52" s="1"/>
  <c r="CE43" i="52"/>
  <c r="DF43" i="52" s="1" a="1"/>
  <c r="DF43" i="52" s="1"/>
  <c r="CE44" i="52"/>
  <c r="DF44" i="52" s="1" a="1"/>
  <c r="DF44" i="52" s="1"/>
  <c r="CE45" i="52"/>
  <c r="DF45" i="52" s="1" a="1"/>
  <c r="DF45" i="52" s="1"/>
  <c r="CE46" i="52"/>
  <c r="DF46" i="52" s="1" a="1"/>
  <c r="DF46" i="52" s="1"/>
  <c r="CE47" i="52"/>
  <c r="DF47" i="52" s="1" a="1"/>
  <c r="DF47" i="52" s="1"/>
  <c r="CE48" i="52"/>
  <c r="DF48" i="52" s="1" a="1"/>
  <c r="DF48" i="52" s="1"/>
  <c r="CE49" i="52"/>
  <c r="DF49" i="52" s="1" a="1"/>
  <c r="DF49" i="52" s="1"/>
  <c r="CE50" i="52"/>
  <c r="DF50" i="52" s="1" a="1"/>
  <c r="DF50" i="52" s="1"/>
  <c r="CE51" i="52"/>
  <c r="DF51" i="52" s="1" a="1"/>
  <c r="DF51" i="52" s="1"/>
  <c r="CE52" i="52"/>
  <c r="DF52" i="52" s="1" a="1"/>
  <c r="DF52" i="52" s="1"/>
  <c r="CE53" i="52"/>
  <c r="DF53" i="52" s="1" a="1"/>
  <c r="DF53" i="52" s="1"/>
  <c r="CE54" i="52"/>
  <c r="DF54" i="52" s="1" a="1"/>
  <c r="DF54" i="52" s="1"/>
  <c r="CE55" i="52"/>
  <c r="DF55" i="52" s="1" a="1"/>
  <c r="DF55" i="52" s="1"/>
  <c r="CE56" i="52"/>
  <c r="DF56" i="52" s="1" a="1"/>
  <c r="DF56" i="52" s="1"/>
  <c r="CE57" i="52"/>
  <c r="DF57" i="52" s="1" a="1"/>
  <c r="DF57" i="52" s="1"/>
  <c r="CE58" i="52"/>
  <c r="DF58" i="52" s="1" a="1"/>
  <c r="DF58" i="52" s="1"/>
  <c r="CE59" i="52"/>
  <c r="DF59" i="52" s="1" a="1"/>
  <c r="DF59" i="52" s="1"/>
  <c r="CE60" i="52"/>
  <c r="DF60" i="52" s="1" a="1"/>
  <c r="DF60" i="52" s="1"/>
  <c r="CE61" i="52"/>
  <c r="DF61" i="52" s="1" a="1"/>
  <c r="DF61" i="52" s="1"/>
  <c r="CE62" i="52"/>
  <c r="DF62" i="52" s="1" a="1"/>
  <c r="DF62" i="52" s="1"/>
  <c r="CE63" i="52"/>
  <c r="DF63" i="52" s="1" a="1"/>
  <c r="DF63" i="52" s="1"/>
  <c r="CE64" i="52"/>
  <c r="DF64" i="52" s="1" a="1"/>
  <c r="DF64" i="52" s="1"/>
  <c r="CE65" i="52"/>
  <c r="DF65" i="52" s="1" a="1"/>
  <c r="DF65" i="52" s="1"/>
  <c r="BJ38" i="52"/>
  <c r="BJ23" i="52"/>
  <c r="BJ20" i="52"/>
  <c r="BJ18" i="52"/>
  <c r="BK18" i="52" s="1" a="1"/>
  <c r="BK18" i="52" s="1"/>
  <c r="BL18" i="52" s="1" a="1"/>
  <c r="BL18" i="52" s="1"/>
  <c r="BJ33" i="52"/>
  <c r="BJ31" i="52"/>
  <c r="BK31" i="52" s="1" a="1"/>
  <c r="BK31" i="52" s="1"/>
  <c r="BL31" i="52" s="1" a="1"/>
  <c r="BL31" i="52" s="1"/>
  <c r="BJ40" i="52"/>
  <c r="BK40" i="52" s="1" a="1"/>
  <c r="BK40" i="52" s="1"/>
  <c r="BL40" i="52" s="1" a="1"/>
  <c r="BL40" i="52" s="1"/>
  <c r="BJ39" i="52"/>
  <c r="BJ24" i="52"/>
  <c r="BJ21" i="52"/>
  <c r="BJ19" i="52"/>
  <c r="BK19" i="52" s="1" a="1"/>
  <c r="BK19" i="52" s="1"/>
  <c r="BL19" i="52" s="1" a="1"/>
  <c r="BL19" i="52" s="1"/>
  <c r="BJ30" i="52"/>
  <c r="BJ32" i="52"/>
  <c r="BK32" i="52" s="1" a="1"/>
  <c r="BK32" i="52" s="1"/>
  <c r="BL32" i="52" s="1" a="1"/>
  <c r="BL32" i="52" s="1"/>
  <c r="BJ41" i="52"/>
  <c r="BK41" i="52" s="1" a="1"/>
  <c r="BK41" i="52" s="1"/>
  <c r="BL41" i="52" s="1" a="1"/>
  <c r="BL41" i="52" s="1"/>
  <c r="BJ25" i="52"/>
  <c r="BK25" i="52" s="1" a="1"/>
  <c r="BK25" i="52" s="1"/>
  <c r="BL25" i="52" s="1" a="1"/>
  <c r="BL25" i="52" s="1"/>
  <c r="BJ22" i="52"/>
  <c r="BK22" i="52" s="1" a="1"/>
  <c r="BK22" i="52" s="1"/>
  <c r="BL22" i="52" s="1" a="1"/>
  <c r="BL22" i="52" s="1"/>
  <c r="BJ37" i="52"/>
  <c r="BJ34" i="52"/>
  <c r="BK34" i="52" s="1" a="1"/>
  <c r="BK34" i="52" s="1"/>
  <c r="BL34" i="52" s="1" a="1"/>
  <c r="BL34" i="52" s="1"/>
  <c r="BJ35" i="52"/>
  <c r="BK35" i="52" s="1" a="1"/>
  <c r="BK35" i="52" s="1"/>
  <c r="BL35" i="52" s="1" a="1"/>
  <c r="BL35" i="52" s="1"/>
  <c r="BJ28" i="52"/>
  <c r="BK27" i="52" s="1" a="1"/>
  <c r="BK27" i="52" s="1"/>
  <c r="BJ36" i="52"/>
  <c r="BK36" i="52" s="1" a="1"/>
  <c r="BK36" i="52" s="1"/>
  <c r="BL36" i="52" s="1" a="1"/>
  <c r="BL36" i="52" s="1"/>
  <c r="BJ62" i="52"/>
  <c r="BJ47" i="52"/>
  <c r="BJ44" i="52"/>
  <c r="BJ42" i="52"/>
  <c r="BK42" i="52" s="1" a="1"/>
  <c r="BK42" i="52" s="1"/>
  <c r="BL42" i="52" s="1" a="1"/>
  <c r="BL42" i="52" s="1"/>
  <c r="BJ57" i="52"/>
  <c r="BJ55" i="52"/>
  <c r="BK55" i="52" s="1" a="1"/>
  <c r="BK55" i="52" s="1"/>
  <c r="BL55" i="52" s="1" a="1"/>
  <c r="BL55" i="52" s="1"/>
  <c r="BJ64" i="52"/>
  <c r="BJ63" i="52"/>
  <c r="BK63" i="52" s="1" a="1"/>
  <c r="BK63" i="52" s="1"/>
  <c r="BL63" i="52" s="1" a="1"/>
  <c r="BL63" i="52" s="1"/>
  <c r="BJ43" i="52"/>
  <c r="BK43" i="52" s="1" a="1"/>
  <c r="BK43" i="52" s="1"/>
  <c r="BL43" i="52" s="1" a="1"/>
  <c r="BL43" i="52" s="1"/>
  <c r="BJ49" i="52"/>
  <c r="BK49" i="52" s="1" a="1"/>
  <c r="BK49" i="52" s="1"/>
  <c r="BL49" i="52" s="1" a="1"/>
  <c r="BL49" i="52" s="1"/>
  <c r="BJ65" i="52"/>
  <c r="BJ45" i="52"/>
  <c r="BK45" i="52" s="1" a="1"/>
  <c r="BK45" i="52" s="1"/>
  <c r="BL45" i="52" s="1" a="1"/>
  <c r="BL45" i="52" s="1"/>
  <c r="BJ48" i="52"/>
  <c r="BK48" i="52" s="1" a="1"/>
  <c r="BK48" i="52" s="1"/>
  <c r="BL48" i="52" s="1" a="1"/>
  <c r="BL48" i="52" s="1"/>
  <c r="BJ46" i="52"/>
  <c r="BK46" i="52" s="1" a="1"/>
  <c r="BK46" i="52" s="1"/>
  <c r="BL46" i="52" s="1" a="1"/>
  <c r="BL46" i="52" s="1"/>
  <c r="BJ61" i="52"/>
  <c r="BK61" i="52" s="1" a="1"/>
  <c r="BK61" i="52" s="1"/>
  <c r="BL61" i="52" s="1" a="1"/>
  <c r="BL61" i="52" s="1"/>
  <c r="BJ50" i="52"/>
  <c r="BJ58" i="52"/>
  <c r="BJ51" i="52"/>
  <c r="BJ59" i="52"/>
  <c r="BK59" i="52" s="1" a="1"/>
  <c r="BK59" i="52" s="1"/>
  <c r="BL59" i="52" s="1" a="1"/>
  <c r="BL59" i="52" s="1"/>
  <c r="BJ52" i="52"/>
  <c r="BJ60" i="52"/>
  <c r="BK60" i="52" s="1" a="1"/>
  <c r="BK60" i="52" s="1"/>
  <c r="BL60" i="52" s="1" a="1"/>
  <c r="BL60" i="52" s="1"/>
  <c r="BJ53" i="52"/>
  <c r="BJ56" i="52"/>
  <c r="BK56" i="52" s="1" a="1"/>
  <c r="BK56" i="52" s="1"/>
  <c r="BL56" i="52" s="1" a="1"/>
  <c r="BL56" i="52" s="1"/>
  <c r="BJ54" i="52"/>
  <c r="BK54" i="52" s="1" a="1"/>
  <c r="BK54" i="52" s="1"/>
  <c r="BL54" i="52" s="1" a="1"/>
  <c r="BL54" i="52" s="1"/>
  <c r="Z20" i="52"/>
  <c r="Z34" i="52"/>
  <c r="Z40" i="52"/>
  <c r="Z29" i="52"/>
  <c r="Z26" i="52"/>
  <c r="AA26" i="52" s="1" a="1"/>
  <c r="AA26" i="52" s="1"/>
  <c r="AB26" i="52" s="1" a="1"/>
  <c r="AB26" i="52" s="1"/>
  <c r="Z19" i="52"/>
  <c r="Z37" i="52"/>
  <c r="Z39" i="52"/>
  <c r="Z30" i="52"/>
  <c r="Z31" i="52"/>
  <c r="Z32" i="52"/>
  <c r="Z33" i="52"/>
  <c r="Z28" i="52"/>
  <c r="Z18" i="52"/>
  <c r="AA18" i="52" s="1" a="1"/>
  <c r="AA18" i="52" s="1"/>
  <c r="AB18" i="52" s="1" a="1"/>
  <c r="AB18" i="52" s="1"/>
  <c r="Z27" i="52"/>
  <c r="Z23" i="52"/>
  <c r="AA23" i="52" s="1" a="1"/>
  <c r="AA23" i="52" s="1"/>
  <c r="AB23" i="52" s="1" a="1"/>
  <c r="AB23" i="52" s="1"/>
  <c r="Z24" i="52"/>
  <c r="AA24" i="52" s="1" a="1"/>
  <c r="AA24" i="52" s="1"/>
  <c r="AB24" i="52" s="1" a="1"/>
  <c r="AB24" i="52" s="1"/>
  <c r="Z25" i="52"/>
  <c r="Z22" i="52"/>
  <c r="AA22" i="52" s="1" a="1"/>
  <c r="AA22" i="52" s="1"/>
  <c r="AB22" i="52" s="1" a="1"/>
  <c r="AB22" i="52" s="1"/>
  <c r="Z38" i="52"/>
  <c r="AA38" i="52" s="1" a="1"/>
  <c r="AA38" i="52" s="1"/>
  <c r="AB38" i="52" s="1" a="1"/>
  <c r="AB38" i="52" s="1"/>
  <c r="Z41" i="52"/>
  <c r="AA41" i="52" s="1" a="1"/>
  <c r="AA41" i="52" s="1"/>
  <c r="AB41" i="52" s="1" a="1"/>
  <c r="AB41" i="52" s="1"/>
  <c r="Z35" i="52"/>
  <c r="Z36" i="52"/>
  <c r="AA36" i="52" s="1" a="1"/>
  <c r="AA36" i="52" s="1"/>
  <c r="AB36" i="52" s="1" a="1"/>
  <c r="AB36" i="52" s="1"/>
  <c r="Z44" i="52"/>
  <c r="AA44" i="52" s="1" a="1"/>
  <c r="AA44" i="52" s="1"/>
  <c r="AB44" i="52" s="1" a="1"/>
  <c r="AB44" i="52" s="1"/>
  <c r="Z53" i="52"/>
  <c r="AA53" i="52" s="1" a="1"/>
  <c r="AA53" i="52" s="1"/>
  <c r="AB53" i="52" s="1" a="1"/>
  <c r="AB53" i="52" s="1"/>
  <c r="Z42" i="52"/>
  <c r="AA42" i="52" s="1" a="1"/>
  <c r="AA42" i="52" s="1"/>
  <c r="AB42" i="52" s="1" a="1"/>
  <c r="AB42" i="52" s="1"/>
  <c r="Z43" i="52"/>
  <c r="Z61" i="52"/>
  <c r="Z63" i="52"/>
  <c r="Z54" i="52"/>
  <c r="Z55" i="52"/>
  <c r="Z56" i="52"/>
  <c r="Z57" i="52"/>
  <c r="Z58" i="52"/>
  <c r="AA58" i="52" s="1" a="1"/>
  <c r="AA58" i="52" s="1"/>
  <c r="AB58" i="52" s="1" a="1"/>
  <c r="AB58" i="52" s="1"/>
  <c r="Z45" i="52"/>
  <c r="AA45" i="52" s="1" a="1"/>
  <c r="AA45" i="52" s="1"/>
  <c r="AB45" i="52" s="1" a="1"/>
  <c r="AB45" i="52" s="1"/>
  <c r="Z60" i="52"/>
  <c r="AA60" i="52" s="1" a="1"/>
  <c r="AA60" i="52" s="1"/>
  <c r="AB60" i="52" s="1" a="1"/>
  <c r="AB60" i="52" s="1"/>
  <c r="Z51" i="52"/>
  <c r="Z47" i="52"/>
  <c r="Z48" i="52"/>
  <c r="AA48" i="52" s="1" a="1"/>
  <c r="AA48" i="52" s="1"/>
  <c r="AB48" i="52" s="1" a="1"/>
  <c r="AB48" i="52" s="1"/>
  <c r="Z49" i="52"/>
  <c r="AA49" i="52" s="1" a="1"/>
  <c r="AA49" i="52" s="1"/>
  <c r="AB49" i="52" s="1" a="1"/>
  <c r="AB49" i="52" s="1"/>
  <c r="Z46" i="52"/>
  <c r="AA46" i="52" s="1" a="1"/>
  <c r="AA46" i="52" s="1"/>
  <c r="AB46" i="52" s="1" a="1"/>
  <c r="AB46" i="52" s="1"/>
  <c r="Z50" i="52"/>
  <c r="AA50" i="52" s="1" a="1"/>
  <c r="AA50" i="52" s="1"/>
  <c r="AB50" i="52" s="1" a="1"/>
  <c r="AB50" i="52" s="1"/>
  <c r="Z52" i="52"/>
  <c r="AA52" i="52" s="1" a="1"/>
  <c r="AA52" i="52" s="1"/>
  <c r="AB52" i="52" s="1" a="1"/>
  <c r="AB52" i="52" s="1"/>
  <c r="Z65" i="52"/>
  <c r="AA65" i="52" s="1" a="1"/>
  <c r="AA65" i="52" s="1"/>
  <c r="AB65" i="52" s="1" a="1"/>
  <c r="AB65" i="52" s="1"/>
  <c r="Z64" i="52"/>
  <c r="AA64" i="52" s="1" a="1"/>
  <c r="AA64" i="52" s="1"/>
  <c r="AB64" i="52" s="1" a="1"/>
  <c r="AB64" i="52" s="1"/>
  <c r="Z59" i="52"/>
  <c r="AA59" i="52" s="1" a="1"/>
  <c r="AA59" i="52" s="1"/>
  <c r="AB59" i="52" s="1" a="1"/>
  <c r="AB59" i="52" s="1"/>
  <c r="Z62" i="52"/>
  <c r="AA62" i="52" s="1" a="1"/>
  <c r="AA62" i="52" s="1"/>
  <c r="AB62" i="52" s="1" a="1"/>
  <c r="AB62" i="52" s="1"/>
  <c r="BK64" i="52" a="1"/>
  <c r="BK64" i="52" s="1"/>
  <c r="BL64" i="52" s="1" a="1"/>
  <c r="BL64" i="52" s="1"/>
  <c r="AA35" i="52" a="1"/>
  <c r="AA35" i="52" s="1"/>
  <c r="AB35" i="52" s="1" a="1"/>
  <c r="AB35" i="52" s="1"/>
  <c r="AA27" i="52" a="1"/>
  <c r="AA27" i="52" s="1"/>
  <c r="AR41" i="52"/>
  <c r="AR38" i="52"/>
  <c r="AR39" i="52"/>
  <c r="AS39" i="52" s="1" a="1"/>
  <c r="AS39" i="52" s="1"/>
  <c r="AT39" i="52" s="1" a="1"/>
  <c r="AT39" i="52" s="1"/>
  <c r="AR40" i="52"/>
  <c r="AS40" i="52" s="1" a="1"/>
  <c r="AS40" i="52" s="1"/>
  <c r="AT40" i="52" s="1" a="1"/>
  <c r="AT40" i="52" s="1"/>
  <c r="AR36" i="52"/>
  <c r="AS36" i="52" s="1" a="1"/>
  <c r="AS36" i="52" s="1"/>
  <c r="AT36" i="52" s="1" a="1"/>
  <c r="AT36" i="52" s="1"/>
  <c r="AR37" i="52"/>
  <c r="AS37" i="52" s="1" a="1"/>
  <c r="AS37" i="52" s="1"/>
  <c r="AT37" i="52" s="1" a="1"/>
  <c r="AT37" i="52" s="1"/>
  <c r="AR34" i="52"/>
  <c r="AR35" i="52"/>
  <c r="AR32" i="52"/>
  <c r="AS32" i="52" s="1" a="1"/>
  <c r="AS32" i="52" s="1"/>
  <c r="AT32" i="52" s="1" a="1"/>
  <c r="AT32" i="52" s="1"/>
  <c r="AR33" i="52"/>
  <c r="AR30" i="52"/>
  <c r="AR31" i="52"/>
  <c r="AR28" i="52"/>
  <c r="AR29" i="52"/>
  <c r="AS29" i="52" s="1" a="1"/>
  <c r="AS29" i="52" s="1"/>
  <c r="AT29" i="52" s="1" a="1"/>
  <c r="AT29" i="52" s="1"/>
  <c r="AR26" i="52"/>
  <c r="AR27" i="52"/>
  <c r="AR24" i="52"/>
  <c r="AS24" i="52" s="1" a="1"/>
  <c r="AS24" i="52" s="1"/>
  <c r="AT24" i="52" s="1" a="1"/>
  <c r="AT24" i="52" s="1"/>
  <c r="AR25" i="52"/>
  <c r="AS25" i="52" s="1" a="1"/>
  <c r="AS25" i="52" s="1"/>
  <c r="AT25" i="52" s="1" a="1"/>
  <c r="AT25" i="52" s="1"/>
  <c r="AR22" i="52"/>
  <c r="AR23" i="52"/>
  <c r="AS23" i="52" s="1" a="1"/>
  <c r="AS23" i="52" s="1"/>
  <c r="AR19" i="52"/>
  <c r="AR20" i="52"/>
  <c r="AR21" i="52"/>
  <c r="AR18" i="52"/>
  <c r="AR65" i="52"/>
  <c r="AR62" i="52"/>
  <c r="AS62" i="52" s="1" a="1"/>
  <c r="AS62" i="52" s="1"/>
  <c r="AT62" i="52" s="1" a="1"/>
  <c r="AT62" i="52" s="1"/>
  <c r="AR63" i="52"/>
  <c r="AS63" i="52" s="1" a="1"/>
  <c r="AS63" i="52" s="1"/>
  <c r="AT63" i="52" s="1" a="1"/>
  <c r="AT63" i="52" s="1"/>
  <c r="AR64" i="52"/>
  <c r="AS64" i="52" s="1" a="1"/>
  <c r="AS64" i="52" s="1"/>
  <c r="AT64" i="52" s="1" a="1"/>
  <c r="AT64" i="52" s="1"/>
  <c r="AR60" i="52"/>
  <c r="AR61" i="52"/>
  <c r="AR58" i="52"/>
  <c r="AR59" i="52"/>
  <c r="AS59" i="52" s="1" a="1"/>
  <c r="AS59" i="52" s="1"/>
  <c r="AT59" i="52" s="1" a="1"/>
  <c r="AT59" i="52" s="1"/>
  <c r="AR56" i="52"/>
  <c r="AS56" i="52" s="1" a="1"/>
  <c r="AS56" i="52" s="1"/>
  <c r="AT56" i="52" s="1" a="1"/>
  <c r="AT56" i="52" s="1"/>
  <c r="AR57" i="52"/>
  <c r="AS57" i="52" s="1" a="1"/>
  <c r="AS57" i="52" s="1"/>
  <c r="AT57" i="52" s="1" a="1"/>
  <c r="AT57" i="52" s="1"/>
  <c r="AR54" i="52"/>
  <c r="AR55" i="52"/>
  <c r="AS55" i="52" s="1" a="1"/>
  <c r="AS55" i="52" s="1"/>
  <c r="AT55" i="52" s="1" a="1"/>
  <c r="AT55" i="52" s="1"/>
  <c r="AR52" i="52"/>
  <c r="AR53" i="52"/>
  <c r="AR50" i="52"/>
  <c r="AR51" i="52"/>
  <c r="AS51" i="52" s="1" a="1"/>
  <c r="AS51" i="52" s="1"/>
  <c r="AT51" i="52" s="1" a="1"/>
  <c r="AT51" i="52" s="1"/>
  <c r="AR48" i="52"/>
  <c r="AS48" i="52" s="1" a="1"/>
  <c r="AS48" i="52" s="1"/>
  <c r="AT48" i="52" s="1" a="1"/>
  <c r="AT48" i="52" s="1"/>
  <c r="AR49" i="52"/>
  <c r="AS49" i="52" s="1" a="1"/>
  <c r="AS49" i="52" s="1"/>
  <c r="AT49" i="52" s="1" a="1"/>
  <c r="AT49" i="52" s="1"/>
  <c r="AR46" i="52"/>
  <c r="AR47" i="52"/>
  <c r="AS47" i="52" s="1" a="1"/>
  <c r="AS47" i="52" s="1"/>
  <c r="AT47" i="52" s="1" a="1"/>
  <c r="AT47" i="52" s="1"/>
  <c r="AR43" i="52"/>
  <c r="AR44" i="52"/>
  <c r="AR45" i="52"/>
  <c r="AR42" i="52"/>
  <c r="P12" i="52"/>
  <c r="P13" i="52"/>
  <c r="P14" i="52"/>
  <c r="P15" i="52"/>
  <c r="P16" i="52"/>
  <c r="P17" i="52"/>
  <c r="P18" i="52"/>
  <c r="P19" i="52"/>
  <c r="P20" i="52"/>
  <c r="P21" i="52"/>
  <c r="P22" i="52"/>
  <c r="P23" i="52"/>
  <c r="P24" i="52"/>
  <c r="P25" i="52"/>
  <c r="P26" i="52"/>
  <c r="P27" i="52"/>
  <c r="P28" i="52"/>
  <c r="P29" i="52"/>
  <c r="P30" i="52"/>
  <c r="P31" i="52"/>
  <c r="P32" i="52"/>
  <c r="P33" i="52"/>
  <c r="P34" i="52"/>
  <c r="P35" i="52"/>
  <c r="P36" i="52"/>
  <c r="P37" i="52"/>
  <c r="P38" i="52"/>
  <c r="P39" i="52"/>
  <c r="P40" i="52"/>
  <c r="P41" i="52"/>
  <c r="P42" i="52"/>
  <c r="P43" i="52"/>
  <c r="P44" i="52"/>
  <c r="P45" i="52"/>
  <c r="P46" i="52"/>
  <c r="P47" i="52"/>
  <c r="P48" i="52"/>
  <c r="P49" i="52"/>
  <c r="P50" i="52"/>
  <c r="P51" i="52"/>
  <c r="P52" i="52"/>
  <c r="P53" i="52"/>
  <c r="P54" i="52"/>
  <c r="P55" i="52"/>
  <c r="P56" i="52"/>
  <c r="P57" i="52"/>
  <c r="P58" i="52"/>
  <c r="P59" i="52"/>
  <c r="P60" i="52"/>
  <c r="P61" i="52"/>
  <c r="P62" i="52"/>
  <c r="P63" i="52"/>
  <c r="P64" i="52"/>
  <c r="P65" i="52"/>
  <c r="DG65" i="52" l="1" a="1"/>
  <c r="DG65" i="52" s="1"/>
  <c r="R54" i="52" a="1"/>
  <c r="R54" i="52" s="1"/>
  <c r="R26" i="52" a="1"/>
  <c r="R26" i="52" s="1"/>
  <c r="S26" i="52" s="1" a="1"/>
  <c r="S26" i="52" s="1"/>
  <c r="X59" i="52" a="1"/>
  <c r="X59" i="52" s="1"/>
  <c r="BK62" i="52" a="1"/>
  <c r="BK62" i="52" s="1"/>
  <c r="BL62" i="52" s="1" a="1"/>
  <c r="BL62" i="52" s="1"/>
  <c r="X19" i="52" a="1"/>
  <c r="X19" i="52" s="1"/>
  <c r="CG50" i="52" a="1"/>
  <c r="CG50" i="52" s="1"/>
  <c r="DG50" i="52" a="1"/>
  <c r="DG50" i="52" s="1"/>
  <c r="U55" i="52" a="1"/>
  <c r="U55" i="52" s="1"/>
  <c r="V55" i="52" s="1" a="1"/>
  <c r="V55" i="52" s="1"/>
  <c r="CG16" i="52" a="1"/>
  <c r="CG16" i="52" s="1"/>
  <c r="DH16" i="52" s="1" a="1"/>
  <c r="DH16" i="52" s="1"/>
  <c r="DG16" i="52" a="1"/>
  <c r="DG16" i="52" s="1"/>
  <c r="DG47" i="52" a="1"/>
  <c r="DG47" i="52" s="1"/>
  <c r="CO62" i="52" a="1"/>
  <c r="CO62" i="52" s="1"/>
  <c r="DP62" i="52" s="1" a="1"/>
  <c r="DP62" i="52" s="1"/>
  <c r="CJ48" i="52" a="1"/>
  <c r="CJ48" i="52" s="1"/>
  <c r="DK48" i="52" s="1" a="1"/>
  <c r="DK48" i="52" s="1"/>
  <c r="DJ48" i="52" a="1"/>
  <c r="DJ48" i="52" s="1"/>
  <c r="AS34" i="52" a="1"/>
  <c r="AS34" i="52" s="1"/>
  <c r="AT34" i="52" s="1" a="1"/>
  <c r="AT34" i="52" s="1"/>
  <c r="X65" i="52" a="1"/>
  <c r="X65" i="52" s="1"/>
  <c r="Y65" i="52" s="1" a="1"/>
  <c r="Y65" i="52" s="1"/>
  <c r="BV65" i="52" s="1" a="1"/>
  <c r="BV65" i="52" s="1"/>
  <c r="X41" i="52" a="1"/>
  <c r="X41" i="52" s="1"/>
  <c r="Y41" i="52" s="1" a="1"/>
  <c r="Y41" i="52" s="1"/>
  <c r="BV41" i="52" s="1" a="1"/>
  <c r="BV41" i="52" s="1"/>
  <c r="AA34" i="52" a="1"/>
  <c r="AA34" i="52" s="1"/>
  <c r="AB34" i="52" s="1" a="1"/>
  <c r="AB34" i="52" s="1"/>
  <c r="CM24" i="52" a="1"/>
  <c r="CM24" i="52" s="1"/>
  <c r="DN24" i="52" s="1" a="1"/>
  <c r="DN24" i="52" s="1"/>
  <c r="X57" i="52" a="1"/>
  <c r="X57" i="52" s="1"/>
  <c r="Y57" i="52" s="1" a="1"/>
  <c r="Y57" i="52" s="1"/>
  <c r="CJ47" i="52" a="1"/>
  <c r="CJ47" i="52" s="1"/>
  <c r="DK47" i="52" s="1" a="1"/>
  <c r="DK47" i="52" s="1"/>
  <c r="DJ47" i="52" a="1"/>
  <c r="DJ47" i="52" s="1"/>
  <c r="BK30" i="52" a="1"/>
  <c r="BK30" i="52" s="1"/>
  <c r="BL30" i="52" s="1" a="1"/>
  <c r="BL30" i="52" s="1"/>
  <c r="X54" i="52" a="1"/>
  <c r="X54" i="52" s="1"/>
  <c r="X39" i="52" a="1"/>
  <c r="X39" i="52" s="1"/>
  <c r="AT23" i="52" a="1"/>
  <c r="AT23" i="52" s="1"/>
  <c r="CG62" i="52" a="1"/>
  <c r="CG62" i="52" s="1"/>
  <c r="DH62" i="52" s="1" a="1"/>
  <c r="DH62" i="52" s="1"/>
  <c r="CO14" i="52" a="1"/>
  <c r="CO14" i="52" s="1"/>
  <c r="DP14" i="52" s="1" a="1"/>
  <c r="DP14" i="52" s="1"/>
  <c r="DM14" i="52" a="1"/>
  <c r="DM14" i="52" s="1"/>
  <c r="DM58" i="52" a="1"/>
  <c r="DM58" i="52" s="1"/>
  <c r="CJ50" i="52" a="1"/>
  <c r="CJ50" i="52" s="1"/>
  <c r="DK50" i="52" s="1" a="1"/>
  <c r="DK50" i="52" s="1"/>
  <c r="DJ50" i="52" a="1"/>
  <c r="DJ50" i="52" s="1"/>
  <c r="CO40" i="52" a="1"/>
  <c r="CO40" i="52" s="1"/>
  <c r="DP40" i="52" s="1" a="1"/>
  <c r="DP40" i="52" s="1"/>
  <c r="CY15" i="52" a="1"/>
  <c r="CY15" i="52" s="1"/>
  <c r="DZ15" i="52" s="1" a="1"/>
  <c r="DZ15" i="52" s="1"/>
  <c r="U13" i="52" a="1"/>
  <c r="U13" i="52" s="1"/>
  <c r="CM53" i="52" a="1"/>
  <c r="CM53" i="52" s="1"/>
  <c r="DN53" i="52" s="1" a="1"/>
  <c r="DN53" i="52" s="1"/>
  <c r="CM59" i="52" a="1"/>
  <c r="CM59" i="52" s="1"/>
  <c r="AA33" i="52" a="1"/>
  <c r="AA33" i="52" s="1"/>
  <c r="AB33" i="52" s="1" a="1"/>
  <c r="AB33" i="52" s="1"/>
  <c r="U14" i="52" a="1"/>
  <c r="U14" i="52" s="1"/>
  <c r="V14" i="52" s="1" a="1"/>
  <c r="V14" i="52" s="1"/>
  <c r="BD14" i="52" s="1" a="1"/>
  <c r="BD14" i="52" s="1"/>
  <c r="AS50" i="52" a="1"/>
  <c r="AS50" i="52" s="1"/>
  <c r="AT50" i="52" s="1" a="1"/>
  <c r="AT50" i="52" s="1"/>
  <c r="BK51" i="52" a="1"/>
  <c r="BK51" i="52" s="1"/>
  <c r="BK33" i="52" a="1"/>
  <c r="BK33" i="52" s="1"/>
  <c r="BL33" i="52" s="1" a="1"/>
  <c r="BL33" i="52" s="1"/>
  <c r="CO59" i="52" a="1"/>
  <c r="CO59" i="52" s="1"/>
  <c r="DP59" i="52" s="1" a="1"/>
  <c r="DP59" i="52" s="1"/>
  <c r="CU32" i="52" a="1"/>
  <c r="CU32" i="52" s="1"/>
  <c r="DV32" i="52" s="1" a="1"/>
  <c r="DV32" i="52" s="1"/>
  <c r="R62" i="52" a="1"/>
  <c r="R62" i="52" s="1"/>
  <c r="R48" i="52" a="1"/>
  <c r="R48" i="52" s="1"/>
  <c r="X36" i="52" a="1"/>
  <c r="X36" i="52" s="1"/>
  <c r="Y36" i="52" s="1" a="1"/>
  <c r="Y36" i="52" s="1"/>
  <c r="X18" i="52" a="1"/>
  <c r="X18" i="52" s="1"/>
  <c r="CG57" i="52" a="1"/>
  <c r="CG57" i="52" s="1"/>
  <c r="DH57" i="52" s="1" a="1"/>
  <c r="DH57" i="52" s="1"/>
  <c r="CO38" i="52" a="1"/>
  <c r="CO38" i="52" s="1"/>
  <c r="DP38" i="52" s="1" a="1"/>
  <c r="DP38" i="52" s="1"/>
  <c r="AA63" i="52" a="1"/>
  <c r="AA63" i="52" s="1"/>
  <c r="AB63" i="52" s="1" a="1"/>
  <c r="AB63" i="52" s="1"/>
  <c r="BK50" i="52" a="1"/>
  <c r="BK50" i="52" s="1"/>
  <c r="BL50" i="52" s="1" a="1"/>
  <c r="BL50" i="52" s="1"/>
  <c r="CJ43" i="52" a="1"/>
  <c r="CJ43" i="52" s="1"/>
  <c r="DK43" i="52" s="1" a="1"/>
  <c r="DK43" i="52" s="1"/>
  <c r="R25" i="52" a="1"/>
  <c r="R25" i="52" s="1"/>
  <c r="CO36" i="52" a="1"/>
  <c r="CO36" i="52" s="1"/>
  <c r="DP36" i="52" s="1" a="1"/>
  <c r="DP36" i="52" s="1"/>
  <c r="CJ24" i="52" a="1"/>
  <c r="CJ24" i="52" s="1"/>
  <c r="DK24" i="52" s="1" a="1"/>
  <c r="DK24" i="52" s="1"/>
  <c r="R40" i="52" a="1"/>
  <c r="R40" i="52" s="1"/>
  <c r="S40" i="52" s="1" a="1"/>
  <c r="S40" i="52" s="1"/>
  <c r="AL40" i="52" s="1" a="1"/>
  <c r="AL40" i="52" s="1"/>
  <c r="AM40" i="52" s="1" a="1"/>
  <c r="AM40" i="52" s="1"/>
  <c r="AN40" i="52" s="1" a="1"/>
  <c r="AN40" i="52" s="1"/>
  <c r="U61" i="52" a="1"/>
  <c r="U61" i="52" s="1"/>
  <c r="CG65" i="52" a="1"/>
  <c r="CG65" i="52" s="1"/>
  <c r="DH65" i="52" s="1" a="1"/>
  <c r="DH65" i="52" s="1"/>
  <c r="CM65" i="52" a="1"/>
  <c r="CM65" i="52" s="1"/>
  <c r="DN65" i="52" s="1" a="1"/>
  <c r="DN65" i="52" s="1"/>
  <c r="BK57" i="52" a="1"/>
  <c r="BK57" i="52" s="1"/>
  <c r="BL57" i="52" s="1" a="1"/>
  <c r="BL57" i="52" s="1"/>
  <c r="BK38" i="52" a="1"/>
  <c r="BK38" i="52" s="1"/>
  <c r="BL38" i="52" s="1" a="1"/>
  <c r="BL38" i="52" s="1"/>
  <c r="CO20" i="52" a="1"/>
  <c r="CO20" i="52" s="1"/>
  <c r="DP20" i="52" s="1" a="1"/>
  <c r="DP20" i="52" s="1"/>
  <c r="BK21" i="52" a="1"/>
  <c r="BK21" i="52" s="1"/>
  <c r="CM30" i="52" a="1"/>
  <c r="CM30" i="52" s="1"/>
  <c r="DN30" i="52" s="1" a="1"/>
  <c r="DN30" i="52" s="1"/>
  <c r="R28" i="52" a="1"/>
  <c r="R28" i="52" s="1"/>
  <c r="U39" i="52" a="1"/>
  <c r="U39" i="52" s="1"/>
  <c r="V39" i="52" s="1" a="1"/>
  <c r="V39" i="52" s="1"/>
  <c r="X30" i="52" a="1"/>
  <c r="X30" i="52" s="1"/>
  <c r="Y30" i="52" s="1" a="1"/>
  <c r="Y30" i="52" s="1"/>
  <c r="CU46" i="52" a="1"/>
  <c r="CU46" i="52" s="1"/>
  <c r="DV46" i="52" s="1" a="1"/>
  <c r="DV46" i="52" s="1"/>
  <c r="CN65" i="52" a="1"/>
  <c r="CN65" i="52" s="1"/>
  <c r="AS19" i="52" a="1"/>
  <c r="AS19" i="52" s="1"/>
  <c r="AT19" i="52" s="1" a="1"/>
  <c r="AT19" i="52" s="1"/>
  <c r="CU58" i="52" a="1"/>
  <c r="CU58" i="52" s="1"/>
  <c r="DV58" i="52" s="1" a="1"/>
  <c r="DV58" i="52" s="1"/>
  <c r="R47" i="52" a="1"/>
  <c r="R47" i="52" s="1"/>
  <c r="S47" i="52" s="1" a="1"/>
  <c r="S47" i="52" s="1"/>
  <c r="AL47" i="52" s="1" a="1"/>
  <c r="AL47" i="52" s="1"/>
  <c r="Y19" i="52" a="1"/>
  <c r="Y19" i="52" s="1"/>
  <c r="BL26" i="52" a="1"/>
  <c r="BL26" i="52" s="1"/>
  <c r="AA43" i="52" a="1"/>
  <c r="AA43" i="52" s="1"/>
  <c r="AB43" i="52" s="1" a="1"/>
  <c r="AB43" i="52" s="1"/>
  <c r="CO55" i="52" a="1"/>
  <c r="CO55" i="52" s="1"/>
  <c r="DP55" i="52" s="1" a="1"/>
  <c r="DP55" i="52" s="1"/>
  <c r="CO22" i="52" a="1"/>
  <c r="CO22" i="52" s="1"/>
  <c r="DP22" i="52" s="1" a="1"/>
  <c r="DP22" i="52" s="1"/>
  <c r="CJ34" i="52" a="1"/>
  <c r="CJ34" i="52" s="1"/>
  <c r="DK34" i="52" s="1" a="1"/>
  <c r="DK34" i="52" s="1"/>
  <c r="U43" i="52" a="1"/>
  <c r="U43" i="52" s="1"/>
  <c r="V43" i="52" s="1" a="1"/>
  <c r="V43" i="52" s="1"/>
  <c r="BD43" i="52" s="1" a="1"/>
  <c r="BD43" i="52" s="1"/>
  <c r="BE43" i="52" s="1" a="1"/>
  <c r="BE43" i="52" s="1"/>
  <c r="BF43" i="52" s="1" a="1"/>
  <c r="BF43" i="52" s="1"/>
  <c r="CG53" i="52" a="1"/>
  <c r="CG53" i="52" s="1"/>
  <c r="AA19" i="52" a="1"/>
  <c r="AA19" i="52" s="1"/>
  <c r="AB19" i="52" s="1" a="1"/>
  <c r="AB19" i="52" s="1"/>
  <c r="Y39" i="52" a="1"/>
  <c r="Y39" i="52" s="1"/>
  <c r="BV39" i="52" s="1" a="1"/>
  <c r="BV39" i="52" s="1"/>
  <c r="BW39" i="52" s="1" a="1"/>
  <c r="BW39" i="52" s="1"/>
  <c r="BX39" i="52" s="1" a="1"/>
  <c r="BX39" i="52" s="1"/>
  <c r="CU27" i="52" a="1"/>
  <c r="CU27" i="52" s="1"/>
  <c r="DV27" i="52" s="1" a="1"/>
  <c r="DV27" i="52" s="1"/>
  <c r="F74" i="52" a="1"/>
  <c r="F74" i="52" s="1"/>
  <c r="CO53" i="52" a="1"/>
  <c r="CO53" i="52" s="1"/>
  <c r="DP53" i="52" s="1" a="1"/>
  <c r="DP53" i="52" s="1"/>
  <c r="CU22" i="52" a="1"/>
  <c r="CU22" i="52" s="1"/>
  <c r="DV22" i="52" s="1" a="1"/>
  <c r="DV22" i="52" s="1"/>
  <c r="CJ25" i="52" a="1"/>
  <c r="CJ25" i="52" s="1"/>
  <c r="DK25" i="52" s="1" a="1"/>
  <c r="DK25" i="52" s="1"/>
  <c r="DA53" i="52" a="1"/>
  <c r="DA53" i="52" s="1"/>
  <c r="EB53" i="52" s="1" a="1"/>
  <c r="EB53" i="52" s="1"/>
  <c r="V61" i="52" a="1"/>
  <c r="V61" i="52" s="1"/>
  <c r="BD61" i="52" s="1" a="1"/>
  <c r="BD61" i="52" s="1"/>
  <c r="U26" i="52" a="1"/>
  <c r="U26" i="52" s="1"/>
  <c r="V26" i="52" s="1" a="1"/>
  <c r="V26" i="52" s="1"/>
  <c r="X60" i="52" a="1"/>
  <c r="X60" i="52" s="1"/>
  <c r="Y60" i="52" s="1" a="1"/>
  <c r="Y60" i="52" s="1"/>
  <c r="BV60" i="52" s="1" a="1"/>
  <c r="BV60" i="52" s="1"/>
  <c r="X22" i="52" a="1"/>
  <c r="X22" i="52" s="1"/>
  <c r="Y22" i="52" s="1" a="1"/>
  <c r="Y22" i="52" s="1"/>
  <c r="BV22" i="52" s="1" a="1"/>
  <c r="BV22" i="52" s="1"/>
  <c r="CU65" i="52" a="1"/>
  <c r="CU65" i="52" s="1"/>
  <c r="DV65" i="52" s="1" a="1"/>
  <c r="DV65" i="52" s="1"/>
  <c r="AA55" i="52" a="1"/>
  <c r="AA55" i="52" s="1"/>
  <c r="AB55" i="52" s="1" a="1"/>
  <c r="AB55" i="52" s="1"/>
  <c r="X33" i="52" a="1"/>
  <c r="X33" i="52" s="1"/>
  <c r="Y33" i="52" s="1" a="1"/>
  <c r="Y33" i="52" s="1"/>
  <c r="BV33" i="52" s="1" a="1"/>
  <c r="BV33" i="52" s="1"/>
  <c r="BW33" i="52" s="1" a="1"/>
  <c r="BW33" i="52" s="1"/>
  <c r="BX33" i="52" s="1" a="1"/>
  <c r="BX33" i="52" s="1"/>
  <c r="S30" i="52" a="1"/>
  <c r="S30" i="52" s="1"/>
  <c r="AL30" i="52" s="1" a="1"/>
  <c r="AL30" i="52" s="1"/>
  <c r="AM30" i="52" s="1" a="1"/>
  <c r="AM30" i="52" s="1"/>
  <c r="AN30" i="52" s="1" a="1"/>
  <c r="AN30" i="52" s="1"/>
  <c r="AA40" i="52" a="1"/>
  <c r="AA40" i="52" s="1"/>
  <c r="BK44" i="52" a="1"/>
  <c r="BK44" i="52" s="1"/>
  <c r="BL44" i="52" s="1" a="1"/>
  <c r="BL44" i="52" s="1"/>
  <c r="CU15" i="52" a="1"/>
  <c r="CU15" i="52" s="1"/>
  <c r="DV15" i="52" s="1" a="1"/>
  <c r="DV15" i="52" s="1"/>
  <c r="U37" i="52" a="1"/>
  <c r="U37" i="52" s="1"/>
  <c r="V37" i="52" s="1" a="1"/>
  <c r="V37" i="52" s="1"/>
  <c r="BD37" i="52" s="1" a="1"/>
  <c r="BD37" i="52" s="1"/>
  <c r="AA37" i="52" a="1"/>
  <c r="AA37" i="52" s="1"/>
  <c r="AB27" i="52" a="1"/>
  <c r="AB27" i="52" s="1"/>
  <c r="CO35" i="52" a="1"/>
  <c r="CO35" i="52" s="1"/>
  <c r="DP35" i="52" s="1" a="1"/>
  <c r="DP35" i="52" s="1"/>
  <c r="BK39" i="52" a="1"/>
  <c r="BK39" i="52" s="1"/>
  <c r="BL39" i="52" s="1" a="1"/>
  <c r="BL39" i="52" s="1"/>
  <c r="CO56" i="52" a="1"/>
  <c r="CO56" i="52" s="1"/>
  <c r="DP56" i="52" s="1" a="1"/>
  <c r="DP56" i="52" s="1"/>
  <c r="AA20" i="52" a="1"/>
  <c r="AA20" i="52" s="1"/>
  <c r="AB20" i="52" s="1" a="1"/>
  <c r="AB20" i="52" s="1"/>
  <c r="CO49" i="52" a="1"/>
  <c r="CO49" i="52" s="1"/>
  <c r="DP49" i="52" s="1" a="1"/>
  <c r="DP49" i="52" s="1"/>
  <c r="CO15" i="52" a="1"/>
  <c r="CO15" i="52" s="1"/>
  <c r="DP15" i="52" s="1" a="1"/>
  <c r="DP15" i="52" s="1"/>
  <c r="CJ23" i="52" a="1"/>
  <c r="CJ23" i="52" s="1"/>
  <c r="DK23" i="52" s="1" a="1"/>
  <c r="DK23" i="52" s="1"/>
  <c r="CG23" i="52" a="1"/>
  <c r="CG23" i="52" s="1"/>
  <c r="DH23" i="52" s="1" a="1"/>
  <c r="DH23" i="52" s="1"/>
  <c r="R18" i="52" a="1"/>
  <c r="R18" i="52" s="1"/>
  <c r="S18" i="52" s="1" a="1"/>
  <c r="S18" i="52" s="1"/>
  <c r="AL18" i="52" s="1" a="1"/>
  <c r="AL18" i="52" s="1"/>
  <c r="X13" i="52" a="1"/>
  <c r="X13" i="52" s="1"/>
  <c r="Y13" i="52" s="1" a="1"/>
  <c r="Y13" i="52" s="1"/>
  <c r="BV13" i="52" s="1" a="1"/>
  <c r="BV13" i="52" s="1"/>
  <c r="CO32" i="52" a="1"/>
  <c r="CO32" i="52" s="1"/>
  <c r="DP32" i="52" s="1" a="1"/>
  <c r="DP32" i="52" s="1"/>
  <c r="CO46" i="52" a="1"/>
  <c r="CO46" i="52" s="1"/>
  <c r="DP46" i="52" s="1" a="1"/>
  <c r="DP46" i="52" s="1"/>
  <c r="CJ64" i="52" a="1"/>
  <c r="CJ64" i="52" s="1"/>
  <c r="CJ15" i="52" a="1"/>
  <c r="CJ15" i="52" s="1"/>
  <c r="DK15" i="52" s="1" a="1"/>
  <c r="DK15" i="52" s="1"/>
  <c r="CM49" i="52" a="1"/>
  <c r="CM49" i="52" s="1"/>
  <c r="DN49" i="52" s="1" a="1"/>
  <c r="DN49" i="52" s="1"/>
  <c r="R27" i="52" a="1"/>
  <c r="R27" i="52" s="1"/>
  <c r="S27" i="52" s="1" a="1"/>
  <c r="S27" i="52" s="1"/>
  <c r="AL27" i="52" s="1" a="1"/>
  <c r="AL27" i="52" s="1"/>
  <c r="AM27" i="52" s="1" a="1"/>
  <c r="AM27" i="52" s="1"/>
  <c r="AN27" i="52" s="1" a="1"/>
  <c r="AN27" i="52" s="1"/>
  <c r="U46" i="52" a="1"/>
  <c r="U46" i="52" s="1"/>
  <c r="AC46" i="52" s="1" a="1"/>
  <c r="AC46" i="52" s="1"/>
  <c r="AI47" i="52" s="1" a="1"/>
  <c r="AI47" i="52" s="1"/>
  <c r="CU45" i="52" a="1"/>
  <c r="CU45" i="52" s="1"/>
  <c r="DV45" i="52" s="1" a="1"/>
  <c r="DV45" i="52" s="1"/>
  <c r="CG35" i="52" a="1"/>
  <c r="CG35" i="52" s="1"/>
  <c r="DH35" i="52" s="1" a="1"/>
  <c r="DH35" i="52" s="1"/>
  <c r="V42" i="52" a="1"/>
  <c r="V42" i="52" s="1"/>
  <c r="BL21" i="52" a="1"/>
  <c r="BL21" i="52" s="1"/>
  <c r="AS18" i="52" a="1"/>
  <c r="AS18" i="52" s="1"/>
  <c r="AT18" i="52" s="1" a="1"/>
  <c r="AT18" i="52" s="1"/>
  <c r="AS54" i="52" a="1"/>
  <c r="AS54" i="52" s="1"/>
  <c r="AT54" i="52" s="1" a="1"/>
  <c r="AT54" i="52" s="1"/>
  <c r="AA31" i="52" a="1"/>
  <c r="AA31" i="52" s="1"/>
  <c r="AB31" i="52" s="1" a="1"/>
  <c r="AB31" i="52" s="1"/>
  <c r="CO41" i="52" a="1"/>
  <c r="CO41" i="52" s="1"/>
  <c r="DP41" i="52" s="1" a="1"/>
  <c r="DP41" i="52" s="1"/>
  <c r="CU63" i="52" a="1"/>
  <c r="CU63" i="52" s="1"/>
  <c r="DV63" i="52" s="1" a="1"/>
  <c r="DV63" i="52" s="1"/>
  <c r="CK60" i="52" a="1"/>
  <c r="CK60" i="52" s="1"/>
  <c r="DL60" i="52" s="1" a="1"/>
  <c r="DL60" i="52" s="1"/>
  <c r="CM48" i="52" a="1"/>
  <c r="CM48" i="52" s="1"/>
  <c r="DN48" i="52" s="1" a="1"/>
  <c r="DN48" i="52" s="1"/>
  <c r="CM33" i="52" a="1"/>
  <c r="CM33" i="52" s="1"/>
  <c r="DN33" i="52" s="1" a="1"/>
  <c r="DN33" i="52" s="1"/>
  <c r="R42" i="52" a="1"/>
  <c r="R42" i="52" s="1"/>
  <c r="S42" i="52" s="1" a="1"/>
  <c r="S42" i="52" s="1"/>
  <c r="AL42" i="52" s="1" a="1"/>
  <c r="AL42" i="52" s="1"/>
  <c r="CO45" i="52" a="1"/>
  <c r="CO45" i="52" s="1"/>
  <c r="DP45" i="52" s="1" a="1"/>
  <c r="DP45" i="52" s="1"/>
  <c r="CK50" i="52" a="1"/>
  <c r="CK50" i="52" s="1"/>
  <c r="DL50" i="52" s="1" a="1"/>
  <c r="DL50" i="52" s="1"/>
  <c r="S62" i="52" a="1"/>
  <c r="S62" i="52" s="1"/>
  <c r="AL62" i="52" s="1" a="1"/>
  <c r="AL62" i="52" s="1"/>
  <c r="CO21" i="52" a="1"/>
  <c r="CO21" i="52" s="1"/>
  <c r="DP21" i="52" s="1" a="1"/>
  <c r="DP21" i="52" s="1"/>
  <c r="U49" i="52" a="1"/>
  <c r="U49" i="52" s="1"/>
  <c r="V49" i="52" s="1" a="1"/>
  <c r="V49" i="52" s="1"/>
  <c r="CO30" i="52" a="1"/>
  <c r="CO30" i="52" s="1"/>
  <c r="DP30" i="52" s="1" a="1"/>
  <c r="DP30" i="52" s="1"/>
  <c r="CM50" i="52" a="1"/>
  <c r="CM50" i="52" s="1"/>
  <c r="DN50" i="52" s="1" a="1"/>
  <c r="DN50" i="52" s="1"/>
  <c r="CO50" i="52" a="1"/>
  <c r="CO50" i="52" s="1"/>
  <c r="DP50" i="52" s="1" a="1"/>
  <c r="DP50" i="52" s="1"/>
  <c r="BK47" i="52" a="1"/>
  <c r="BK47" i="52" s="1"/>
  <c r="BL47" i="52" s="1" a="1"/>
  <c r="BL47" i="52" s="1"/>
  <c r="CU40" i="52" a="1"/>
  <c r="CU40" i="52" s="1"/>
  <c r="DV40" i="52" s="1" a="1"/>
  <c r="DV40" i="52" s="1"/>
  <c r="S54" i="52" a="1"/>
  <c r="S54" i="52" s="1"/>
  <c r="AL54" i="52" s="1" a="1"/>
  <c r="AL54" i="52" s="1"/>
  <c r="AM54" i="52" s="1" a="1"/>
  <c r="AM54" i="52" s="1"/>
  <c r="AN54" i="52" s="1" a="1"/>
  <c r="AN54" i="52" s="1"/>
  <c r="U19" i="52" a="1"/>
  <c r="U19" i="52" s="1"/>
  <c r="V19" i="52" s="1" a="1"/>
  <c r="V19" i="52" s="1"/>
  <c r="BD19" i="52" s="1" a="1"/>
  <c r="BD19" i="52" s="1"/>
  <c r="BE19" i="52" s="1" a="1"/>
  <c r="BE19" i="52" s="1"/>
  <c r="BF19" i="52" s="1" a="1"/>
  <c r="BF19" i="52" s="1"/>
  <c r="AS30" i="52" a="1"/>
  <c r="AS30" i="52" s="1"/>
  <c r="AT30" i="52" s="1" a="1"/>
  <c r="AT30" i="52" s="1"/>
  <c r="CU28" i="52" a="1"/>
  <c r="CU28" i="52" s="1"/>
  <c r="DV28" i="52" s="1" a="1"/>
  <c r="DV28" i="52" s="1"/>
  <c r="BM13" i="52" a="1"/>
  <c r="BM13" i="52" s="1"/>
  <c r="BN13" i="52" s="1" a="1"/>
  <c r="BN13" i="52" s="1"/>
  <c r="BO13" i="52" s="1" a="1"/>
  <c r="BO13" i="52" s="1"/>
  <c r="BY13" i="52" s="1" a="1"/>
  <c r="BY13" i="52" s="1"/>
  <c r="BZ13" i="52" s="1" a="1"/>
  <c r="BZ13" i="52" s="1"/>
  <c r="CA13" i="52" s="1" a="1"/>
  <c r="CA13" i="52" s="1"/>
  <c r="S13" i="52" a="1"/>
  <c r="S13" i="52" s="1"/>
  <c r="AL13" i="52" s="1" a="1"/>
  <c r="AL13" i="52" s="1"/>
  <c r="AM13" i="52" s="1" a="1"/>
  <c r="AM13" i="52" s="1"/>
  <c r="AN13" i="52" s="1" a="1"/>
  <c r="AN13" i="52" s="1"/>
  <c r="CK47" i="52" a="1"/>
  <c r="CK47" i="52" s="1"/>
  <c r="DL47" i="52" s="1" a="1"/>
  <c r="DL47" i="52" s="1"/>
  <c r="CU55" i="52" a="1"/>
  <c r="CU55" i="52" s="1"/>
  <c r="DV55" i="52" s="1" a="1"/>
  <c r="DV55" i="52" s="1"/>
  <c r="CO24" i="52" a="1"/>
  <c r="CO24" i="52" s="1"/>
  <c r="DP24" i="52" s="1" a="1"/>
  <c r="DP24" i="52" s="1"/>
  <c r="CM61" i="52" a="1"/>
  <c r="CM61" i="52" s="1"/>
  <c r="DN61" i="52" s="1" a="1"/>
  <c r="DN61" i="52" s="1"/>
  <c r="CM58" i="52" a="1"/>
  <c r="CM58" i="52" s="1"/>
  <c r="DN58" i="52" s="1" a="1"/>
  <c r="DN58" i="52" s="1"/>
  <c r="CO61" i="52" a="1"/>
  <c r="CO61" i="52" s="1"/>
  <c r="DP61" i="52" s="1" a="1"/>
  <c r="DP61" i="52" s="1"/>
  <c r="CU26" i="52" a="1"/>
  <c r="CU26" i="52" s="1"/>
  <c r="DV26" i="52" s="1" a="1"/>
  <c r="DV26" i="52" s="1"/>
  <c r="BK28" i="52" a="1"/>
  <c r="BK28" i="52" s="1"/>
  <c r="BL28" i="52" s="1" a="1"/>
  <c r="BL28" i="52" s="1"/>
  <c r="BK29" i="52" a="1"/>
  <c r="BK29" i="52" s="1"/>
  <c r="BL29" i="52" s="1" a="1"/>
  <c r="BL29" i="52" s="1"/>
  <c r="CG17" i="52" a="1"/>
  <c r="CG17" i="52" s="1"/>
  <c r="DH17" i="52" s="1" a="1"/>
  <c r="DH17" i="52" s="1"/>
  <c r="CU13" i="52" a="1"/>
  <c r="CU13" i="52" s="1"/>
  <c r="DV13" i="52" s="1" a="1"/>
  <c r="DV13" i="52" s="1"/>
  <c r="CJ13" i="52" a="1"/>
  <c r="CJ13" i="52" s="1"/>
  <c r="DK13" i="52" s="1" a="1"/>
  <c r="DK13" i="52" s="1"/>
  <c r="CM42" i="52" a="1"/>
  <c r="CM42" i="52" s="1"/>
  <c r="DN42" i="52" s="1" a="1"/>
  <c r="DN42" i="52" s="1"/>
  <c r="CO42" i="52" a="1"/>
  <c r="CO42" i="52" s="1"/>
  <c r="DP42" i="52" s="1" a="1"/>
  <c r="DP42" i="52" s="1"/>
  <c r="CG63" i="52" a="1"/>
  <c r="CG63" i="52" s="1"/>
  <c r="CM16" i="52" a="1"/>
  <c r="CM16" i="52" s="1"/>
  <c r="DN16" i="52" s="1" a="1"/>
  <c r="DN16" i="52" s="1"/>
  <c r="CO16" i="52" a="1"/>
  <c r="CO16" i="52" s="1"/>
  <c r="DP16" i="52" s="1" a="1"/>
  <c r="DP16" i="52" s="1"/>
  <c r="CU16" i="52" a="1"/>
  <c r="CU16" i="52" s="1"/>
  <c r="DV16" i="52" s="1" a="1"/>
  <c r="DV16" i="52" s="1"/>
  <c r="BK20" i="52" a="1"/>
  <c r="BK20" i="52" s="1"/>
  <c r="BL20" i="52" s="1" a="1"/>
  <c r="BL20" i="52" s="1"/>
  <c r="CG51" i="52" a="1"/>
  <c r="CG51" i="52" s="1"/>
  <c r="DH51" i="52" s="1" a="1"/>
  <c r="DH51" i="52" s="1"/>
  <c r="AB37" i="52" a="1"/>
  <c r="AB37" i="52" s="1"/>
  <c r="S25" i="52" a="1"/>
  <c r="S25" i="52" s="1"/>
  <c r="AL25" i="52" s="1" a="1"/>
  <c r="AL25" i="52" s="1"/>
  <c r="CY53" i="52" a="1"/>
  <c r="CY53" i="52" s="1"/>
  <c r="DZ53" i="52" s="1" a="1"/>
  <c r="DZ53" i="52" s="1"/>
  <c r="CX54" i="52" a="1"/>
  <c r="CX54" i="52" s="1"/>
  <c r="DY54" i="52" s="1" a="1"/>
  <c r="DY54" i="52" s="1"/>
  <c r="CM19" i="52" a="1"/>
  <c r="CM19" i="52" s="1"/>
  <c r="DN19" i="52" s="1" a="1"/>
  <c r="DN19" i="52" s="1"/>
  <c r="CO19" i="52" a="1"/>
  <c r="CO19" i="52" s="1"/>
  <c r="DP19" i="52" s="1" a="1"/>
  <c r="DP19" i="52" s="1"/>
  <c r="CM25" i="52" a="1"/>
  <c r="CM25" i="52" s="1"/>
  <c r="DN25" i="52" s="1" a="1"/>
  <c r="DN25" i="52" s="1"/>
  <c r="CO27" i="52" a="1"/>
  <c r="CO27" i="52" s="1"/>
  <c r="DP27" i="52" s="1" a="1"/>
  <c r="DP27" i="52" s="1"/>
  <c r="CU50" i="52" a="1"/>
  <c r="CU50" i="52" s="1"/>
  <c r="DV50" i="52" s="1" a="1"/>
  <c r="DV50" i="52" s="1"/>
  <c r="BK52" i="52" a="1"/>
  <c r="BK52" i="52" s="1"/>
  <c r="BL52" i="52" s="1" a="1"/>
  <c r="BL52" i="52" s="1"/>
  <c r="BK53" i="52" a="1"/>
  <c r="BK53" i="52" s="1"/>
  <c r="BL53" i="52" s="1" a="1"/>
  <c r="BL53" i="52" s="1"/>
  <c r="BD39" i="52" a="1"/>
  <c r="BD39" i="52" s="1"/>
  <c r="BL51" i="52" a="1"/>
  <c r="BL51" i="52" s="1"/>
  <c r="X21" i="52" a="1"/>
  <c r="X21" i="52" s="1"/>
  <c r="Y21" i="52" s="1" a="1"/>
  <c r="Y21" i="52" s="1"/>
  <c r="BV21" i="52" s="1" a="1"/>
  <c r="BV21" i="52" s="1"/>
  <c r="BW21" i="52" s="1" a="1"/>
  <c r="BW21" i="52" s="1"/>
  <c r="BX21" i="52" s="1" a="1"/>
  <c r="BX21" i="52" s="1"/>
  <c r="AU39" i="52" a="1"/>
  <c r="AU39" i="52" s="1"/>
  <c r="BA40" i="52" s="1" a="1"/>
  <c r="BA40" i="52" s="1"/>
  <c r="BB40" i="52" s="1" a="1"/>
  <c r="BB40" i="52" s="1"/>
  <c r="BC40" i="52" s="1" a="1"/>
  <c r="BC40" i="52" s="1"/>
  <c r="R45" i="52" a="1"/>
  <c r="R45" i="52" s="1"/>
  <c r="S45" i="52" s="1" a="1"/>
  <c r="S45" i="52" s="1"/>
  <c r="AL45" i="52" s="1" a="1"/>
  <c r="AL45" i="52" s="1"/>
  <c r="R12" i="52" a="1"/>
  <c r="R12" i="52" s="1"/>
  <c r="X20" i="52" a="1"/>
  <c r="X20" i="52" s="1"/>
  <c r="Y20" i="52" s="1" a="1"/>
  <c r="Y20" i="52" s="1"/>
  <c r="BV20" i="52" s="1" a="1"/>
  <c r="BV20" i="52" s="1"/>
  <c r="BW20" i="52" s="1" a="1"/>
  <c r="BW20" i="52" s="1"/>
  <c r="BX20" i="52" s="1" a="1"/>
  <c r="BX20" i="52" s="1"/>
  <c r="CM57" i="52" a="1"/>
  <c r="CM57" i="52" s="1"/>
  <c r="DN57" i="52" s="1" a="1"/>
  <c r="DN57" i="52" s="1"/>
  <c r="AS31" i="52" a="1"/>
  <c r="AS31" i="52" s="1"/>
  <c r="AT31" i="52" s="1" a="1"/>
  <c r="AT31" i="52" s="1"/>
  <c r="BV19" i="52" a="1"/>
  <c r="BV19" i="52" s="1"/>
  <c r="CG13" i="52" a="1"/>
  <c r="CG13" i="52" s="1"/>
  <c r="DH13" i="52" s="1" a="1"/>
  <c r="DH13" i="52" s="1"/>
  <c r="AS43" i="52" a="1"/>
  <c r="AS43" i="52" s="1"/>
  <c r="AT43" i="52" s="1" a="1"/>
  <c r="AT43" i="52" s="1"/>
  <c r="BV57" i="52" a="1"/>
  <c r="BV57" i="52" s="1"/>
  <c r="BW57" i="52" s="1" a="1"/>
  <c r="BW57" i="52" s="1"/>
  <c r="BX57" i="52" s="1" a="1"/>
  <c r="BX57" i="52" s="1"/>
  <c r="CO31" i="52" a="1"/>
  <c r="CO31" i="52" s="1"/>
  <c r="DP31" i="52" s="1" a="1"/>
  <c r="DP31" i="52" s="1"/>
  <c r="CO18" i="52" a="1"/>
  <c r="CO18" i="52" s="1"/>
  <c r="DP18" i="52" s="1" a="1"/>
  <c r="DP18" i="52" s="1"/>
  <c r="CK49" i="52" a="1"/>
  <c r="CK49" i="52" s="1"/>
  <c r="DL49" i="52" s="1" a="1"/>
  <c r="DL49" i="52" s="1"/>
  <c r="R53" i="52" a="1"/>
  <c r="R53" i="52" s="1"/>
  <c r="S53" i="52" s="1" a="1"/>
  <c r="S53" i="52" s="1"/>
  <c r="AL53" i="52" s="1" a="1"/>
  <c r="AL53" i="52" s="1"/>
  <c r="R31" i="52" a="1"/>
  <c r="R31" i="52" s="1"/>
  <c r="S31" i="52" s="1" a="1"/>
  <c r="S31" i="52" s="1"/>
  <c r="AL31" i="52" s="1" a="1"/>
  <c r="AL31" i="52" s="1"/>
  <c r="AM31" i="52" s="1" a="1"/>
  <c r="AM31" i="52" s="1"/>
  <c r="AN31" i="52" s="1" a="1"/>
  <c r="AN31" i="52" s="1"/>
  <c r="U60" i="52" a="1"/>
  <c r="U60" i="52" s="1"/>
  <c r="V60" i="52" s="1" a="1"/>
  <c r="V60" i="52" s="1"/>
  <c r="BD60" i="52" s="1" a="1"/>
  <c r="BD60" i="52" s="1"/>
  <c r="U41" i="52" a="1"/>
  <c r="U41" i="52" s="1"/>
  <c r="V41" i="52" s="1" a="1"/>
  <c r="V41" i="52" s="1"/>
  <c r="BD41" i="52" s="1" a="1"/>
  <c r="BD41" i="52" s="1"/>
  <c r="Y59" i="52" a="1"/>
  <c r="Y59" i="52" s="1"/>
  <c r="BV59" i="52" s="1" a="1"/>
  <c r="BV59" i="52" s="1"/>
  <c r="BW59" i="52" s="1" a="1"/>
  <c r="BW59" i="52" s="1"/>
  <c r="CJ59" i="52" a="1"/>
  <c r="CJ59" i="52" s="1"/>
  <c r="DK59" i="52" s="1" a="1"/>
  <c r="DK59" i="52" s="1"/>
  <c r="CO65" i="52" a="1"/>
  <c r="CO65" i="52" s="1"/>
  <c r="DP65" i="52" s="1" a="1"/>
  <c r="DP65" i="52" s="1"/>
  <c r="CM54" i="52" a="1"/>
  <c r="CM54" i="52" s="1"/>
  <c r="DN54" i="52" s="1" a="1"/>
  <c r="DN54" i="52" s="1"/>
  <c r="AU14" i="52" a="1"/>
  <c r="AU14" i="52" s="1"/>
  <c r="AL26" i="52" a="1"/>
  <c r="AL26" i="52" s="1"/>
  <c r="BK24" i="52" a="1"/>
  <c r="BK24" i="52" s="1"/>
  <c r="BL24" i="52" s="1" a="1"/>
  <c r="BL24" i="52" s="1"/>
  <c r="CO48" i="52" a="1"/>
  <c r="CO48" i="52" s="1"/>
  <c r="DP48" i="52" s="1" a="1"/>
  <c r="DP48" i="52" s="1"/>
  <c r="CH65" i="52" a="1"/>
  <c r="CH65" i="52" s="1"/>
  <c r="R61" i="52" a="1"/>
  <c r="R61" i="52" s="1"/>
  <c r="S61" i="52" s="1" a="1"/>
  <c r="S61" i="52" s="1"/>
  <c r="AL61" i="52" s="1" a="1"/>
  <c r="AL61" i="52" s="1"/>
  <c r="AM61" i="52" s="1" a="1"/>
  <c r="AM61" i="52" s="1"/>
  <c r="AN61" i="52" s="1" a="1"/>
  <c r="AN61" i="52" s="1"/>
  <c r="U28" i="52" a="1"/>
  <c r="U28" i="52" s="1"/>
  <c r="X46" i="52" a="1"/>
  <c r="X46" i="52" s="1"/>
  <c r="Y46" i="52" s="1" a="1"/>
  <c r="Y46" i="52" s="1"/>
  <c r="BV46" i="52" s="1" a="1"/>
  <c r="BV46" i="52" s="1"/>
  <c r="CH53" i="52" a="1"/>
  <c r="CH53" i="52" s="1"/>
  <c r="DI53" i="52" s="1" a="1"/>
  <c r="DI53" i="52" s="1"/>
  <c r="CT60" i="52" a="1"/>
  <c r="CT60" i="52" s="1"/>
  <c r="DU60" i="52" s="1" a="1"/>
  <c r="DU60" i="52" s="1"/>
  <c r="R32" i="52" a="1"/>
  <c r="R32" i="52" s="1"/>
  <c r="S32" i="52" s="1" a="1"/>
  <c r="S32" i="52" s="1"/>
  <c r="AL32" i="52" s="1" a="1"/>
  <c r="AL32" i="52" s="1"/>
  <c r="AM32" i="52" s="1" a="1"/>
  <c r="AM32" i="52" s="1"/>
  <c r="AN32" i="52" s="1" a="1"/>
  <c r="AN32" i="52" s="1"/>
  <c r="CX14" i="52" a="1"/>
  <c r="CX14" i="52" s="1"/>
  <c r="DY14" i="52" s="1" a="1"/>
  <c r="DY14" i="52" s="1"/>
  <c r="U48" i="52" a="1"/>
  <c r="U48" i="52" s="1"/>
  <c r="V48" i="52" s="1" a="1"/>
  <c r="V48" i="52" s="1"/>
  <c r="BD48" i="52" s="1" a="1"/>
  <c r="BD48" i="52" s="1"/>
  <c r="AB40" i="52" a="1"/>
  <c r="AB40" i="52" s="1"/>
  <c r="BK23" i="52" a="1"/>
  <c r="BK23" i="52" s="1"/>
  <c r="BL23" i="52" s="1" a="1"/>
  <c r="BL23" i="52" s="1"/>
  <c r="BL27" i="52" a="1"/>
  <c r="BL27" i="52" s="1"/>
  <c r="BD55" i="52" a="1"/>
  <c r="BD55" i="52" s="1"/>
  <c r="AA32" i="52" a="1"/>
  <c r="AA32" i="52" s="1"/>
  <c r="AB32" i="52" s="1" a="1"/>
  <c r="AB32" i="52" s="1"/>
  <c r="CU47" i="52" a="1"/>
  <c r="CU47" i="52" s="1"/>
  <c r="DV47" i="52" s="1" a="1"/>
  <c r="DV47" i="52" s="1"/>
  <c r="U23" i="52" a="1"/>
  <c r="U23" i="52" s="1"/>
  <c r="V23" i="52" s="1" a="1"/>
  <c r="V23" i="52" s="1"/>
  <c r="BD23" i="52" s="1" a="1"/>
  <c r="BD23" i="52" s="1"/>
  <c r="BE23" i="52" s="1" a="1"/>
  <c r="BE23" i="52" s="1"/>
  <c r="BF23" i="52" s="1" a="1"/>
  <c r="BF23" i="52" s="1"/>
  <c r="X25" i="52" a="1"/>
  <c r="X25" i="52" s="1"/>
  <c r="Y25" i="52" s="1" a="1"/>
  <c r="Y25" i="52" s="1"/>
  <c r="BV25" i="52" s="1" a="1"/>
  <c r="BV25" i="52" s="1"/>
  <c r="CM55" i="52" a="1"/>
  <c r="CM55" i="52" s="1"/>
  <c r="DN55" i="52" s="1" a="1"/>
  <c r="DN55" i="52" s="1"/>
  <c r="AS35" i="52" a="1"/>
  <c r="AS35" i="52" s="1"/>
  <c r="AT35" i="52" s="1" a="1"/>
  <c r="AT35" i="52" s="1"/>
  <c r="R60" i="52" a="1"/>
  <c r="R60" i="52" s="1"/>
  <c r="S60" i="52" s="1" a="1"/>
  <c r="S60" i="52" s="1"/>
  <c r="AL60" i="52" s="1" a="1"/>
  <c r="AL60" i="52" s="1"/>
  <c r="U54" i="52" a="1"/>
  <c r="U54" i="52" s="1"/>
  <c r="V54" i="52" s="1" a="1"/>
  <c r="V54" i="52" s="1"/>
  <c r="BD54" i="52" s="1" a="1"/>
  <c r="BD54" i="52" s="1"/>
  <c r="BE54" i="52" s="1" a="1"/>
  <c r="BE54" i="52" s="1"/>
  <c r="BF54" i="52" s="1" a="1"/>
  <c r="BF54" i="52" s="1"/>
  <c r="U32" i="52" a="1"/>
  <c r="U32" i="52" s="1"/>
  <c r="X24" i="52" a="1"/>
  <c r="X24" i="52" s="1"/>
  <c r="Y24" i="52" s="1" a="1"/>
  <c r="Y24" i="52" s="1"/>
  <c r="BV24" i="52" s="1" a="1"/>
  <c r="BV24" i="52" s="1"/>
  <c r="BW24" i="52" s="1" a="1"/>
  <c r="BW24" i="52" s="1"/>
  <c r="BX24" i="52" s="1" a="1"/>
  <c r="BX24" i="52" s="1"/>
  <c r="CM64" i="52" a="1"/>
  <c r="CM64" i="52" s="1"/>
  <c r="DN64" i="52" s="1" a="1"/>
  <c r="DN64" i="52" s="1"/>
  <c r="CO60" i="52" a="1"/>
  <c r="CO60" i="52" s="1"/>
  <c r="DP60" i="52" s="1" a="1"/>
  <c r="DP60" i="52" s="1"/>
  <c r="AA54" i="52" a="1"/>
  <c r="AA54" i="52" s="1"/>
  <c r="AB54" i="52" s="1" a="1"/>
  <c r="AB54" i="52" s="1"/>
  <c r="CM29" i="52" a="1"/>
  <c r="CM29" i="52" s="1"/>
  <c r="DN29" i="52" s="1" a="1"/>
  <c r="DN29" i="52" s="1"/>
  <c r="S48" i="52" a="1"/>
  <c r="S48" i="52" s="1"/>
  <c r="AL48" i="52" s="1" a="1"/>
  <c r="AL48" i="52" s="1"/>
  <c r="U53" i="52" a="1"/>
  <c r="U53" i="52" s="1"/>
  <c r="V53" i="52" s="1" a="1"/>
  <c r="V53" i="52" s="1"/>
  <c r="BD53" i="52" s="1" a="1"/>
  <c r="BD53" i="52" s="1"/>
  <c r="U45" i="52" a="1"/>
  <c r="U45" i="52" s="1"/>
  <c r="V45" i="52" s="1" a="1"/>
  <c r="V45" i="52" s="1"/>
  <c r="BD45" i="52" s="1" a="1"/>
  <c r="BD45" i="52" s="1"/>
  <c r="BE45" i="52" s="1" a="1"/>
  <c r="BE45" i="52" s="1"/>
  <c r="BF45" i="52" s="1" a="1"/>
  <c r="BF45" i="52" s="1"/>
  <c r="X64" i="52" a="1"/>
  <c r="X64" i="52" s="1"/>
  <c r="Y64" i="52" s="1" a="1"/>
  <c r="Y64" i="52" s="1"/>
  <c r="BV64" i="52" s="1" a="1"/>
  <c r="BV64" i="52" s="1"/>
  <c r="CU17" i="52" a="1"/>
  <c r="CU17" i="52" s="1"/>
  <c r="DV17" i="52" s="1" a="1"/>
  <c r="DV17" i="52" s="1"/>
  <c r="CJ63" i="52" a="1"/>
  <c r="CJ63" i="52" s="1"/>
  <c r="DK63" i="52" s="1" a="1"/>
  <c r="DK63" i="52" s="1"/>
  <c r="CK48" i="52" a="1"/>
  <c r="CK48" i="52" s="1"/>
  <c r="DL48" i="52" s="1" a="1"/>
  <c r="DL48" i="52" s="1"/>
  <c r="CG34" i="52" a="1"/>
  <c r="CG34" i="52" s="1"/>
  <c r="DH34" i="52" s="1" a="1"/>
  <c r="DH34" i="52" s="1"/>
  <c r="AS20" i="52" a="1"/>
  <c r="AS20" i="52" s="1"/>
  <c r="AT20" i="52" s="1" a="1"/>
  <c r="AT20" i="52" s="1"/>
  <c r="CM63" i="52" a="1"/>
  <c r="CM63" i="52" s="1"/>
  <c r="DN63" i="52" s="1" a="1"/>
  <c r="DN63" i="52" s="1"/>
  <c r="Y18" i="52" a="1"/>
  <c r="Y18" i="52" s="1"/>
  <c r="BV18" i="52" s="1" a="1"/>
  <c r="BV18" i="52" s="1"/>
  <c r="CO12" i="52" a="1"/>
  <c r="CO12" i="52" s="1"/>
  <c r="DP12" i="52" s="1" a="1"/>
  <c r="DP12" i="52" s="1"/>
  <c r="CU14" i="52" a="1"/>
  <c r="CU14" i="52" s="1"/>
  <c r="DV14" i="52" s="1" a="1"/>
  <c r="DV14" i="52" s="1"/>
  <c r="CJ36" i="52" a="1"/>
  <c r="CJ36" i="52" s="1"/>
  <c r="DK36" i="52" s="1" a="1"/>
  <c r="DK36" i="52" s="1"/>
  <c r="R65" i="52" a="1"/>
  <c r="R65" i="52" s="1"/>
  <c r="S65" i="52" s="1" a="1"/>
  <c r="S65" i="52" s="1"/>
  <c r="AL65" i="52" s="1" a="1"/>
  <c r="AL65" i="52" s="1"/>
  <c r="AC15" i="52" a="1"/>
  <c r="AC15" i="52" s="1"/>
  <c r="AI17" i="52" s="1" a="1"/>
  <c r="AI17" i="52" s="1"/>
  <c r="U52" i="52" a="1"/>
  <c r="U52" i="52" s="1"/>
  <c r="V52" i="52" s="1" a="1"/>
  <c r="V52" i="52" s="1"/>
  <c r="BD52" i="52" s="1" a="1"/>
  <c r="BD52" i="52" s="1"/>
  <c r="X44" i="52" a="1"/>
  <c r="X44" i="52" s="1"/>
  <c r="X38" i="52" a="1"/>
  <c r="X38" i="52" s="1"/>
  <c r="Y38" i="52" s="1" a="1"/>
  <c r="Y38" i="52" s="1"/>
  <c r="BV38" i="52" s="1" a="1"/>
  <c r="BV38" i="52" s="1"/>
  <c r="BW38" i="52" s="1" a="1"/>
  <c r="BW38" i="52" s="1"/>
  <c r="BX38" i="52" s="1" a="1"/>
  <c r="BX38" i="52" s="1"/>
  <c r="CM14" i="52" a="1"/>
  <c r="CM14" i="52" s="1"/>
  <c r="DN14" i="52" s="1" a="1"/>
  <c r="DN14" i="52" s="1"/>
  <c r="AS45" i="52" a="1"/>
  <c r="AS45" i="52" s="1"/>
  <c r="AT45" i="52" s="1" a="1"/>
  <c r="AT45" i="52" s="1"/>
  <c r="R34" i="52" a="1"/>
  <c r="R34" i="52" s="1"/>
  <c r="S34" i="52" s="1" a="1"/>
  <c r="S34" i="52" s="1"/>
  <c r="AL34" i="52" s="1" a="1"/>
  <c r="AL34" i="52" s="1"/>
  <c r="AM34" i="52" s="1" a="1"/>
  <c r="AM34" i="52" s="1"/>
  <c r="AN34" i="52" s="1" a="1"/>
  <c r="AN34" i="52" s="1"/>
  <c r="AS44" i="52" a="1"/>
  <c r="AS44" i="52" s="1"/>
  <c r="AT44" i="52" s="1" a="1"/>
  <c r="AT44" i="52" s="1"/>
  <c r="CO29" i="52" a="1"/>
  <c r="CO29" i="52" s="1"/>
  <c r="DP29" i="52" s="1" a="1"/>
  <c r="DP29" i="52" s="1"/>
  <c r="Y14" i="52" a="1"/>
  <c r="Y14" i="52" s="1"/>
  <c r="BV14" i="52" s="1" a="1"/>
  <c r="BV14" i="52" s="1"/>
  <c r="BW14" i="52" s="1" a="1"/>
  <c r="BW14" i="52" s="1"/>
  <c r="BX14" i="52" s="1" a="1"/>
  <c r="BX14" i="52" s="1"/>
  <c r="AA51" i="52" a="1"/>
  <c r="AA51" i="52" s="1"/>
  <c r="AB51" i="52" s="1" a="1"/>
  <c r="AB51" i="52" s="1"/>
  <c r="AA61" i="52" a="1"/>
  <c r="AA61" i="52" s="1"/>
  <c r="AB61" i="52" s="1" a="1"/>
  <c r="AB61" i="52" s="1"/>
  <c r="AA39" i="52" a="1"/>
  <c r="AA39" i="52" s="1"/>
  <c r="AB39" i="52" s="1" a="1"/>
  <c r="AB39" i="52" s="1"/>
  <c r="CO57" i="52" a="1"/>
  <c r="CO57" i="52" s="1"/>
  <c r="DP57" i="52" s="1" a="1"/>
  <c r="DP57" i="52" s="1"/>
  <c r="CO23" i="52" a="1"/>
  <c r="CO23" i="52" s="1"/>
  <c r="DP23" i="52" s="1" a="1"/>
  <c r="DP23" i="52" s="1"/>
  <c r="CU36" i="52" a="1"/>
  <c r="CU36" i="52" s="1"/>
  <c r="DV36" i="52" s="1" a="1"/>
  <c r="DV36" i="52" s="1"/>
  <c r="CJ35" i="52" a="1"/>
  <c r="CJ35" i="52" s="1"/>
  <c r="DK35" i="52" s="1" a="1"/>
  <c r="DK35" i="52" s="1"/>
  <c r="DA65" i="52" a="1"/>
  <c r="DA65" i="52" s="1"/>
  <c r="EB65" i="52" s="1" a="1"/>
  <c r="EB65" i="52" s="1"/>
  <c r="R24" i="52" a="1"/>
  <c r="R24" i="52" s="1"/>
  <c r="S24" i="52" s="1" a="1"/>
  <c r="S24" i="52" s="1"/>
  <c r="AL24" i="52" s="1" a="1"/>
  <c r="AL24" i="52" s="1"/>
  <c r="U64" i="52" a="1"/>
  <c r="U64" i="52" s="1"/>
  <c r="V64" i="52" s="1" a="1"/>
  <c r="V64" i="52" s="1"/>
  <c r="BD64" i="52" s="1" a="1"/>
  <c r="BD64" i="52" s="1"/>
  <c r="X53" i="52" a="1"/>
  <c r="X53" i="52" s="1"/>
  <c r="Y53" i="52" s="1" a="1"/>
  <c r="Y53" i="52" s="1"/>
  <c r="BV53" i="52" s="1" a="1"/>
  <c r="BV53" i="52" s="1"/>
  <c r="BW53" i="52" s="1" a="1"/>
  <c r="BW53" i="52" s="1"/>
  <c r="BX53" i="52" s="1" a="1"/>
  <c r="BX53" i="52" s="1"/>
  <c r="X56" i="52" a="1"/>
  <c r="X56" i="52" s="1"/>
  <c r="Y56" i="52" s="1" a="1"/>
  <c r="Y56" i="52" s="1"/>
  <c r="BV56" i="52" s="1" a="1"/>
  <c r="BV56" i="52" s="1"/>
  <c r="CM15" i="52" a="1"/>
  <c r="CM15" i="52" s="1"/>
  <c r="DN15" i="52" s="1" a="1"/>
  <c r="DN15" i="52" s="1"/>
  <c r="CM51" i="52" a="1"/>
  <c r="CM51" i="52" s="1"/>
  <c r="X27" i="52" a="1"/>
  <c r="X27" i="52" s="1"/>
  <c r="Y27" i="52" s="1" a="1"/>
  <c r="Y27" i="52" s="1"/>
  <c r="BV27" i="52" s="1" a="1"/>
  <c r="BV27" i="52" s="1"/>
  <c r="BW27" i="52" s="1" a="1"/>
  <c r="BW27" i="52" s="1"/>
  <c r="BX27" i="52" s="1" a="1"/>
  <c r="BX27" i="52" s="1"/>
  <c r="X32" i="52" a="1"/>
  <c r="X32" i="52" s="1"/>
  <c r="CM44" i="52" a="1"/>
  <c r="CM44" i="52" s="1"/>
  <c r="DN44" i="52" s="1" a="1"/>
  <c r="DN44" i="52" s="1"/>
  <c r="CJ62" i="52" a="1"/>
  <c r="CJ62" i="52" s="1"/>
  <c r="DK62" i="52" s="1" a="1"/>
  <c r="DK62" i="52" s="1"/>
  <c r="S28" i="52" a="1"/>
  <c r="S28" i="52" s="1"/>
  <c r="AL28" i="52" s="1" a="1"/>
  <c r="AL28" i="52" s="1"/>
  <c r="AM28" i="52" s="1" a="1"/>
  <c r="AM28" i="52" s="1"/>
  <c r="AN28" i="52" s="1" a="1"/>
  <c r="AN28" i="52" s="1"/>
  <c r="CQ62" i="52" a="1"/>
  <c r="CQ62" i="52" s="1"/>
  <c r="DR62" i="52" s="1" a="1"/>
  <c r="DR62" i="52" s="1"/>
  <c r="CW49" i="52" a="1"/>
  <c r="CW49" i="52" s="1"/>
  <c r="DX49" i="52" s="1" a="1"/>
  <c r="DX49" i="52" s="1"/>
  <c r="CT49" i="52" a="1"/>
  <c r="CT49" i="52" s="1"/>
  <c r="DU49" i="52" s="1" a="1"/>
  <c r="DU49" i="52" s="1"/>
  <c r="CP49" i="52" a="1"/>
  <c r="CP49" i="52" s="1"/>
  <c r="DQ49" i="52" s="1" a="1"/>
  <c r="DQ49" i="52" s="1"/>
  <c r="CG44" i="52" a="1"/>
  <c r="CG44" i="52" s="1"/>
  <c r="DH44" i="52" s="1" a="1"/>
  <c r="DH44" i="52" s="1"/>
  <c r="CJ45" i="52" a="1"/>
  <c r="CJ45" i="52" s="1"/>
  <c r="DK45" i="52" s="1" a="1"/>
  <c r="DK45" i="52" s="1"/>
  <c r="CG52" i="52" a="1"/>
  <c r="CG52" i="52" s="1"/>
  <c r="DH52" i="52" s="1" a="1"/>
  <c r="DH52" i="52" s="1"/>
  <c r="CO51" i="52" a="1"/>
  <c r="CO51" i="52" s="1"/>
  <c r="DP51" i="52" s="1" a="1"/>
  <c r="DP51" i="52" s="1"/>
  <c r="CH57" i="52" a="1"/>
  <c r="CH57" i="52" s="1"/>
  <c r="DI57" i="52" s="1" a="1"/>
  <c r="DI57" i="52" s="1"/>
  <c r="CG19" i="52" a="1"/>
  <c r="CG19" i="52" s="1"/>
  <c r="DH19" i="52" s="1" a="1"/>
  <c r="DH19" i="52" s="1"/>
  <c r="CM39" i="52" a="1"/>
  <c r="CM39" i="52" s="1"/>
  <c r="DN39" i="52" s="1" a="1"/>
  <c r="DN39" i="52" s="1"/>
  <c r="R21" i="52" a="1"/>
  <c r="R21" i="52" s="1"/>
  <c r="S21" i="52" s="1" a="1"/>
  <c r="S21" i="52" s="1"/>
  <c r="AL21" i="52" s="1" a="1"/>
  <c r="AL21" i="52" s="1"/>
  <c r="AS16" i="52" a="1"/>
  <c r="AS16" i="52" s="1"/>
  <c r="AT16" i="52" s="1" a="1"/>
  <c r="AT16" i="52" s="1"/>
  <c r="X26" i="52" a="1"/>
  <c r="X26" i="52" s="1"/>
  <c r="Y26" i="52" s="1" a="1"/>
  <c r="Y26" i="52" s="1"/>
  <c r="BV26" i="52" s="1" a="1"/>
  <c r="BV26" i="52" s="1"/>
  <c r="BW26" i="52" s="1" a="1"/>
  <c r="BW26" i="52" s="1"/>
  <c r="BX26" i="52" s="1" a="1"/>
  <c r="BX26" i="52" s="1"/>
  <c r="CY17" i="52" a="1"/>
  <c r="CY17" i="52" s="1"/>
  <c r="DZ17" i="52" s="1" a="1"/>
  <c r="DZ17" i="52" s="1"/>
  <c r="CM47" i="52" a="1"/>
  <c r="CM47" i="52" s="1"/>
  <c r="DN47" i="52" s="1" a="1"/>
  <c r="DN47" i="52" s="1"/>
  <c r="CM62" i="52" a="1"/>
  <c r="CM62" i="52" s="1"/>
  <c r="DN62" i="52" s="1" a="1"/>
  <c r="DN62" i="52" s="1"/>
  <c r="AU36" i="52" a="1"/>
  <c r="AU36" i="52" s="1"/>
  <c r="BA24" i="52" s="1" a="1"/>
  <c r="BA24" i="52" s="1"/>
  <c r="CU61" i="52" a="1"/>
  <c r="CU61" i="52" s="1"/>
  <c r="DV61" i="52" s="1" a="1"/>
  <c r="DV61" i="52" s="1"/>
  <c r="CJ40" i="52" a="1"/>
  <c r="CJ40" i="52" s="1"/>
  <c r="DK40" i="52" s="1" a="1"/>
  <c r="DK40" i="52" s="1"/>
  <c r="CU30" i="52" a="1"/>
  <c r="CU30" i="52" s="1"/>
  <c r="DV30" i="52" s="1" a="1"/>
  <c r="DV30" i="52" s="1"/>
  <c r="CJ30" i="52" a="1"/>
  <c r="CJ30" i="52" s="1"/>
  <c r="DK30" i="52" s="1" a="1"/>
  <c r="DK30" i="52" s="1"/>
  <c r="DA33" i="52" a="1"/>
  <c r="DA33" i="52" s="1"/>
  <c r="EB33" i="52" s="1" a="1"/>
  <c r="EB33" i="52" s="1"/>
  <c r="CO25" i="52" a="1"/>
  <c r="CO25" i="52" s="1"/>
  <c r="DP25" i="52" s="1" a="1"/>
  <c r="DP25" i="52" s="1"/>
  <c r="CU59" i="52" a="1"/>
  <c r="CU59" i="52" s="1"/>
  <c r="DV59" i="52" s="1" a="1"/>
  <c r="DV59" i="52" s="1"/>
  <c r="CG55" i="52" a="1"/>
  <c r="CG55" i="52" s="1"/>
  <c r="DH55" i="52" s="1" a="1"/>
  <c r="DH55" i="52" s="1"/>
  <c r="CG54" i="52" a="1"/>
  <c r="CG54" i="52" s="1"/>
  <c r="CT48" i="52" a="1"/>
  <c r="CT48" i="52" s="1"/>
  <c r="DU48" i="52" s="1" a="1"/>
  <c r="DU48" i="52" s="1"/>
  <c r="AS58" i="52" a="1"/>
  <c r="AS58" i="52" s="1"/>
  <c r="AT58" i="52" s="1" a="1"/>
  <c r="AT58" i="52" s="1"/>
  <c r="AS27" i="52" a="1"/>
  <c r="AS27" i="52" s="1"/>
  <c r="AT27" i="52" s="1" a="1"/>
  <c r="AT27" i="52" s="1"/>
  <c r="AS21" i="52" a="1"/>
  <c r="AS21" i="52" s="1"/>
  <c r="AT21" i="52" s="1" a="1"/>
  <c r="AT21" i="52" s="1"/>
  <c r="AA47" i="52" a="1"/>
  <c r="AA47" i="52" s="1"/>
  <c r="AB47" i="52" s="1" a="1"/>
  <c r="AB47" i="52" s="1"/>
  <c r="AS42" i="52" a="1"/>
  <c r="AS42" i="52" s="1"/>
  <c r="AT42" i="52" s="1" a="1"/>
  <c r="AT42" i="52" s="1"/>
  <c r="CO39" i="52" a="1"/>
  <c r="CO39" i="52" s="1"/>
  <c r="DP39" i="52" s="1" a="1"/>
  <c r="DP39" i="52" s="1"/>
  <c r="CU43" i="52" a="1"/>
  <c r="CU43" i="52" s="1"/>
  <c r="DV43" i="52" s="1" a="1"/>
  <c r="DV43" i="52" s="1"/>
  <c r="CJ44" i="52" a="1"/>
  <c r="CJ44" i="52" s="1"/>
  <c r="DK44" i="52" s="1" a="1"/>
  <c r="DK44" i="52" s="1"/>
  <c r="CJ29" i="52" a="1"/>
  <c r="CJ29" i="52" s="1"/>
  <c r="DK29" i="52" s="1" a="1"/>
  <c r="DK29" i="52" s="1"/>
  <c r="CM40" i="52" a="1"/>
  <c r="CM40" i="52" s="1"/>
  <c r="DN40" i="52" s="1" a="1"/>
  <c r="DN40" i="52" s="1"/>
  <c r="R50" i="52" a="1"/>
  <c r="R50" i="52" s="1"/>
  <c r="X34" i="52" a="1"/>
  <c r="X34" i="52" s="1"/>
  <c r="Y34" i="52" s="1" a="1"/>
  <c r="Y34" i="52" s="1"/>
  <c r="BV34" i="52" s="1" a="1"/>
  <c r="BV34" i="52" s="1"/>
  <c r="CU52" i="52" a="1"/>
  <c r="CU52" i="52" s="1"/>
  <c r="DV52" i="52" s="1" a="1"/>
  <c r="DV52" i="52" s="1"/>
  <c r="CO63" i="52" a="1"/>
  <c r="CO63" i="52" s="1"/>
  <c r="DP63" i="52" s="1" a="1"/>
  <c r="DP63" i="52" s="1"/>
  <c r="CJ53" i="52" a="1"/>
  <c r="CJ53" i="52" s="1"/>
  <c r="DK53" i="52" s="1" a="1"/>
  <c r="DK53" i="52" s="1"/>
  <c r="CU53" i="52" a="1"/>
  <c r="CU53" i="52" s="1"/>
  <c r="DV53" i="52" s="1" a="1"/>
  <c r="DV53" i="52" s="1"/>
  <c r="CU21" i="52" a="1"/>
  <c r="CU21" i="52" s="1"/>
  <c r="DV21" i="52" s="1" a="1"/>
  <c r="DV21" i="52" s="1"/>
  <c r="CJ21" i="52" a="1"/>
  <c r="CJ21" i="52" s="1"/>
  <c r="DK21" i="52" s="1" a="1"/>
  <c r="DK21" i="52" s="1"/>
  <c r="CM26" i="52" a="1"/>
  <c r="CM26" i="52" s="1"/>
  <c r="DN26" i="52" s="1" a="1"/>
  <c r="DN26" i="52" s="1"/>
  <c r="CO26" i="52" a="1"/>
  <c r="CO26" i="52" s="1"/>
  <c r="DP26" i="52" s="1" a="1"/>
  <c r="DP26" i="52" s="1"/>
  <c r="CG27" i="52" a="1"/>
  <c r="CG27" i="52" s="1"/>
  <c r="DH27" i="52" s="1" a="1"/>
  <c r="DH27" i="52" s="1"/>
  <c r="CO28" i="52" a="1"/>
  <c r="CO28" i="52" s="1"/>
  <c r="DP28" i="52" s="1" a="1"/>
  <c r="DP28" i="52" s="1"/>
  <c r="R59" i="52" a="1"/>
  <c r="R59" i="52" s="1"/>
  <c r="S59" i="52" s="1" a="1"/>
  <c r="S59" i="52" s="1"/>
  <c r="AL59" i="52" s="1" a="1"/>
  <c r="AL59" i="52" s="1"/>
  <c r="R49" i="52" a="1"/>
  <c r="R49" i="52" s="1"/>
  <c r="S49" i="52" s="1" a="1"/>
  <c r="S49" i="52" s="1"/>
  <c r="AL49" i="52" s="1" a="1"/>
  <c r="AL49" i="52" s="1"/>
  <c r="R29" i="52" a="1"/>
  <c r="R29" i="52" s="1"/>
  <c r="S29" i="52" s="1" a="1"/>
  <c r="S29" i="52" s="1"/>
  <c r="AL29" i="52" s="1" a="1"/>
  <c r="AL29" i="52" s="1"/>
  <c r="AA15" i="52" a="1"/>
  <c r="AA15" i="52" s="1"/>
  <c r="AB15" i="52" s="1" a="1"/>
  <c r="AB15" i="52" s="1"/>
  <c r="CX62" i="52" a="1"/>
  <c r="CX62" i="52" s="1"/>
  <c r="DY62" i="52" s="1" a="1"/>
  <c r="DY62" i="52" s="1"/>
  <c r="CJ20" i="52" a="1"/>
  <c r="CJ20" i="52" s="1"/>
  <c r="DK20" i="52" s="1" a="1"/>
  <c r="DK20" i="52" s="1"/>
  <c r="AS38" i="52" a="1"/>
  <c r="AS38" i="52" s="1"/>
  <c r="AT38" i="52" s="1" a="1"/>
  <c r="AT38" i="52" s="1"/>
  <c r="AA28" i="52" a="1"/>
  <c r="AA28" i="52" s="1"/>
  <c r="AB28" i="52" s="1" a="1"/>
  <c r="AB28" i="52" s="1"/>
  <c r="CO64" i="52" a="1"/>
  <c r="CO64" i="52" s="1"/>
  <c r="DP64" i="52" s="1" a="1"/>
  <c r="DP64" i="52" s="1"/>
  <c r="CO37" i="52" a="1"/>
  <c r="CO37" i="52" s="1"/>
  <c r="DP37" i="52" s="1" a="1"/>
  <c r="DP37" i="52" s="1"/>
  <c r="CO17" i="52" a="1"/>
  <c r="CO17" i="52" s="1"/>
  <c r="DP17" i="52" s="1" a="1"/>
  <c r="DP17" i="52" s="1"/>
  <c r="CU56" i="52" a="1"/>
  <c r="CU56" i="52" s="1"/>
  <c r="DV56" i="52" s="1" a="1"/>
  <c r="DV56" i="52" s="1"/>
  <c r="CU39" i="52" a="1"/>
  <c r="CU39" i="52" s="1"/>
  <c r="DV39" i="52" s="1" a="1"/>
  <c r="DV39" i="52" s="1"/>
  <c r="CU20" i="52" a="1"/>
  <c r="CU20" i="52" s="1"/>
  <c r="DV20" i="52" s="1" a="1"/>
  <c r="DV20" i="52" s="1"/>
  <c r="CJ26" i="52" a="1"/>
  <c r="CJ26" i="52" s="1"/>
  <c r="DK26" i="52" s="1" a="1"/>
  <c r="DK26" i="52" s="1"/>
  <c r="CK13" i="52" a="1"/>
  <c r="CK13" i="52" s="1"/>
  <c r="DL13" i="52" s="1" a="1"/>
  <c r="DL13" i="52" s="1"/>
  <c r="X43" i="52" a="1"/>
  <c r="X43" i="52" s="1"/>
  <c r="AU43" i="52" s="1" a="1"/>
  <c r="AU43" i="52" s="1"/>
  <c r="CO43" i="52" a="1"/>
  <c r="CO43" i="52" s="1"/>
  <c r="DP43" i="52" s="1" a="1"/>
  <c r="DP43" i="52" s="1"/>
  <c r="CU18" i="52" a="1"/>
  <c r="CU18" i="52" s="1"/>
  <c r="DV18" i="52" s="1" a="1"/>
  <c r="DV18" i="52" s="1"/>
  <c r="CK43" i="52" a="1"/>
  <c r="CK43" i="52" s="1"/>
  <c r="DL43" i="52" s="1" a="1"/>
  <c r="DL43" i="52" s="1"/>
  <c r="CU37" i="52" a="1"/>
  <c r="CU37" i="52" s="1"/>
  <c r="DV37" i="52" s="1" a="1"/>
  <c r="DV37" i="52" s="1"/>
  <c r="CG43" i="52" a="1"/>
  <c r="CG43" i="52" s="1"/>
  <c r="DH43" i="52" s="1" a="1"/>
  <c r="DH43" i="52" s="1"/>
  <c r="AC49" i="52" a="1"/>
  <c r="AC49" i="52" s="1"/>
  <c r="AI46" i="52" s="1" a="1"/>
  <c r="AI46" i="52" s="1"/>
  <c r="AJ46" i="52" s="1" a="1"/>
  <c r="AJ46" i="52" s="1"/>
  <c r="AK46" i="52" s="1" a="1"/>
  <c r="AK46" i="52" s="1"/>
  <c r="AA57" i="52" a="1"/>
  <c r="AA57" i="52" s="1"/>
  <c r="AB57" i="52" s="1" a="1"/>
  <c r="AB57" i="52" s="1"/>
  <c r="CU33" i="52" a="1"/>
  <c r="CU33" i="52" s="1"/>
  <c r="DV33" i="52" s="1" a="1"/>
  <c r="DV33" i="52" s="1"/>
  <c r="CK24" i="52" a="1"/>
  <c r="CK24" i="52" s="1"/>
  <c r="DL24" i="52" s="1" a="1"/>
  <c r="DL24" i="52" s="1"/>
  <c r="CU25" i="52" a="1"/>
  <c r="CU25" i="52" s="1"/>
  <c r="DV25" i="52" s="1" a="1"/>
  <c r="DV25" i="52" s="1"/>
  <c r="CN25" i="52" a="1"/>
  <c r="CN25" i="52" s="1"/>
  <c r="DO25" i="52" s="1" a="1"/>
  <c r="DO25" i="52" s="1"/>
  <c r="CU34" i="52" a="1"/>
  <c r="CU34" i="52" s="1"/>
  <c r="DV34" i="52" s="1" a="1"/>
  <c r="DV34" i="52" s="1"/>
  <c r="CM18" i="52" a="1"/>
  <c r="CM18" i="52" s="1"/>
  <c r="DN18" i="52" s="1" a="1"/>
  <c r="DN18" i="52" s="1"/>
  <c r="U18" i="52" a="1"/>
  <c r="U18" i="52" s="1"/>
  <c r="V18" i="52" s="1" a="1"/>
  <c r="V18" i="52" s="1"/>
  <c r="BD18" i="52" s="1" a="1"/>
  <c r="BD18" i="52" s="1"/>
  <c r="BE18" i="52" s="1" a="1"/>
  <c r="BE18" i="52" s="1"/>
  <c r="BF18" i="52" s="1" a="1"/>
  <c r="BF18" i="52" s="1"/>
  <c r="X40" i="52" a="1"/>
  <c r="X40" i="52" s="1"/>
  <c r="CO44" i="52" a="1"/>
  <c r="CO44" i="52" s="1"/>
  <c r="DP44" i="52" s="1" a="1"/>
  <c r="DP44" i="52" s="1"/>
  <c r="BV30" i="52" a="1"/>
  <c r="BV30" i="52" s="1"/>
  <c r="BW30" i="52" s="1" a="1"/>
  <c r="BW30" i="52" s="1"/>
  <c r="BX30" i="52" s="1" a="1"/>
  <c r="BX30" i="52" s="1"/>
  <c r="CU24" i="52" a="1"/>
  <c r="CU24" i="52" s="1"/>
  <c r="DV24" i="52" s="1" a="1"/>
  <c r="DV24" i="52" s="1"/>
  <c r="CY56" i="52" a="1"/>
  <c r="CY56" i="52" s="1"/>
  <c r="DZ56" i="52" s="1" a="1"/>
  <c r="DZ56" i="52" s="1"/>
  <c r="CG33" i="52" a="1"/>
  <c r="CG33" i="52" s="1"/>
  <c r="DH33" i="52" s="1" a="1"/>
  <c r="DH33" i="52" s="1"/>
  <c r="CM20" i="52" a="1"/>
  <c r="CM20" i="52" s="1"/>
  <c r="DN20" i="52" s="1" a="1"/>
  <c r="DN20" i="52" s="1"/>
  <c r="CO33" i="52" a="1"/>
  <c r="CO33" i="52" s="1"/>
  <c r="DP33" i="52" s="1" a="1"/>
  <c r="DP33" i="52" s="1"/>
  <c r="R56" i="52" a="1"/>
  <c r="R56" i="52" s="1"/>
  <c r="S56" i="52" s="1" a="1"/>
  <c r="S56" i="52" s="1"/>
  <c r="AL56" i="52" s="1" a="1"/>
  <c r="AL56" i="52" s="1"/>
  <c r="AM56" i="52" s="1" a="1"/>
  <c r="AM56" i="52" s="1"/>
  <c r="AN56" i="52" s="1" a="1"/>
  <c r="AN56" i="52" s="1"/>
  <c r="U47" i="52" a="1"/>
  <c r="U47" i="52" s="1"/>
  <c r="AC55" i="52" s="1" a="1"/>
  <c r="AC55" i="52" s="1"/>
  <c r="U59" i="52" a="1"/>
  <c r="U59" i="52" s="1"/>
  <c r="V59" i="52" s="1" a="1"/>
  <c r="V59" i="52" s="1"/>
  <c r="BD59" i="52" s="1" a="1"/>
  <c r="BD59" i="52" s="1"/>
  <c r="BE55" i="52" s="1" a="1"/>
  <c r="BE55" i="52" s="1"/>
  <c r="U25" i="52" a="1"/>
  <c r="U25" i="52" s="1"/>
  <c r="X63" i="52" a="1"/>
  <c r="X63" i="52" s="1"/>
  <c r="Y63" i="52" s="1" a="1"/>
  <c r="Y63" i="52" s="1"/>
  <c r="BV63" i="52" s="1" a="1"/>
  <c r="BV63" i="52" s="1"/>
  <c r="CM12" i="52" a="1"/>
  <c r="CM12" i="52" s="1"/>
  <c r="DN12" i="52" s="1" a="1"/>
  <c r="DN12" i="52" s="1"/>
  <c r="BD26" i="52" a="1"/>
  <c r="BD26" i="52" s="1"/>
  <c r="BE26" i="52" s="1" a="1"/>
  <c r="BE26" i="52" s="1"/>
  <c r="BF26" i="52" s="1" a="1"/>
  <c r="BF26" i="52" s="1"/>
  <c r="AA30" i="52" a="1"/>
  <c r="AA30" i="52" s="1"/>
  <c r="AB30" i="52" s="1" a="1"/>
  <c r="AB30" i="52" s="1"/>
  <c r="CO34" i="52" a="1"/>
  <c r="CO34" i="52" s="1"/>
  <c r="DP34" i="52" s="1" a="1"/>
  <c r="DP34" i="52" s="1"/>
  <c r="CU31" i="52" a="1"/>
  <c r="CU31" i="52" s="1"/>
  <c r="DV31" i="52" s="1" a="1"/>
  <c r="DV31" i="52" s="1"/>
  <c r="CU35" i="52" a="1"/>
  <c r="CU35" i="52" s="1"/>
  <c r="DV35" i="52" s="1" a="1"/>
  <c r="DV35" i="52" s="1"/>
  <c r="CG32" i="52" a="1"/>
  <c r="CG32" i="52" s="1"/>
  <c r="DH32" i="52" s="1" a="1"/>
  <c r="DH32" i="52" s="1"/>
  <c r="U24" i="52" a="1"/>
  <c r="U24" i="52" s="1"/>
  <c r="V24" i="52" s="1" a="1"/>
  <c r="V24" i="52" s="1"/>
  <c r="BD24" i="52" s="1" a="1"/>
  <c r="BD24" i="52" s="1"/>
  <c r="X16" i="52" a="1"/>
  <c r="X16" i="52" s="1"/>
  <c r="X12" i="52" a="1"/>
  <c r="X12" i="52" s="1"/>
  <c r="Y12" i="52" s="1" a="1"/>
  <c r="Y12" i="52" s="1"/>
  <c r="BV12" i="52" s="1" a="1"/>
  <c r="BV12" i="52" s="1"/>
  <c r="DA54" i="52" a="1"/>
  <c r="DA54" i="52" s="1"/>
  <c r="EB54" i="52" s="1" a="1"/>
  <c r="EB54" i="52" s="1"/>
  <c r="CG60" i="52" a="1"/>
  <c r="CG60" i="52" s="1"/>
  <c r="DH60" i="52" s="1" a="1"/>
  <c r="DH60" i="52" s="1"/>
  <c r="CU48" i="52" a="1"/>
  <c r="CU48" i="52" s="1"/>
  <c r="DV48" i="52" s="1" a="1"/>
  <c r="DV48" i="52" s="1"/>
  <c r="CO47" i="52" a="1"/>
  <c r="CO47" i="52" s="1"/>
  <c r="DP47" i="52" s="1" a="1"/>
  <c r="DP47" i="52" s="1"/>
  <c r="CU29" i="52" a="1"/>
  <c r="CU29" i="52" s="1"/>
  <c r="DV29" i="52" s="1" a="1"/>
  <c r="DV29" i="52" s="1"/>
  <c r="CJ37" i="52" a="1"/>
  <c r="CJ37" i="52" s="1"/>
  <c r="DK37" i="52" s="1" a="1"/>
  <c r="DK37" i="52" s="1"/>
  <c r="CM34" i="52" a="1"/>
  <c r="CM34" i="52" s="1"/>
  <c r="DN34" i="52" s="1" a="1"/>
  <c r="DN34" i="52" s="1"/>
  <c r="CM17" i="52" a="1"/>
  <c r="CM17" i="52" s="1"/>
  <c r="DN17" i="52" s="1" a="1"/>
  <c r="DN17" i="52" s="1"/>
  <c r="U58" i="52" a="1"/>
  <c r="U58" i="52" s="1"/>
  <c r="V58" i="52" s="1" a="1"/>
  <c r="V58" i="52" s="1"/>
  <c r="BD58" i="52" s="1" a="1"/>
  <c r="BD58" i="52" s="1"/>
  <c r="BE58" i="52" s="1" a="1"/>
  <c r="BE58" i="52" s="1"/>
  <c r="BF58" i="52" s="1" a="1"/>
  <c r="BF58" i="52" s="1"/>
  <c r="U36" i="52" a="1"/>
  <c r="U36" i="52" s="1"/>
  <c r="V36" i="52" s="1" a="1"/>
  <c r="V36" i="52" s="1"/>
  <c r="BD36" i="52" s="1" a="1"/>
  <c r="BD36" i="52" s="1"/>
  <c r="CJ46" i="52" a="1"/>
  <c r="CJ46" i="52" s="1"/>
  <c r="DK46" i="52" s="1" a="1"/>
  <c r="DK46" i="52" s="1"/>
  <c r="CJ58" i="52" a="1"/>
  <c r="CJ58" i="52" s="1"/>
  <c r="DK58" i="52" s="1" a="1"/>
  <c r="DK58" i="52" s="1"/>
  <c r="CJ17" i="52" a="1"/>
  <c r="CJ17" i="52" s="1"/>
  <c r="DK17" i="52" s="1" a="1"/>
  <c r="DK17" i="52" s="1"/>
  <c r="CG42" i="52" a="1"/>
  <c r="CG42" i="52" s="1"/>
  <c r="DH42" i="52" s="1" a="1"/>
  <c r="DH42" i="52" s="1"/>
  <c r="CG56" i="52" a="1"/>
  <c r="CG56" i="52" s="1"/>
  <c r="CU60" i="52" a="1"/>
  <c r="CU60" i="52" s="1"/>
  <c r="DV60" i="52" s="1" a="1"/>
  <c r="DV60" i="52" s="1"/>
  <c r="CO54" i="52" a="1"/>
  <c r="CO54" i="52" s="1"/>
  <c r="DP54" i="52" s="1" a="1"/>
  <c r="DP54" i="52" s="1"/>
  <c r="CU64" i="52" a="1"/>
  <c r="CU64" i="52" s="1"/>
  <c r="DV64" i="52" s="1" a="1"/>
  <c r="DV64" i="52" s="1"/>
  <c r="CM38" i="52" a="1"/>
  <c r="CM38" i="52" s="1"/>
  <c r="DN38" i="52" s="1" a="1"/>
  <c r="DN38" i="52" s="1"/>
  <c r="CG36" i="52" a="1"/>
  <c r="CG36" i="52" s="1"/>
  <c r="DH36" i="52" s="1" a="1"/>
  <c r="DH36" i="52" s="1"/>
  <c r="CG41" i="52" a="1"/>
  <c r="CG41" i="52" s="1"/>
  <c r="DH41" i="52" s="1" a="1"/>
  <c r="DH41" i="52" s="1"/>
  <c r="R38" i="52" a="1"/>
  <c r="R38" i="52" s="1"/>
  <c r="S38" i="52" s="1" a="1"/>
  <c r="S38" i="52" s="1"/>
  <c r="AL38" i="52" s="1" a="1"/>
  <c r="AL38" i="52" s="1"/>
  <c r="U51" i="52" a="1"/>
  <c r="U51" i="52" s="1"/>
  <c r="AC65" i="52" s="1" a="1"/>
  <c r="AC65" i="52" s="1"/>
  <c r="U44" i="52" a="1"/>
  <c r="U44" i="52" s="1"/>
  <c r="U65" i="52" a="1"/>
  <c r="U65" i="52" s="1"/>
  <c r="V65" i="52" s="1" a="1"/>
  <c r="V65" i="52" s="1"/>
  <c r="BD65" i="52" s="1" a="1"/>
  <c r="BD65" i="52" s="1"/>
  <c r="U50" i="52" a="1"/>
  <c r="U50" i="52" s="1"/>
  <c r="V50" i="52" s="1" a="1"/>
  <c r="V50" i="52" s="1"/>
  <c r="BD50" i="52" s="1" a="1"/>
  <c r="BD50" i="52" s="1"/>
  <c r="BE50" i="52" s="1" a="1"/>
  <c r="BE50" i="52" s="1"/>
  <c r="BF50" i="52" s="1" a="1"/>
  <c r="BF50" i="52" s="1"/>
  <c r="U30" i="52" a="1"/>
  <c r="U30" i="52" s="1"/>
  <c r="V30" i="52" s="1" a="1"/>
  <c r="V30" i="52" s="1"/>
  <c r="BD30" i="52" s="1" a="1"/>
  <c r="BD30" i="52" s="1"/>
  <c r="BE30" i="52" s="1" a="1"/>
  <c r="BE30" i="52" s="1"/>
  <c r="BF30" i="52" s="1" a="1"/>
  <c r="BF30" i="52" s="1"/>
  <c r="X47" i="52" a="1"/>
  <c r="X47" i="52" s="1"/>
  <c r="AU47" i="52" s="1" a="1"/>
  <c r="AU47" i="52" s="1"/>
  <c r="CJ16" i="52" a="1"/>
  <c r="CJ16" i="52" s="1"/>
  <c r="DK16" i="52" s="1" a="1"/>
  <c r="DK16" i="52" s="1"/>
  <c r="CJ14" i="52" a="1"/>
  <c r="CJ14" i="52" s="1"/>
  <c r="DK14" i="52" s="1" a="1"/>
  <c r="DK14" i="52" s="1"/>
  <c r="CY61" i="52" a="1"/>
  <c r="CY61" i="52" s="1"/>
  <c r="DZ61" i="52" s="1" a="1"/>
  <c r="DZ61" i="52" s="1"/>
  <c r="CK65" i="52" a="1"/>
  <c r="CK65" i="52" s="1"/>
  <c r="CX23" i="52" a="1"/>
  <c r="CX23" i="52" s="1"/>
  <c r="DY23" i="52" s="1" a="1"/>
  <c r="DY23" i="52" s="1"/>
  <c r="CG25" i="52" a="1"/>
  <c r="CG25" i="52" s="1"/>
  <c r="DH25" i="52" s="1" a="1"/>
  <c r="DH25" i="52" s="1"/>
  <c r="CM21" i="52" a="1"/>
  <c r="CM21" i="52" s="1"/>
  <c r="DN21" i="52" s="1" a="1"/>
  <c r="DN21" i="52" s="1"/>
  <c r="U62" i="52" a="1"/>
  <c r="U62" i="52" s="1"/>
  <c r="CG12" i="52" a="1"/>
  <c r="CG12" i="52" s="1"/>
  <c r="DH12" i="52" s="1" a="1"/>
  <c r="DH12" i="52" s="1"/>
  <c r="CH16" i="52" a="1"/>
  <c r="CH16" i="52" s="1"/>
  <c r="DI16" i="52" s="1" a="1"/>
  <c r="DI16" i="52" s="1"/>
  <c r="CM46" i="52" a="1"/>
  <c r="CM46" i="52" s="1"/>
  <c r="DN46" i="52" s="1" a="1"/>
  <c r="DN46" i="52" s="1"/>
  <c r="CX57" i="52" a="1"/>
  <c r="CX57" i="52" s="1"/>
  <c r="DY57" i="52" s="1" a="1"/>
  <c r="DY57" i="52" s="1"/>
  <c r="CJ33" i="52" a="1"/>
  <c r="CJ33" i="52" s="1"/>
  <c r="DK33" i="52" s="1" a="1"/>
  <c r="DK33" i="52" s="1"/>
  <c r="R33" i="52" a="1"/>
  <c r="R33" i="52" s="1"/>
  <c r="CJ42" i="52" a="1"/>
  <c r="CJ42" i="52" s="1"/>
  <c r="DK42" i="52" s="1" a="1"/>
  <c r="DK42" i="52" s="1"/>
  <c r="CU42" i="52" a="1"/>
  <c r="CU42" i="52" s="1"/>
  <c r="DV42" i="52" s="1" a="1"/>
  <c r="DV42" i="52" s="1"/>
  <c r="CJ54" i="52" a="1"/>
  <c r="CJ54" i="52" s="1"/>
  <c r="DK54" i="52" s="1" a="1"/>
  <c r="DK54" i="52" s="1"/>
  <c r="CU54" i="52" a="1"/>
  <c r="CU54" i="52" s="1"/>
  <c r="DV54" i="52" s="1" a="1"/>
  <c r="DV54" i="52" s="1"/>
  <c r="CG45" i="52" a="1"/>
  <c r="CG45" i="52" s="1"/>
  <c r="DH45" i="52" s="1" a="1"/>
  <c r="DH45" i="52" s="1"/>
  <c r="CG59" i="52" a="1"/>
  <c r="CG59" i="52" s="1"/>
  <c r="DH59" i="52" s="1" a="1"/>
  <c r="DH59" i="52" s="1"/>
  <c r="CG18" i="52" a="1"/>
  <c r="CG18" i="52" s="1"/>
  <c r="DH18" i="52" s="1" a="1"/>
  <c r="DH18" i="52" s="1"/>
  <c r="CG20" i="52" a="1"/>
  <c r="CG20" i="52" s="1"/>
  <c r="DH20" i="52" s="1" a="1"/>
  <c r="DH20" i="52" s="1"/>
  <c r="R63" i="52" a="1"/>
  <c r="R63" i="52" s="1"/>
  <c r="S63" i="52" s="1" a="1"/>
  <c r="S63" i="52" s="1"/>
  <c r="AL63" i="52" s="1" a="1"/>
  <c r="AL63" i="52" s="1"/>
  <c r="AM63" i="52" s="1" a="1"/>
  <c r="AM63" i="52" s="1"/>
  <c r="AN63" i="52" s="1" a="1"/>
  <c r="AN63" i="52" s="1"/>
  <c r="R58" i="52" a="1"/>
  <c r="R58" i="52" s="1"/>
  <c r="S58" i="52" s="1" a="1"/>
  <c r="S58" i="52" s="1"/>
  <c r="AL58" i="52" s="1" a="1"/>
  <c r="AL58" i="52" s="1"/>
  <c r="U31" i="52" a="1"/>
  <c r="U31" i="52" s="1"/>
  <c r="V31" i="52" s="1" a="1"/>
  <c r="V31" i="52" s="1"/>
  <c r="BD31" i="52" s="1" a="1"/>
  <c r="BD31" i="52" s="1"/>
  <c r="BE31" i="52" s="1" a="1"/>
  <c r="BE31" i="52" s="1"/>
  <c r="BF31" i="52" s="1" a="1"/>
  <c r="BF31" i="52" s="1"/>
  <c r="U16" i="52" a="1"/>
  <c r="U16" i="52" s="1"/>
  <c r="V16" i="52" s="1" a="1"/>
  <c r="V16" i="52" s="1"/>
  <c r="BD16" i="52" s="1" a="1"/>
  <c r="BD16" i="52" s="1"/>
  <c r="CJ12" i="52" a="1"/>
  <c r="CJ12" i="52" s="1"/>
  <c r="DK12" i="52" s="1" a="1"/>
  <c r="DK12" i="52" s="1"/>
  <c r="CU12" i="52" a="1"/>
  <c r="CU12" i="52" s="1"/>
  <c r="DV12" i="52" s="1" a="1"/>
  <c r="DV12" i="52" s="1"/>
  <c r="CU23" i="52" a="1"/>
  <c r="CU23" i="52" s="1"/>
  <c r="DV23" i="52" s="1" a="1"/>
  <c r="DV23" i="52" s="1"/>
  <c r="CJ22" i="52" a="1"/>
  <c r="CJ22" i="52" s="1"/>
  <c r="DK22" i="52" s="1" a="1"/>
  <c r="DK22" i="52" s="1"/>
  <c r="R41" i="52" a="1"/>
  <c r="R41" i="52" s="1"/>
  <c r="X45" i="52" a="1"/>
  <c r="X45" i="52" s="1"/>
  <c r="X48" i="52" a="1"/>
  <c r="X48" i="52" s="1"/>
  <c r="Y48" i="52" s="1" a="1"/>
  <c r="Y48" i="52" s="1"/>
  <c r="BV48" i="52" s="1" a="1"/>
  <c r="BV48" i="52" s="1"/>
  <c r="CN54" i="52" a="1"/>
  <c r="CN54" i="52" s="1"/>
  <c r="DO54" i="52" s="1" a="1"/>
  <c r="DO54" i="52" s="1"/>
  <c r="CM56" i="52" a="1"/>
  <c r="CM56" i="52" s="1"/>
  <c r="CM31" i="52" a="1"/>
  <c r="CM31" i="52" s="1"/>
  <c r="DN31" i="52" s="1" a="1"/>
  <c r="DN31" i="52" s="1"/>
  <c r="R39" i="52" a="1"/>
  <c r="R39" i="52" s="1"/>
  <c r="S39" i="52" s="1" a="1"/>
  <c r="S39" i="52" s="1"/>
  <c r="AL39" i="52" s="1" a="1"/>
  <c r="AL39" i="52" s="1"/>
  <c r="AM39" i="52" s="1" a="1"/>
  <c r="AM39" i="52" s="1"/>
  <c r="AN39" i="52" s="1" a="1"/>
  <c r="AN39" i="52" s="1"/>
  <c r="U29" i="52" a="1"/>
  <c r="U29" i="52" s="1"/>
  <c r="X15" i="52" a="1"/>
  <c r="X15" i="52" s="1"/>
  <c r="Y15" i="52" s="1" a="1"/>
  <c r="Y15" i="52" s="1"/>
  <c r="BV15" i="52" s="1" a="1"/>
  <c r="BV15" i="52" s="1"/>
  <c r="CN15" i="52" a="1"/>
  <c r="CN15" i="52" s="1"/>
  <c r="DO15" i="52" s="1" a="1"/>
  <c r="DO15" i="52" s="1"/>
  <c r="CN42" i="52" a="1"/>
  <c r="CN42" i="52" s="1"/>
  <c r="DO42" i="52" s="1" a="1"/>
  <c r="DO42" i="52" s="1"/>
  <c r="CG64" i="52" a="1"/>
  <c r="CG64" i="52" s="1"/>
  <c r="DH64" i="52" s="1" a="1"/>
  <c r="DH64" i="52" s="1"/>
  <c r="CG61" i="52" a="1"/>
  <c r="CG61" i="52" s="1"/>
  <c r="DH61" i="52" s="1" a="1"/>
  <c r="DH61" i="52" s="1"/>
  <c r="CG24" i="52" a="1"/>
  <c r="CG24" i="52" s="1"/>
  <c r="DH24" i="52" s="1" a="1"/>
  <c r="DH24" i="52" s="1"/>
  <c r="CM23" i="52" a="1"/>
  <c r="CM23" i="52" s="1"/>
  <c r="DN23" i="52" s="1" a="1"/>
  <c r="DN23" i="52" s="1"/>
  <c r="CG28" i="52" a="1"/>
  <c r="CG28" i="52" s="1"/>
  <c r="DH28" i="52" s="1" a="1"/>
  <c r="DH28" i="52" s="1"/>
  <c r="U40" i="52" a="1"/>
  <c r="U40" i="52" s="1"/>
  <c r="V40" i="52" s="1" a="1"/>
  <c r="V40" i="52" s="1"/>
  <c r="BD40" i="52" s="1" a="1"/>
  <c r="BD40" i="52" s="1"/>
  <c r="BE40" i="52" s="1" a="1"/>
  <c r="BE40" i="52" s="1"/>
  <c r="U22" i="52" a="1"/>
  <c r="U22" i="52" s="1"/>
  <c r="V22" i="52" s="1" a="1"/>
  <c r="V22" i="52" s="1"/>
  <c r="BD22" i="52" s="1" a="1"/>
  <c r="BD22" i="52" s="1"/>
  <c r="BE22" i="52" s="1" a="1"/>
  <c r="BE22" i="52" s="1"/>
  <c r="BF22" i="52" s="1" a="1"/>
  <c r="BF22" i="52" s="1"/>
  <c r="X42" i="52" a="1"/>
  <c r="X42" i="52" s="1"/>
  <c r="X23" i="52" a="1"/>
  <c r="X23" i="52" s="1"/>
  <c r="AS52" i="52" a="1"/>
  <c r="AS52" i="52" s="1"/>
  <c r="AT52" i="52" s="1" a="1"/>
  <c r="AT52" i="52" s="1"/>
  <c r="AU30" i="52" a="1"/>
  <c r="AU30" i="52" s="1"/>
  <c r="AA25" i="52" a="1"/>
  <c r="AA25" i="52" s="1"/>
  <c r="AB25" i="52" s="1" a="1"/>
  <c r="AB25" i="52" s="1"/>
  <c r="Y54" i="52" a="1"/>
  <c r="Y54" i="52" s="1"/>
  <c r="BV54" i="52" s="1" a="1"/>
  <c r="BV54" i="52" s="1"/>
  <c r="Y44" i="52" a="1"/>
  <c r="Y44" i="52" s="1"/>
  <c r="BV44" i="52" s="1" a="1"/>
  <c r="BV44" i="52" s="1"/>
  <c r="BW44" i="52" s="1" a="1"/>
  <c r="BW44" i="52" s="1"/>
  <c r="BX44" i="52" s="1" a="1"/>
  <c r="BX44" i="52" s="1"/>
  <c r="AS53" i="52" a="1"/>
  <c r="AS53" i="52" s="1"/>
  <c r="AT53" i="52" s="1" a="1"/>
  <c r="AT53" i="52" s="1"/>
  <c r="BD49" i="52" a="1"/>
  <c r="BD49" i="52" s="1"/>
  <c r="AS22" i="52" a="1"/>
  <c r="AS22" i="52" s="1"/>
  <c r="AT22" i="52" s="1" a="1"/>
  <c r="AT22" i="52" s="1"/>
  <c r="AS26" i="52" a="1"/>
  <c r="AS26" i="52" s="1"/>
  <c r="AT26" i="52" s="1" a="1"/>
  <c r="AT26" i="52" s="1"/>
  <c r="AS61" i="52" a="1"/>
  <c r="AS61" i="52" s="1"/>
  <c r="AT61" i="52" s="1" a="1"/>
  <c r="AT61" i="52" s="1"/>
  <c r="AS65" i="52" a="1"/>
  <c r="AS65" i="52" s="1"/>
  <c r="AT65" i="52" s="1" a="1"/>
  <c r="AT65" i="52" s="1"/>
  <c r="BK65" i="52" a="1"/>
  <c r="BK65" i="52" s="1"/>
  <c r="BL65" i="52" s="1" a="1"/>
  <c r="BL65" i="52" s="1"/>
  <c r="AS46" i="52" a="1"/>
  <c r="AS46" i="52" s="1"/>
  <c r="AT46" i="52" s="1" a="1"/>
  <c r="AT46" i="52" s="1"/>
  <c r="BM45" i="52" a="1"/>
  <c r="BM45" i="52" s="1"/>
  <c r="AS60" i="52" a="1"/>
  <c r="AS60" i="52" s="1"/>
  <c r="AT60" i="52" s="1" a="1"/>
  <c r="AT60" i="52" s="1"/>
  <c r="AA29" i="52" a="1"/>
  <c r="AA29" i="52" s="1"/>
  <c r="AB29" i="52" s="1" a="1"/>
  <c r="AB29" i="52" s="1"/>
  <c r="AS33" i="52" a="1"/>
  <c r="AS33" i="52" s="1"/>
  <c r="AT33" i="52" s="1" a="1"/>
  <c r="AT33" i="52" s="1"/>
  <c r="AS28" i="52" a="1"/>
  <c r="AS28" i="52" s="1"/>
  <c r="AT28" i="52" s="1" a="1"/>
  <c r="AT28" i="52" s="1"/>
  <c r="AS41" i="52" a="1"/>
  <c r="AS41" i="52" s="1"/>
  <c r="AT41" i="52" s="1" a="1"/>
  <c r="AT41" i="52" s="1"/>
  <c r="AU60" i="52" a="1"/>
  <c r="AU60" i="52" s="1"/>
  <c r="BK37" i="52" a="1"/>
  <c r="BK37" i="52" s="1"/>
  <c r="BL37" i="52" s="1" a="1"/>
  <c r="BL37" i="52" s="1"/>
  <c r="BD42" i="52" a="1"/>
  <c r="BD42" i="52" s="1"/>
  <c r="BE42" i="52" s="1" a="1"/>
  <c r="BE42" i="52" s="1"/>
  <c r="BF42" i="52" s="1" a="1"/>
  <c r="BF42" i="52" s="1"/>
  <c r="BK58" i="52" a="1"/>
  <c r="BK58" i="52" s="1"/>
  <c r="BL58" i="52" s="1" a="1"/>
  <c r="BL58" i="52" s="1"/>
  <c r="BM30" i="52" a="1"/>
  <c r="BM30" i="52" s="1"/>
  <c r="BM59" i="52" a="1"/>
  <c r="BM59" i="52" s="1"/>
  <c r="V25" i="52" a="1"/>
  <c r="V25" i="52" s="1"/>
  <c r="BD25" i="52" s="1" a="1"/>
  <c r="BD25" i="52" s="1"/>
  <c r="V28" i="52" a="1"/>
  <c r="V28" i="52" s="1"/>
  <c r="BD28" i="52" s="1" a="1"/>
  <c r="BD28" i="52" s="1"/>
  <c r="AA56" i="52" a="1"/>
  <c r="AA56" i="52" s="1"/>
  <c r="AB56" i="52" s="1" a="1"/>
  <c r="AB56" i="52" s="1"/>
  <c r="BV36" i="52" a="1"/>
  <c r="BV36" i="52" s="1"/>
  <c r="BM31" i="52" a="1"/>
  <c r="BM31" i="52" s="1"/>
  <c r="CJ18" i="52" a="1"/>
  <c r="CJ18" i="52" s="1"/>
  <c r="DK18" i="52" s="1" a="1"/>
  <c r="DK18" i="52" s="1"/>
  <c r="CJ19" i="52" a="1"/>
  <c r="CJ19" i="52" s="1"/>
  <c r="DK19" i="52" s="1" a="1"/>
  <c r="DK19" i="52" s="1"/>
  <c r="CU19" i="52" a="1"/>
  <c r="CU19" i="52" s="1"/>
  <c r="DV19" i="52" s="1" a="1"/>
  <c r="DV19" i="52" s="1"/>
  <c r="CX31" i="52" a="1"/>
  <c r="CX31" i="52" s="1"/>
  <c r="DY31" i="52" s="1" a="1"/>
  <c r="DY31" i="52" s="1"/>
  <c r="CJ31" i="52" a="1"/>
  <c r="CJ31" i="52" s="1"/>
  <c r="DK31" i="52" s="1" a="1"/>
  <c r="DK31" i="52" s="1"/>
  <c r="DA64" i="52" a="1"/>
  <c r="DA64" i="52" s="1"/>
  <c r="EB64" i="52" s="1" a="1"/>
  <c r="EB64" i="52" s="1"/>
  <c r="CN64" i="52" a="1"/>
  <c r="CN64" i="52" s="1"/>
  <c r="DO64" i="52" s="1" a="1"/>
  <c r="DO64" i="52" s="1"/>
  <c r="DA30" i="52" a="1"/>
  <c r="DA30" i="52" s="1"/>
  <c r="EB30" i="52" s="1" a="1"/>
  <c r="EB30" i="52" s="1"/>
  <c r="CN30" i="52" a="1"/>
  <c r="CN30" i="52" s="1"/>
  <c r="DO30" i="52" s="1" a="1"/>
  <c r="DO30" i="52" s="1"/>
  <c r="CU41" i="52" a="1"/>
  <c r="CU41" i="52" s="1"/>
  <c r="DV41" i="52" s="1" a="1"/>
  <c r="DV41" i="52" s="1"/>
  <c r="CJ41" i="52" a="1"/>
  <c r="CJ41" i="52" s="1"/>
  <c r="DK41" i="52" s="1" a="1"/>
  <c r="DK41" i="52" s="1"/>
  <c r="CX28" i="52" a="1"/>
  <c r="CX28" i="52" s="1"/>
  <c r="DY28" i="52" s="1" a="1"/>
  <c r="DY28" i="52" s="1"/>
  <c r="CJ28" i="52" a="1"/>
  <c r="CJ28" i="52" s="1"/>
  <c r="DK28" i="52" s="1" a="1"/>
  <c r="DK28" i="52" s="1"/>
  <c r="CJ38" i="52" a="1"/>
  <c r="CJ38" i="52" s="1"/>
  <c r="DK38" i="52" s="1" a="1"/>
  <c r="DK38" i="52" s="1"/>
  <c r="CU38" i="52" a="1"/>
  <c r="CU38" i="52" s="1"/>
  <c r="DV38" i="52" s="1" a="1"/>
  <c r="DV38" i="52" s="1"/>
  <c r="CJ27" i="52" a="1"/>
  <c r="CJ27" i="52" s="1"/>
  <c r="DK27" i="52" s="1" a="1"/>
  <c r="DK27" i="52" s="1"/>
  <c r="CK36" i="52" a="1"/>
  <c r="CK36" i="52" s="1"/>
  <c r="DL36" i="52" s="1" a="1"/>
  <c r="DL36" i="52" s="1"/>
  <c r="CJ32" i="52" a="1"/>
  <c r="CJ32" i="52" s="1"/>
  <c r="DK32" i="52" s="1" a="1"/>
  <c r="DK32" i="52" s="1"/>
  <c r="CH51" i="52" a="1"/>
  <c r="CH51" i="52" s="1"/>
  <c r="DI51" i="52" s="1" a="1"/>
  <c r="DI51" i="52" s="1"/>
  <c r="CY50" i="52" a="1"/>
  <c r="CY50" i="52" s="1"/>
  <c r="DZ50" i="52" s="1" a="1"/>
  <c r="DZ50" i="52" s="1"/>
  <c r="CM35" i="52" a="1"/>
  <c r="CM35" i="52" s="1"/>
  <c r="DN35" i="52" s="1" a="1"/>
  <c r="DN35" i="52" s="1"/>
  <c r="CM36" i="52" a="1"/>
  <c r="CM36" i="52" s="1"/>
  <c r="DN36" i="52" s="1" a="1"/>
  <c r="DN36" i="52" s="1"/>
  <c r="CJ39" i="52" a="1"/>
  <c r="CJ39" i="52" s="1"/>
  <c r="DK39" i="52" s="1" a="1"/>
  <c r="DK39" i="52" s="1"/>
  <c r="CN38" i="52" a="1"/>
  <c r="CN38" i="52" s="1"/>
  <c r="DO38" i="52" s="1" a="1"/>
  <c r="DO38" i="52" s="1"/>
  <c r="R35" i="52" a="1"/>
  <c r="R35" i="52" s="1"/>
  <c r="CG26" i="52" a="1"/>
  <c r="CG26" i="52" s="1"/>
  <c r="DH26" i="52" s="1" a="1"/>
  <c r="DH26" i="52" s="1"/>
  <c r="CG38" i="52" a="1"/>
  <c r="CG38" i="52" s="1"/>
  <c r="DH38" i="52" s="1" a="1"/>
  <c r="DH38" i="52" s="1"/>
  <c r="R51" i="52" a="1"/>
  <c r="R51" i="52" s="1"/>
  <c r="R43" i="52" a="1"/>
  <c r="R43" i="52" s="1"/>
  <c r="R22" i="52" a="1"/>
  <c r="R22" i="52" s="1"/>
  <c r="R23" i="52" a="1"/>
  <c r="R23" i="52" s="1"/>
  <c r="BD15" i="52" a="1"/>
  <c r="BD15" i="52" s="1"/>
  <c r="BE15" i="52" s="1" a="1"/>
  <c r="BE15" i="52" s="1"/>
  <c r="BF15" i="52" s="1" a="1"/>
  <c r="BF15" i="52" s="1"/>
  <c r="R55" i="52" a="1"/>
  <c r="R55" i="52" s="1"/>
  <c r="CU57" i="52" a="1"/>
  <c r="CU57" i="52" s="1"/>
  <c r="DV57" i="52" s="1" a="1"/>
  <c r="DV57" i="52" s="1"/>
  <c r="CJ61" i="52" a="1"/>
  <c r="CJ61" i="52" s="1"/>
  <c r="DK61" i="52" s="1" a="1"/>
  <c r="DK61" i="52" s="1"/>
  <c r="CJ57" i="52" a="1"/>
  <c r="CJ57" i="52" s="1"/>
  <c r="DK57" i="52" s="1" a="1"/>
  <c r="DK57" i="52" s="1"/>
  <c r="CM22" i="52" a="1"/>
  <c r="CM22" i="52" s="1"/>
  <c r="DN22" i="52" s="1" a="1"/>
  <c r="DN22" i="52" s="1"/>
  <c r="DA45" i="52" a="1"/>
  <c r="DA45" i="52" s="1"/>
  <c r="EB45" i="52" s="1" a="1"/>
  <c r="EB45" i="52" s="1"/>
  <c r="CN45" i="52" a="1"/>
  <c r="CN45" i="52" s="1"/>
  <c r="DO45" i="52" s="1" a="1"/>
  <c r="DO45" i="52" s="1"/>
  <c r="CN24" i="52" a="1"/>
  <c r="CN24" i="52" s="1"/>
  <c r="DO24" i="52" s="1" a="1"/>
  <c r="DO24" i="52" s="1"/>
  <c r="DA24" i="52" a="1"/>
  <c r="DA24" i="52" s="1"/>
  <c r="EB24" i="52" s="1" a="1"/>
  <c r="EB24" i="52" s="1"/>
  <c r="V13" i="52" a="1"/>
  <c r="V13" i="52" s="1"/>
  <c r="BD13" i="52" s="1" a="1"/>
  <c r="BD13" i="52" s="1"/>
  <c r="CN47" i="52" a="1"/>
  <c r="CN47" i="52" s="1"/>
  <c r="DO47" i="52" s="1" a="1"/>
  <c r="DO47" i="52" s="1"/>
  <c r="DA47" i="52" a="1"/>
  <c r="DA47" i="52" s="1"/>
  <c r="EB47" i="52" s="1" a="1"/>
  <c r="EB47" i="52" s="1"/>
  <c r="CG39" i="52" a="1"/>
  <c r="CG39" i="52" s="1"/>
  <c r="DH39" i="52" s="1" a="1"/>
  <c r="DH39" i="52" s="1"/>
  <c r="CG37" i="52" a="1"/>
  <c r="CG37" i="52" s="1"/>
  <c r="DH37" i="52" s="1" a="1"/>
  <c r="DH37" i="52" s="1"/>
  <c r="R36" i="52" a="1"/>
  <c r="R36" i="52" s="1"/>
  <c r="BM26" i="52" s="1" a="1"/>
  <c r="BM26" i="52" s="1"/>
  <c r="R37" i="52" a="1"/>
  <c r="R37" i="52" s="1"/>
  <c r="R19" i="52" a="1"/>
  <c r="R19" i="52" s="1"/>
  <c r="CG31" i="52" a="1"/>
  <c r="CG31" i="52" s="1"/>
  <c r="DH31" i="52" s="1" a="1"/>
  <c r="DH31" i="52" s="1"/>
  <c r="CG30" i="52" a="1"/>
  <c r="CG30" i="52" s="1"/>
  <c r="DH30" i="52" s="1" a="1"/>
  <c r="DH30" i="52" s="1"/>
  <c r="CG21" i="52" a="1"/>
  <c r="CG21" i="52" s="1"/>
  <c r="DH21" i="52" s="1" a="1"/>
  <c r="DH21" i="52" s="1"/>
  <c r="CG29" i="52" a="1"/>
  <c r="CG29" i="52" s="1"/>
  <c r="DH29" i="52" s="1" a="1"/>
  <c r="DH29" i="52" s="1"/>
  <c r="R14" i="52" a="1"/>
  <c r="R14" i="52" s="1"/>
  <c r="R52" i="52" a="1"/>
  <c r="R52" i="52" s="1"/>
  <c r="BM61" i="52" s="1" a="1"/>
  <c r="BM61" i="52" s="1"/>
  <c r="CM41" i="52" a="1"/>
  <c r="CM41" i="52" s="1"/>
  <c r="DN41" i="52" s="1" a="1"/>
  <c r="DN41" i="52" s="1"/>
  <c r="CM32" i="52" a="1"/>
  <c r="CM32" i="52" s="1"/>
  <c r="DN32" i="52" s="1" a="1"/>
  <c r="DN32" i="52" s="1"/>
  <c r="R15" i="52" a="1"/>
  <c r="R15" i="52" s="1"/>
  <c r="R44" i="52" a="1"/>
  <c r="R44" i="52" s="1"/>
  <c r="CN40" i="52" a="1"/>
  <c r="CN40" i="52" s="1"/>
  <c r="DO40" i="52" s="1" a="1"/>
  <c r="DO40" i="52" s="1"/>
  <c r="DA40" i="52" a="1"/>
  <c r="DA40" i="52" s="1"/>
  <c r="EB40" i="52" s="1" a="1"/>
  <c r="EB40" i="52" s="1"/>
  <c r="R57" i="52" a="1"/>
  <c r="R57" i="52" s="1"/>
  <c r="R17" i="52" a="1"/>
  <c r="R17" i="52" s="1"/>
  <c r="S12" i="52" a="1"/>
  <c r="S12" i="52" s="1"/>
  <c r="AL12" i="52" s="1" a="1"/>
  <c r="AL12" i="52" s="1"/>
  <c r="CG40" i="52" a="1"/>
  <c r="CG40" i="52" s="1"/>
  <c r="DH40" i="52" s="1" a="1"/>
  <c r="DH40" i="52" s="1"/>
  <c r="U56" i="52" a="1"/>
  <c r="U56" i="52" s="1"/>
  <c r="R46" i="52" a="1"/>
  <c r="R46" i="52" s="1"/>
  <c r="V12" i="52" a="1"/>
  <c r="V12" i="52" s="1"/>
  <c r="BD12" i="52" s="1" a="1"/>
  <c r="BD12" i="52" s="1"/>
  <c r="BE12" i="52" s="1" a="1"/>
  <c r="BE12" i="52" s="1"/>
  <c r="BF12" i="52" s="1" a="1"/>
  <c r="BF12" i="52" s="1"/>
  <c r="AC12" i="52" a="1"/>
  <c r="AC12" i="52" s="1"/>
  <c r="AD12" i="52" s="1" a="1"/>
  <c r="AD12" i="52" s="1"/>
  <c r="AE12" i="52" s="1" a="1"/>
  <c r="AE12" i="52" s="1"/>
  <c r="AO12" i="52" s="1" a="1"/>
  <c r="AO12" i="52" s="1"/>
  <c r="AP12" i="52" s="1" a="1"/>
  <c r="AP12" i="52" s="1"/>
  <c r="AQ12" i="52" s="1" a="1"/>
  <c r="AQ12" i="52" s="1"/>
  <c r="CM37" i="52" a="1"/>
  <c r="CM37" i="52" s="1"/>
  <c r="DN37" i="52" s="1" a="1"/>
  <c r="DN37" i="52" s="1"/>
  <c r="CG22" i="52" a="1"/>
  <c r="CG22" i="52" s="1"/>
  <c r="DH22" i="52" s="1" a="1"/>
  <c r="DH22" i="52" s="1"/>
  <c r="CM27" i="52" a="1"/>
  <c r="CM27" i="52" s="1"/>
  <c r="DN27" i="52" s="1" a="1"/>
  <c r="DN27" i="52" s="1"/>
  <c r="R64" i="52" a="1"/>
  <c r="R64" i="52" s="1"/>
  <c r="CM28" i="52" a="1"/>
  <c r="CM28" i="52" s="1"/>
  <c r="DN28" i="52" s="1" a="1"/>
  <c r="DN28" i="52" s="1"/>
  <c r="Y17" i="52" a="1"/>
  <c r="Y17" i="52" s="1"/>
  <c r="BV17" i="52" s="1" a="1"/>
  <c r="BV17" i="52" s="1"/>
  <c r="BW17" i="52" s="1" a="1"/>
  <c r="BW17" i="52" s="1"/>
  <c r="BX17" i="52" s="1" a="1"/>
  <c r="BX17" i="52" s="1"/>
  <c r="AU17" i="52" a="1"/>
  <c r="AU17" i="52" s="1"/>
  <c r="U35" i="52" a="1"/>
  <c r="U35" i="52" s="1"/>
  <c r="R16" i="52" a="1"/>
  <c r="R16" i="52" s="1"/>
  <c r="CU51" i="52" a="1"/>
  <c r="CU51" i="52" s="1"/>
  <c r="DV51" i="52" s="1" a="1"/>
  <c r="DV51" i="52" s="1"/>
  <c r="R20" i="52" a="1"/>
  <c r="R20" i="52" s="1"/>
  <c r="U38" i="52" a="1"/>
  <c r="U38" i="52" s="1"/>
  <c r="CJ55" i="52" a="1"/>
  <c r="CJ55" i="52" s="1"/>
  <c r="DK55" i="52" s="1" a="1"/>
  <c r="DK55" i="52" s="1"/>
  <c r="CJ51" i="52" a="1"/>
  <c r="CJ51" i="52" s="1"/>
  <c r="DK51" i="52" s="1" a="1"/>
  <c r="DK51" i="52" s="1"/>
  <c r="X55" i="52" a="1"/>
  <c r="X55" i="52" s="1"/>
  <c r="U21" i="52" a="1"/>
  <c r="U21" i="52" s="1"/>
  <c r="U34" i="52" a="1"/>
  <c r="U34" i="52" s="1"/>
  <c r="AC18" i="52" s="1" a="1"/>
  <c r="AC18" i="52" s="1"/>
  <c r="CN59" i="52" a="1"/>
  <c r="CN59" i="52" s="1"/>
  <c r="DO59" i="52" s="1" a="1"/>
  <c r="DO59" i="52" s="1"/>
  <c r="CH61" i="52" a="1"/>
  <c r="CH61" i="52" s="1"/>
  <c r="DI61" i="52" s="1" a="1"/>
  <c r="DI61" i="52" s="1"/>
  <c r="U57" i="52" a="1"/>
  <c r="U57" i="52" s="1"/>
  <c r="U33" i="52" a="1"/>
  <c r="U33" i="52" s="1"/>
  <c r="AC24" i="52" s="1" a="1"/>
  <c r="AC24" i="52" s="1"/>
  <c r="CJ52" i="52" a="1"/>
  <c r="CJ52" i="52" s="1"/>
  <c r="DK52" i="52" s="1" a="1"/>
  <c r="DK52" i="52" s="1"/>
  <c r="CJ56" i="52" a="1"/>
  <c r="CJ56" i="52" s="1"/>
  <c r="DK56" i="52" s="1" a="1"/>
  <c r="DK56" i="52" s="1"/>
  <c r="X52" i="52" a="1"/>
  <c r="X52" i="52" s="1"/>
  <c r="CG47" i="52" a="1"/>
  <c r="CG47" i="52" s="1"/>
  <c r="DH47" i="52" s="1" a="1"/>
  <c r="DH47" i="52" s="1"/>
  <c r="X29" i="52" a="1"/>
  <c r="X29" i="52" s="1"/>
  <c r="X28" i="52" a="1"/>
  <c r="X28" i="52" s="1"/>
  <c r="CO13" i="52" a="1"/>
  <c r="CO13" i="52" s="1"/>
  <c r="DP13" i="52" s="1" a="1"/>
  <c r="DP13" i="52" s="1"/>
  <c r="CM13" i="52" a="1"/>
  <c r="CM13" i="52" s="1"/>
  <c r="DN13" i="52" s="1" a="1"/>
  <c r="DN13" i="52" s="1"/>
  <c r="CG48" i="52" a="1"/>
  <c r="CG48" i="52" s="1"/>
  <c r="DH48" i="52" s="1" a="1"/>
  <c r="DH48" i="52" s="1"/>
  <c r="CY60" i="52" a="1"/>
  <c r="CY60" i="52" s="1"/>
  <c r="DZ60" i="52" s="1" a="1"/>
  <c r="DZ60" i="52" s="1"/>
  <c r="CM60" i="52" a="1"/>
  <c r="CM60" i="52" s="1"/>
  <c r="DN60" i="52" s="1" a="1"/>
  <c r="DN60" i="52" s="1"/>
  <c r="CG49" i="52" a="1"/>
  <c r="CG49" i="52" s="1"/>
  <c r="DH49" i="52" s="1" a="1"/>
  <c r="DH49" i="52" s="1"/>
  <c r="CN53" i="52" a="1"/>
  <c r="CN53" i="52" s="1"/>
  <c r="DO53" i="52" s="1" a="1"/>
  <c r="DO53" i="52" s="1"/>
  <c r="X61" i="52" a="1"/>
  <c r="X61" i="52" s="1"/>
  <c r="AU59" i="52" s="1" a="1"/>
  <c r="AU59" i="52" s="1"/>
  <c r="X50" i="52" a="1"/>
  <c r="X50" i="52" s="1"/>
  <c r="X51" i="52" a="1"/>
  <c r="X51" i="52" s="1"/>
  <c r="X35" i="52" a="1"/>
  <c r="X35" i="52" s="1"/>
  <c r="U63" i="52" a="1"/>
  <c r="U63" i="52" s="1"/>
  <c r="X58" i="52" a="1"/>
  <c r="X58" i="52" s="1"/>
  <c r="CX48" i="52" a="1"/>
  <c r="CX48" i="52" s="1"/>
  <c r="DY48" i="52" s="1" a="1"/>
  <c r="DY48" i="52" s="1"/>
  <c r="CH60" i="52" a="1"/>
  <c r="CH60" i="52" s="1"/>
  <c r="DI60" i="52" s="1" a="1"/>
  <c r="DI60" i="52" s="1"/>
  <c r="X31" i="52" a="1"/>
  <c r="X31" i="52" s="1"/>
  <c r="CO52" i="52" a="1"/>
  <c r="CO52" i="52" s="1"/>
  <c r="DP52" i="52" s="1" a="1"/>
  <c r="DP52" i="52" s="1"/>
  <c r="CM52" i="52" a="1"/>
  <c r="CM52" i="52" s="1"/>
  <c r="DN52" i="52" s="1" a="1"/>
  <c r="DN52" i="52" s="1"/>
  <c r="CG46" i="52" a="1"/>
  <c r="CG46" i="52" s="1"/>
  <c r="DH46" i="52" s="1" a="1"/>
  <c r="DH46" i="52" s="1"/>
  <c r="U20" i="52" a="1"/>
  <c r="U20" i="52" s="1"/>
  <c r="U17" i="52" a="1"/>
  <c r="U17" i="52" s="1"/>
  <c r="X62" i="52" a="1"/>
  <c r="X62" i="52" s="1"/>
  <c r="AU44" i="52" s="1" a="1"/>
  <c r="AU44" i="52" s="1"/>
  <c r="X49" i="52" a="1"/>
  <c r="X49" i="52" s="1"/>
  <c r="X37" i="52" a="1"/>
  <c r="X37" i="52" s="1"/>
  <c r="CG14" i="52" a="1"/>
  <c r="CG14" i="52" s="1"/>
  <c r="DH14" i="52" s="1" a="1"/>
  <c r="DH14" i="52" s="1"/>
  <c r="CG15" i="52" a="1"/>
  <c r="CG15" i="52" s="1"/>
  <c r="DH15" i="52" s="1" a="1"/>
  <c r="DH15" i="52" s="1"/>
  <c r="U27" i="52" a="1"/>
  <c r="U27" i="52" s="1"/>
  <c r="CM43" i="52" a="1"/>
  <c r="CM43" i="52" s="1"/>
  <c r="DN43" i="52" s="1" a="1"/>
  <c r="DN43" i="52" s="1"/>
  <c r="CG58" i="52" a="1"/>
  <c r="CG58" i="52" s="1"/>
  <c r="DH58" i="52" s="1" a="1"/>
  <c r="DH58" i="52" s="1"/>
  <c r="AM47" i="52" l="1" a="1"/>
  <c r="AM47" i="52" s="1"/>
  <c r="AN47" i="52" s="1" a="1"/>
  <c r="AN47" i="52" s="1"/>
  <c r="CR65" i="52" a="1"/>
  <c r="CR65" i="52" s="1"/>
  <c r="DS65" i="52" s="1" a="1"/>
  <c r="DS65" i="52" s="1"/>
  <c r="DO65" i="52" a="1"/>
  <c r="DO65" i="52" s="1"/>
  <c r="CN33" i="52" a="1"/>
  <c r="CN33" i="52" s="1"/>
  <c r="DO33" i="52" s="1" a="1"/>
  <c r="DO33" i="52" s="1"/>
  <c r="CN20" i="52" a="1"/>
  <c r="CN20" i="52" s="1"/>
  <c r="DO20" i="52" s="1" a="1"/>
  <c r="DO20" i="52" s="1"/>
  <c r="CN39" i="52" a="1"/>
  <c r="CN39" i="52" s="1"/>
  <c r="DO39" i="52" s="1" a="1"/>
  <c r="DO39" i="52" s="1"/>
  <c r="AM21" i="52" a="1"/>
  <c r="AM21" i="52" s="1"/>
  <c r="CX61" i="52" a="1"/>
  <c r="CX61" i="52" s="1"/>
  <c r="DY61" i="52" s="1" a="1"/>
  <c r="DY61" i="52" s="1"/>
  <c r="CH63" i="52" a="1"/>
  <c r="CH63" i="52" s="1"/>
  <c r="DI63" i="52" s="1" a="1"/>
  <c r="DI63" i="52" s="1"/>
  <c r="DH63" i="52" a="1"/>
  <c r="DH63" i="52" s="1"/>
  <c r="CY52" i="52" a="1"/>
  <c r="CY52" i="52" s="1"/>
  <c r="DZ52" i="52" s="1" a="1"/>
  <c r="DZ52" i="52" s="1"/>
  <c r="DH53" i="52" a="1"/>
  <c r="DH53" i="52" s="1"/>
  <c r="CX63" i="52" a="1"/>
  <c r="CX63" i="52" s="1"/>
  <c r="DY63" i="52" s="1" a="1"/>
  <c r="DY63" i="52" s="1"/>
  <c r="CK21" i="52" a="1"/>
  <c r="CK21" i="52" s="1"/>
  <c r="DL21" i="52" s="1" a="1"/>
  <c r="DL21" i="52" s="1"/>
  <c r="CY43" i="52" a="1"/>
  <c r="CY43" i="52" s="1"/>
  <c r="DZ43" i="52" s="1" a="1"/>
  <c r="DZ43" i="52" s="1"/>
  <c r="DH56" i="52" a="1"/>
  <c r="DH56" i="52" s="1"/>
  <c r="DA59" i="52" a="1"/>
  <c r="DA59" i="52" s="1"/>
  <c r="EB59" i="52" s="1" a="1"/>
  <c r="EB59" i="52" s="1"/>
  <c r="DN59" i="52" a="1"/>
  <c r="DN59" i="52" s="1"/>
  <c r="DA25" i="52" a="1"/>
  <c r="DA25" i="52" s="1"/>
  <c r="EB25" i="52" s="1" a="1"/>
  <c r="EB25" i="52" s="1"/>
  <c r="DA21" i="52" a="1"/>
  <c r="DA21" i="52" s="1"/>
  <c r="EB21" i="52" s="1" a="1"/>
  <c r="EB21" i="52" s="1"/>
  <c r="DA20" i="52" a="1"/>
  <c r="DA20" i="52" s="1"/>
  <c r="EB20" i="52" s="1" a="1"/>
  <c r="EB20" i="52" s="1"/>
  <c r="BM21" i="52" a="1"/>
  <c r="BM21" i="52" s="1"/>
  <c r="BN21" i="52" s="1" a="1"/>
  <c r="BN21" i="52" s="1"/>
  <c r="BO21" i="52" s="1" a="1"/>
  <c r="BO21" i="52" s="1"/>
  <c r="BY24" i="52" s="1" a="1"/>
  <c r="BY24" i="52" s="1"/>
  <c r="CX17" i="52" a="1"/>
  <c r="CX17" i="52" s="1"/>
  <c r="DY17" i="52" s="1" a="1"/>
  <c r="DY17" i="52" s="1"/>
  <c r="AM48" i="52" a="1"/>
  <c r="AM48" i="52" s="1"/>
  <c r="CV56" i="52" a="1"/>
  <c r="CV56" i="52" s="1"/>
  <c r="DW56" i="52" s="1" a="1"/>
  <c r="DW56" i="52" s="1"/>
  <c r="DI65" i="52" a="1"/>
  <c r="DI65" i="52" s="1"/>
  <c r="CK64" i="52" a="1"/>
  <c r="CK64" i="52" s="1"/>
  <c r="DK64" i="52" a="1"/>
  <c r="DK64" i="52" s="1"/>
  <c r="CQ57" i="52" a="1"/>
  <c r="CQ57" i="52" s="1"/>
  <c r="DR57" i="52" s="1" a="1"/>
  <c r="DR57" i="52" s="1"/>
  <c r="CH62" i="52" a="1"/>
  <c r="CH62" i="52" s="1"/>
  <c r="AC19" i="52" a="1"/>
  <c r="AC19" i="52" s="1"/>
  <c r="CN58" i="52" a="1"/>
  <c r="CN58" i="52" s="1"/>
  <c r="DO58" i="52" s="1" a="1"/>
  <c r="DO58" i="52" s="1"/>
  <c r="AU19" i="52" a="1"/>
  <c r="AU19" i="52" s="1"/>
  <c r="BA18" i="52" s="1" a="1"/>
  <c r="BA18" i="52" s="1"/>
  <c r="AX18" i="52" s="1" a="1"/>
  <c r="AX18" i="52" s="1"/>
  <c r="AY18" i="52" s="1" a="1"/>
  <c r="AY18" i="52" s="1"/>
  <c r="AZ18" i="52" s="1" a="1"/>
  <c r="AZ18" i="52" s="1"/>
  <c r="AC23" i="52" a="1"/>
  <c r="AC23" i="52" s="1"/>
  <c r="CX58" i="52" a="1"/>
  <c r="CX58" i="52" s="1"/>
  <c r="DY58" i="52" s="1" a="1"/>
  <c r="DY58" i="52" s="1"/>
  <c r="DH54" i="52" a="1"/>
  <c r="DH54" i="52" s="1"/>
  <c r="AM24" i="52" a="1"/>
  <c r="AM24" i="52" s="1"/>
  <c r="DA58" i="52" a="1"/>
  <c r="DA58" i="52" s="1"/>
  <c r="EB58" i="52" s="1" a="1"/>
  <c r="EB58" i="52" s="1"/>
  <c r="CX19" i="52" a="1"/>
  <c r="CX19" i="52" s="1"/>
  <c r="DY19" i="52" s="1" a="1"/>
  <c r="DY19" i="52" s="1"/>
  <c r="CN48" i="52" a="1"/>
  <c r="CN48" i="52" s="1"/>
  <c r="DO48" i="52" s="1" a="1"/>
  <c r="DO48" i="52" s="1"/>
  <c r="CY44" i="52" a="1"/>
  <c r="CY44" i="52" s="1"/>
  <c r="DZ44" i="52" s="1" a="1"/>
  <c r="DZ44" i="52" s="1"/>
  <c r="DA51" i="52" a="1"/>
  <c r="DA51" i="52" s="1"/>
  <c r="EB51" i="52" s="1" a="1"/>
  <c r="EB51" i="52" s="1"/>
  <c r="DN51" i="52" a="1"/>
  <c r="DN51" i="52" s="1"/>
  <c r="AM60" i="52" a="1"/>
  <c r="AM60" i="52" s="1"/>
  <c r="BE60" i="52" a="1"/>
  <c r="BE60" i="52" s="1"/>
  <c r="BF60" i="52" s="1" a="1"/>
  <c r="BF60" i="52" s="1"/>
  <c r="CY57" i="52" a="1"/>
  <c r="CY57" i="52" s="1"/>
  <c r="DZ57" i="52" s="1" a="1"/>
  <c r="DZ57" i="52" s="1"/>
  <c r="BW46" i="52" a="1"/>
  <c r="BW46" i="52" s="1"/>
  <c r="AU65" i="52" a="1"/>
  <c r="AU65" i="52" s="1"/>
  <c r="BA62" i="52" s="1" a="1"/>
  <c r="BA62" i="52" s="1"/>
  <c r="CY23" i="52" a="1"/>
  <c r="CY23" i="52" s="1"/>
  <c r="DZ23" i="52" s="1" a="1"/>
  <c r="DZ23" i="52" s="1"/>
  <c r="BM24" i="52" a="1"/>
  <c r="BM24" i="52" s="1"/>
  <c r="DA49" i="52" a="1"/>
  <c r="DA49" i="52" s="1"/>
  <c r="EB49" i="52" s="1" a="1"/>
  <c r="EB49" i="52" s="1"/>
  <c r="BM27" i="52" a="1"/>
  <c r="BM27" i="52" s="1"/>
  <c r="DA48" i="52" a="1"/>
  <c r="DA48" i="52" s="1"/>
  <c r="EB48" i="52" s="1" a="1"/>
  <c r="EB48" i="52" s="1"/>
  <c r="CH55" i="52" a="1"/>
  <c r="CH55" i="52" s="1"/>
  <c r="DI55" i="52" s="1" a="1"/>
  <c r="DI55" i="52" s="1"/>
  <c r="BE16" i="52" a="1"/>
  <c r="BE16" i="52" s="1"/>
  <c r="CT65" i="52" a="1"/>
  <c r="CT65" i="52" s="1"/>
  <c r="DU65" i="52" s="1" a="1"/>
  <c r="DU65" i="52" s="1"/>
  <c r="DL65" i="52" a="1"/>
  <c r="DL65" i="52" s="1"/>
  <c r="V46" i="52" a="1"/>
  <c r="V46" i="52" s="1"/>
  <c r="BD46" i="52" s="1" a="1"/>
  <c r="BD46" i="52" s="1"/>
  <c r="BE46" i="52" s="1" a="1"/>
  <c r="BE46" i="52" s="1"/>
  <c r="BF46" i="52" s="1" a="1"/>
  <c r="BF46" i="52" s="1"/>
  <c r="CN34" i="52" a="1"/>
  <c r="CN34" i="52" s="1"/>
  <c r="DO34" i="52" s="1" a="1"/>
  <c r="DO34" i="52" s="1"/>
  <c r="BM42" i="52" a="1"/>
  <c r="BM42" i="52" s="1"/>
  <c r="BS49" i="52" s="1" a="1"/>
  <c r="BS49" i="52" s="1"/>
  <c r="CN56" i="52" a="1"/>
  <c r="CN56" i="52" s="1"/>
  <c r="DO56" i="52" s="1" a="1"/>
  <c r="DO56" i="52" s="1"/>
  <c r="DN56" i="52" a="1"/>
  <c r="DN56" i="52" s="1"/>
  <c r="AC62" i="52" a="1"/>
  <c r="AC62" i="52" s="1"/>
  <c r="BE36" i="52" a="1"/>
  <c r="BE36" i="52" s="1"/>
  <c r="CN49" i="52" a="1"/>
  <c r="CN49" i="52" s="1"/>
  <c r="DO49" i="52" s="1" a="1"/>
  <c r="DO49" i="52" s="1"/>
  <c r="DA63" i="52" a="1"/>
  <c r="DA63" i="52" s="1"/>
  <c r="EB63" i="52" s="1" a="1"/>
  <c r="EB63" i="52" s="1"/>
  <c r="CY42" i="52" a="1"/>
  <c r="CY42" i="52" s="1"/>
  <c r="DZ42" i="52" s="1" a="1"/>
  <c r="DZ42" i="52" s="1"/>
  <c r="BW65" i="52" a="1"/>
  <c r="BW65" i="52" s="1"/>
  <c r="CH50" i="52" a="1"/>
  <c r="CH50" i="52" s="1"/>
  <c r="DH50" i="52" a="1"/>
  <c r="DH50" i="52" s="1"/>
  <c r="AC36" i="52" a="1"/>
  <c r="AC36" i="52" s="1"/>
  <c r="AD36" i="52" s="1" a="1"/>
  <c r="AD36" i="52" s="1"/>
  <c r="DB44" i="52" a="1"/>
  <c r="DB44" i="52" s="1"/>
  <c r="EC44" i="52" s="1" a="1"/>
  <c r="EC44" i="52" s="1"/>
  <c r="CK15" i="52" a="1"/>
  <c r="CK15" i="52" s="1"/>
  <c r="DL15" i="52" s="1" a="1"/>
  <c r="DL15" i="52" s="1"/>
  <c r="CN16" i="52" a="1"/>
  <c r="CN16" i="52" s="1"/>
  <c r="DO16" i="52" s="1" a="1"/>
  <c r="DO16" i="52" s="1"/>
  <c r="V62" i="52" a="1"/>
  <c r="V62" i="52" s="1"/>
  <c r="BD62" i="52" s="1" a="1"/>
  <c r="BD62" i="52" s="1"/>
  <c r="CN19" i="52" a="1"/>
  <c r="CN19" i="52" s="1"/>
  <c r="DO19" i="52" s="1" a="1"/>
  <c r="DO19" i="52" s="1"/>
  <c r="AU22" i="52" a="1"/>
  <c r="AU22" i="52" s="1"/>
  <c r="CX22" i="52" a="1"/>
  <c r="CX22" i="52" s="1"/>
  <c r="DY22" i="52" s="1" a="1"/>
  <c r="DY22" i="52" s="1"/>
  <c r="CH36" i="52" a="1"/>
  <c r="CH36" i="52" s="1"/>
  <c r="DI36" i="52" s="1" a="1"/>
  <c r="DI36" i="52" s="1"/>
  <c r="CN29" i="52" a="1"/>
  <c r="CN29" i="52" s="1"/>
  <c r="DO29" i="52" s="1" a="1"/>
  <c r="DO29" i="52" s="1"/>
  <c r="CY40" i="52" a="1"/>
  <c r="CY40" i="52" s="1"/>
  <c r="DZ40" i="52" s="1" a="1"/>
  <c r="DZ40" i="52" s="1"/>
  <c r="AM59" i="52" a="1"/>
  <c r="AM59" i="52" s="1"/>
  <c r="AN59" i="52" s="1" a="1"/>
  <c r="AN59" i="52" s="1"/>
  <c r="BW19" i="52" a="1"/>
  <c r="BW19" i="52" s="1"/>
  <c r="BX19" i="52" s="1" a="1"/>
  <c r="BX19" i="52" s="1"/>
  <c r="BW63" i="52" a="1"/>
  <c r="BW63" i="52" s="1"/>
  <c r="CH34" i="52" a="1"/>
  <c r="CH34" i="52" s="1"/>
  <c r="DI34" i="52" s="1" a="1"/>
  <c r="DI34" i="52" s="1"/>
  <c r="CR19" i="52" a="1"/>
  <c r="CR19" i="52" s="1"/>
  <c r="DS19" i="52" s="1" a="1"/>
  <c r="DS19" i="52" s="1"/>
  <c r="CY36" i="52" a="1"/>
  <c r="CY36" i="52" s="1"/>
  <c r="DZ36" i="52" s="1" a="1"/>
  <c r="DZ36" i="52" s="1"/>
  <c r="DA38" i="52" a="1"/>
  <c r="DA38" i="52" s="1"/>
  <c r="EB38" i="52" s="1" a="1"/>
  <c r="EB38" i="52" s="1"/>
  <c r="CX32" i="52" a="1"/>
  <c r="CX32" i="52" s="1"/>
  <c r="DY32" i="52" s="1" a="1"/>
  <c r="DY32" i="52" s="1"/>
  <c r="CH23" i="52" a="1"/>
  <c r="CH23" i="52" s="1"/>
  <c r="DI23" i="52" s="1" a="1"/>
  <c r="DI23" i="52" s="1"/>
  <c r="AC31" i="52" a="1"/>
  <c r="AC31" i="52" s="1"/>
  <c r="AC58" i="52" a="1"/>
  <c r="AC58" i="52" s="1"/>
  <c r="V32" i="52" a="1"/>
  <c r="V32" i="52" s="1"/>
  <c r="BD32" i="52" s="1" a="1"/>
  <c r="BD32" i="52" s="1"/>
  <c r="BE28" i="52" s="1" a="1"/>
  <c r="BE28" i="52" s="1"/>
  <c r="BF28" i="52" s="1" a="1"/>
  <c r="BF28" i="52" s="1"/>
  <c r="BM28" i="52" a="1"/>
  <c r="BM28" i="52" s="1"/>
  <c r="Y32" i="52" a="1"/>
  <c r="Y32" i="52" s="1"/>
  <c r="BV32" i="52" s="1" a="1"/>
  <c r="BV32" i="52" s="1"/>
  <c r="BW32" i="52" s="1" a="1"/>
  <c r="BW32" i="52" s="1"/>
  <c r="BX32" i="52" s="1" a="1"/>
  <c r="BX32" i="52" s="1"/>
  <c r="CT47" i="52" a="1"/>
  <c r="CT47" i="52" s="1"/>
  <c r="DU47" i="52" s="1" a="1"/>
  <c r="DU47" i="52" s="1"/>
  <c r="CK25" i="52" a="1"/>
  <c r="CK25" i="52" s="1"/>
  <c r="DL25" i="52" s="1" a="1"/>
  <c r="DL25" i="52" s="1"/>
  <c r="AF17" i="52" a="1"/>
  <c r="AF17" i="52" s="1"/>
  <c r="AM26" i="52" a="1"/>
  <c r="AM26" i="52" s="1"/>
  <c r="AM53" i="52" a="1"/>
  <c r="AM53" i="52" s="1"/>
  <c r="AN53" i="52" s="1" a="1"/>
  <c r="AN53" i="52" s="1"/>
  <c r="AC59" i="52" a="1"/>
  <c r="AC59" i="52" s="1"/>
  <c r="AC40" i="52" a="1"/>
  <c r="AC40" i="52" s="1"/>
  <c r="AM65" i="52" a="1"/>
  <c r="AM65" i="52" s="1"/>
  <c r="AN65" i="52" s="1" a="1"/>
  <c r="AN65" i="52" s="1"/>
  <c r="BM29" i="52" a="1"/>
  <c r="BM29" i="52" s="1"/>
  <c r="BN29" i="52" s="1" a="1"/>
  <c r="BN29" i="52" s="1"/>
  <c r="BO29" i="52" s="1" a="1"/>
  <c r="BO29" i="52" s="1"/>
  <c r="BY28" i="52" s="1" a="1"/>
  <c r="BY28" i="52" s="1"/>
  <c r="AC13" i="52" a="1"/>
  <c r="AC13" i="52" s="1"/>
  <c r="AD13" i="52" s="1" a="1"/>
  <c r="AD13" i="52" s="1"/>
  <c r="AE13" i="52" s="1" a="1"/>
  <c r="AE13" i="52" s="1"/>
  <c r="AO13" i="52" s="1" a="1"/>
  <c r="AO13" i="52" s="1"/>
  <c r="AP13" i="52" s="1" a="1"/>
  <c r="AP13" i="52" s="1"/>
  <c r="AQ13" i="52" s="1" a="1"/>
  <c r="AQ13" i="52" s="1"/>
  <c r="BW48" i="52" a="1"/>
  <c r="BW48" i="52" s="1"/>
  <c r="BX48" i="52" s="1" a="1"/>
  <c r="BX48" i="52" s="1"/>
  <c r="AC60" i="52" a="1"/>
  <c r="AC60" i="52" s="1"/>
  <c r="AD60" i="52" s="1" a="1"/>
  <c r="AD60" i="52" s="1"/>
  <c r="AE60" i="52" s="1" a="1"/>
  <c r="AE60" i="52" s="1"/>
  <c r="AO60" i="52" s="1" a="1"/>
  <c r="AO60" i="52" s="1"/>
  <c r="AP60" i="52" s="1" a="1"/>
  <c r="AP60" i="52" s="1"/>
  <c r="AQ60" i="52" s="1" a="1"/>
  <c r="AQ60" i="52" s="1"/>
  <c r="CH35" i="52" a="1"/>
  <c r="CH35" i="52" s="1"/>
  <c r="DI35" i="52" s="1" a="1"/>
  <c r="DI35" i="52" s="1"/>
  <c r="AC48" i="52" a="1"/>
  <c r="AC48" i="52" s="1"/>
  <c r="AI49" i="52" s="1" a="1"/>
  <c r="AI49" i="52" s="1"/>
  <c r="DA39" i="52" a="1"/>
  <c r="DA39" i="52" s="1"/>
  <c r="EB39" i="52" s="1" a="1"/>
  <c r="EB39" i="52" s="1"/>
  <c r="CY32" i="52" a="1"/>
  <c r="CY32" i="52" s="1"/>
  <c r="DZ32" i="52" s="1" a="1"/>
  <c r="DZ32" i="52" s="1"/>
  <c r="AC39" i="52" a="1"/>
  <c r="AC39" i="52" s="1"/>
  <c r="AU32" i="52" a="1"/>
  <c r="AU32" i="52" s="1"/>
  <c r="AU24" i="52" a="1"/>
  <c r="AU24" i="52" s="1"/>
  <c r="AV36" i="52" s="1" a="1"/>
  <c r="AV36" i="52" s="1"/>
  <c r="AU13" i="52" a="1"/>
  <c r="AU13" i="52" s="1"/>
  <c r="BM47" i="52" a="1"/>
  <c r="BM47" i="52" s="1"/>
  <c r="DA44" i="52" a="1"/>
  <c r="DA44" i="52" s="1"/>
  <c r="EB44" i="52" s="1" a="1"/>
  <c r="EB44" i="52" s="1"/>
  <c r="AX40" i="52" a="1"/>
  <c r="AX40" i="52" s="1"/>
  <c r="AY40" i="52" s="1" a="1"/>
  <c r="AY40" i="52" s="1"/>
  <c r="AZ40" i="52" s="1" a="1"/>
  <c r="AZ40" i="52" s="1"/>
  <c r="AC43" i="52" a="1"/>
  <c r="AC43" i="52" s="1"/>
  <c r="AD43" i="52" s="1" a="1"/>
  <c r="AD43" i="52" s="1"/>
  <c r="AE43" i="52" s="1" a="1"/>
  <c r="AE43" i="52" s="1"/>
  <c r="AO51" i="52" s="1" a="1"/>
  <c r="AO51" i="52" s="1"/>
  <c r="BM38" i="52" a="1"/>
  <c r="BM38" i="52" s="1"/>
  <c r="BS33" i="52" s="1" a="1"/>
  <c r="BS33" i="52" s="1"/>
  <c r="AC64" i="52" a="1"/>
  <c r="AC64" i="52" s="1"/>
  <c r="AI58" i="52" s="1" a="1"/>
  <c r="AI58" i="52" s="1"/>
  <c r="CH41" i="52" a="1"/>
  <c r="CH41" i="52" s="1"/>
  <c r="DI41" i="52" s="1" a="1"/>
  <c r="DI41" i="52" s="1"/>
  <c r="AC52" i="52" a="1"/>
  <c r="AC52" i="52" s="1"/>
  <c r="AU34" i="52" a="1"/>
  <c r="AU34" i="52" s="1"/>
  <c r="CK35" i="52" a="1"/>
  <c r="CK35" i="52" s="1"/>
  <c r="DL35" i="52" s="1" a="1"/>
  <c r="DL35" i="52" s="1"/>
  <c r="CK34" i="52" a="1"/>
  <c r="CK34" i="52" s="1"/>
  <c r="DL34" i="52" s="1" a="1"/>
  <c r="DL34" i="52" s="1"/>
  <c r="CN44" i="52" a="1"/>
  <c r="CN44" i="52" s="1"/>
  <c r="DO44" i="52" s="1" a="1"/>
  <c r="DO44" i="52" s="1"/>
  <c r="CT50" i="52" a="1"/>
  <c r="CT50" i="52" s="1"/>
  <c r="DU50" i="52" s="1" a="1"/>
  <c r="DU50" i="52" s="1"/>
  <c r="CY38" i="52" a="1"/>
  <c r="CY38" i="52" s="1"/>
  <c r="DZ38" i="52" s="1" a="1"/>
  <c r="DZ38" i="52" s="1"/>
  <c r="BM34" i="52" a="1"/>
  <c r="BM34" i="52" s="1"/>
  <c r="BS35" i="52" s="1" a="1"/>
  <c r="BS35" i="52" s="1"/>
  <c r="AC47" i="52" a="1"/>
  <c r="AC47" i="52" s="1"/>
  <c r="CW47" i="52" a="1"/>
  <c r="CW47" i="52" s="1"/>
  <c r="DX47" i="52" s="1" a="1"/>
  <c r="DX47" i="52" s="1"/>
  <c r="BM39" i="52" a="1"/>
  <c r="BM39" i="52" s="1"/>
  <c r="BN39" i="52" s="1" a="1"/>
  <c r="BN39" i="52" s="1"/>
  <c r="BO39" i="52" s="1" a="1"/>
  <c r="BO39" i="52" s="1"/>
  <c r="BY30" i="52" s="1" a="1"/>
  <c r="BY30" i="52" s="1"/>
  <c r="BM18" i="52" a="1"/>
  <c r="BM18" i="52" s="1"/>
  <c r="CX27" i="52" a="1"/>
  <c r="CX27" i="52" s="1"/>
  <c r="DY27" i="52" s="1" a="1"/>
  <c r="DY27" i="52" s="1"/>
  <c r="AC28" i="52" a="1"/>
  <c r="AC28" i="52" s="1"/>
  <c r="AU21" i="52" a="1"/>
  <c r="AU21" i="52" s="1"/>
  <c r="AC50" i="52" a="1"/>
  <c r="AC50" i="52" s="1"/>
  <c r="CW64" i="52" a="1"/>
  <c r="CW64" i="52" s="1"/>
  <c r="DX64" i="52" s="1" a="1"/>
  <c r="DX64" i="52" s="1"/>
  <c r="CX24" i="52" a="1"/>
  <c r="CX24" i="52" s="1"/>
  <c r="DY24" i="52" s="1" a="1"/>
  <c r="DY24" i="52" s="1"/>
  <c r="AM62" i="52" a="1"/>
  <c r="AM62" i="52" s="1"/>
  <c r="AN62" i="52" s="1" a="1"/>
  <c r="AN62" i="52" s="1"/>
  <c r="BM62" i="52" a="1"/>
  <c r="BM62" i="52" s="1"/>
  <c r="BN62" i="52" s="1" a="1"/>
  <c r="BN62" i="52" s="1"/>
  <c r="BO62" i="52" s="1" a="1"/>
  <c r="BO62" i="52" s="1"/>
  <c r="BY57" i="52" s="1" a="1"/>
  <c r="BY57" i="52" s="1"/>
  <c r="BX46" i="52" a="1"/>
  <c r="BX46" i="52" s="1"/>
  <c r="DB49" i="52" a="1"/>
  <c r="DB49" i="52" s="1"/>
  <c r="EC49" i="52" s="1" a="1"/>
  <c r="EC49" i="52" s="1"/>
  <c r="CP13" i="52" a="1"/>
  <c r="CP13" i="52" s="1"/>
  <c r="DQ13" i="52" s="1" a="1"/>
  <c r="DQ13" i="52" s="1"/>
  <c r="AC54" i="52" a="1"/>
  <c r="AC54" i="52" s="1"/>
  <c r="BW15" i="52" a="1"/>
  <c r="BW15" i="52" s="1"/>
  <c r="CK23" i="52" a="1"/>
  <c r="CK23" i="52" s="1"/>
  <c r="DL23" i="52" s="1" a="1"/>
  <c r="DL23" i="52" s="1"/>
  <c r="CX16" i="52" a="1"/>
  <c r="CX16" i="52" s="1"/>
  <c r="DY16" i="52" s="1" a="1"/>
  <c r="DY16" i="52" s="1"/>
  <c r="CH17" i="52" a="1"/>
  <c r="CH17" i="52" s="1"/>
  <c r="DI17" i="52" s="1" a="1"/>
  <c r="DI17" i="52" s="1"/>
  <c r="AU15" i="52" a="1"/>
  <c r="AU15" i="52" s="1"/>
  <c r="BM32" i="52" a="1"/>
  <c r="BM32" i="52" s="1"/>
  <c r="BS12" i="52" a="1"/>
  <c r="BS12" i="52" s="1"/>
  <c r="BP12" i="52" s="1" a="1"/>
  <c r="BP12" i="52" s="1"/>
  <c r="AD15" i="52" a="1"/>
  <c r="AD15" i="52" s="1"/>
  <c r="AE15" i="52" s="1" a="1"/>
  <c r="AE15" i="52" s="1"/>
  <c r="AO15" i="52" s="1" a="1"/>
  <c r="AO15" i="52" s="1"/>
  <c r="AP15" i="52" s="1" a="1"/>
  <c r="AP15" i="52" s="1"/>
  <c r="AQ15" i="52" s="1" a="1"/>
  <c r="AQ15" i="52" s="1"/>
  <c r="CV57" i="52" a="1"/>
  <c r="CV57" i="52" s="1"/>
  <c r="DW57" i="52" s="1" a="1"/>
  <c r="DW57" i="52" s="1"/>
  <c r="DB47" i="52" a="1"/>
  <c r="DB47" i="52" s="1"/>
  <c r="EC47" i="52" s="1" a="1"/>
  <c r="EC47" i="52" s="1"/>
  <c r="AU12" i="52" a="1"/>
  <c r="AU12" i="52" s="1"/>
  <c r="AV12" i="52" s="1" a="1"/>
  <c r="AV12" i="52" s="1"/>
  <c r="AW12" i="52" s="1" a="1"/>
  <c r="AW12" i="52" s="1"/>
  <c r="BG12" i="52" s="1" a="1"/>
  <c r="BG12" i="52" s="1"/>
  <c r="BH12" i="52" s="1" a="1"/>
  <c r="BH12" i="52" s="1"/>
  <c r="BI12" i="52" s="1" a="1"/>
  <c r="BI12" i="52" s="1"/>
  <c r="CZ65" i="52" a="1"/>
  <c r="CZ65" i="52" s="1"/>
  <c r="EA65" i="52" s="1" a="1"/>
  <c r="EA65" i="52" s="1"/>
  <c r="CY20" i="52" a="1"/>
  <c r="CY20" i="52" s="1"/>
  <c r="DZ20" i="52" s="1" a="1"/>
  <c r="DZ20" i="52" s="1"/>
  <c r="AU41" i="52" a="1"/>
  <c r="AU41" i="52" s="1"/>
  <c r="DA29" i="52" a="1"/>
  <c r="DA29" i="52" s="1"/>
  <c r="EB29" i="52" s="1" a="1"/>
  <c r="EB29" i="52" s="1"/>
  <c r="BM65" i="52" a="1"/>
  <c r="BM65" i="52" s="1"/>
  <c r="BS56" i="52" s="1" a="1"/>
  <c r="BS56" i="52" s="1"/>
  <c r="AU25" i="52" a="1"/>
  <c r="AU25" i="52" s="1"/>
  <c r="CX45" i="52" a="1"/>
  <c r="CX45" i="52" s="1"/>
  <c r="DY45" i="52" s="1" a="1"/>
  <c r="DY45" i="52" s="1"/>
  <c r="I74" i="52" a="1"/>
  <c r="I74" i="52" s="1"/>
  <c r="I75" i="52" s="1" a="1"/>
  <c r="I75" i="52" s="1"/>
  <c r="AM18" i="52" a="1"/>
  <c r="AM18" i="52" s="1"/>
  <c r="AN18" i="52" s="1" a="1"/>
  <c r="AN18" i="52" s="1"/>
  <c r="CK63" i="52" a="1"/>
  <c r="CK63" i="52" s="1"/>
  <c r="CV52" i="52" a="1"/>
  <c r="CV52" i="52" s="1"/>
  <c r="DW52" i="52" s="1" a="1"/>
  <c r="DW52" i="52" s="1"/>
  <c r="AM45" i="52" a="1"/>
  <c r="AM45" i="52" s="1"/>
  <c r="AN45" i="52" s="1" a="1"/>
  <c r="AN45" i="52" s="1"/>
  <c r="DA42" i="52" a="1"/>
  <c r="DA42" i="52" s="1"/>
  <c r="EB42" i="52" s="1" a="1"/>
  <c r="EB42" i="52" s="1"/>
  <c r="CN61" i="52" a="1"/>
  <c r="CN61" i="52" s="1"/>
  <c r="DO61" i="52" s="1" a="1"/>
  <c r="DO61" i="52" s="1"/>
  <c r="DA61" i="52" a="1"/>
  <c r="DA61" i="52" s="1"/>
  <c r="EB61" i="52" s="1" a="1"/>
  <c r="EB61" i="52" s="1"/>
  <c r="DA15" i="52" a="1"/>
  <c r="DA15" i="52" s="1"/>
  <c r="EB15" i="52" s="1" a="1"/>
  <c r="EB15" i="52" s="1"/>
  <c r="AF46" i="52" a="1"/>
  <c r="AF46" i="52" s="1"/>
  <c r="AG46" i="52" s="1" a="1"/>
  <c r="AG46" i="52" s="1"/>
  <c r="AH46" i="52" s="1" a="1"/>
  <c r="AH46" i="52" s="1"/>
  <c r="Y16" i="52" a="1"/>
  <c r="Y16" i="52" s="1"/>
  <c r="BV16" i="52" s="1" a="1"/>
  <c r="BV16" i="52" s="1"/>
  <c r="BW16" i="52" s="1" a="1"/>
  <c r="BW16" i="52" s="1"/>
  <c r="BX16" i="52" s="1" a="1"/>
  <c r="BX16" i="52" s="1"/>
  <c r="DA56" i="52" a="1"/>
  <c r="DA56" i="52" s="1"/>
  <c r="EB56" i="52" s="1" a="1"/>
  <c r="EB56" i="52" s="1"/>
  <c r="CK54" i="52" a="1"/>
  <c r="CK54" i="52" s="1"/>
  <c r="CX29" i="52" a="1"/>
  <c r="CX29" i="52" s="1"/>
  <c r="DY29" i="52" s="1" a="1"/>
  <c r="DY29" i="52" s="1"/>
  <c r="CK53" i="52" a="1"/>
  <c r="CK53" i="52" s="1"/>
  <c r="DL53" i="52" s="1" a="1"/>
  <c r="DL53" i="52" s="1"/>
  <c r="CX59" i="52" a="1"/>
  <c r="CX59" i="52" s="1"/>
  <c r="DY59" i="52" s="1" a="1"/>
  <c r="DY59" i="52" s="1"/>
  <c r="CK62" i="52" a="1"/>
  <c r="CK62" i="52" s="1"/>
  <c r="DL62" i="52" s="1" a="1"/>
  <c r="DL62" i="52" s="1"/>
  <c r="CX55" i="52" a="1"/>
  <c r="CX55" i="52" s="1"/>
  <c r="DY55" i="52" s="1" a="1"/>
  <c r="DY55" i="52" s="1"/>
  <c r="AU20" i="52" a="1"/>
  <c r="AU20" i="52" s="1"/>
  <c r="CN63" i="52" a="1"/>
  <c r="CN63" i="52" s="1"/>
  <c r="DO63" i="52" s="1" a="1"/>
  <c r="DO63" i="52" s="1"/>
  <c r="CY54" i="52" a="1"/>
  <c r="CY54" i="52" s="1"/>
  <c r="DZ54" i="52" s="1" a="1"/>
  <c r="DZ54" i="52" s="1"/>
  <c r="CP65" i="52" a="1"/>
  <c r="CP65" i="52" s="1"/>
  <c r="DQ65" i="52" s="1" a="1"/>
  <c r="DQ65" i="52" s="1"/>
  <c r="CK58" i="52" a="1"/>
  <c r="CK58" i="52" s="1"/>
  <c r="CX64" i="52" a="1"/>
  <c r="CX64" i="52" s="1"/>
  <c r="DY64" i="52" s="1" a="1"/>
  <c r="DY64" i="52" s="1"/>
  <c r="CK59" i="52" a="1"/>
  <c r="CK59" i="52" s="1"/>
  <c r="DL59" i="52" s="1" a="1"/>
  <c r="DL59" i="52" s="1"/>
  <c r="AU56" i="52" a="1"/>
  <c r="AU56" i="52" s="1"/>
  <c r="BA60" i="52" s="1" a="1"/>
  <c r="BA60" i="52" s="1"/>
  <c r="DA55" i="52" a="1"/>
  <c r="DA55" i="52" s="1"/>
  <c r="EB55" i="52" s="1" a="1"/>
  <c r="EB55" i="52" s="1"/>
  <c r="CN14" i="52" a="1"/>
  <c r="CN14" i="52" s="1"/>
  <c r="DO14" i="52" s="1" a="1"/>
  <c r="DO14" i="52" s="1"/>
  <c r="DA14" i="52" a="1"/>
  <c r="DA14" i="52" s="1"/>
  <c r="EB14" i="52" s="1" a="1"/>
  <c r="EB14" i="52" s="1"/>
  <c r="DA19" i="52" a="1"/>
  <c r="DA19" i="52" s="1"/>
  <c r="EB19" i="52" s="1" a="1"/>
  <c r="EB19" i="52" s="1"/>
  <c r="CN57" i="52" a="1"/>
  <c r="CN57" i="52" s="1"/>
  <c r="DO57" i="52" s="1" a="1"/>
  <c r="DO57" i="52" s="1"/>
  <c r="CN31" i="52" a="1"/>
  <c r="CN31" i="52" s="1"/>
  <c r="DO31" i="52" s="1" a="1"/>
  <c r="DO31" i="52" s="1"/>
  <c r="BM56" i="52" a="1"/>
  <c r="BM56" i="52" s="1"/>
  <c r="BN56" i="52" s="1" a="1"/>
  <c r="BN56" i="52" s="1"/>
  <c r="BO56" i="52" s="1" a="1"/>
  <c r="BO56" i="52" s="1"/>
  <c r="BY56" i="52" s="1" a="1"/>
  <c r="BY56" i="52" s="1"/>
  <c r="BZ56" i="52" s="1" a="1"/>
  <c r="BZ56" i="52" s="1"/>
  <c r="CA56" i="52" s="1" a="1"/>
  <c r="CA56" i="52" s="1"/>
  <c r="CN55" i="52" a="1"/>
  <c r="CN55" i="52" s="1"/>
  <c r="DO55" i="52" s="1" a="1"/>
  <c r="DO55" i="52" s="1"/>
  <c r="CY12" i="52" a="1"/>
  <c r="CY12" i="52" s="1"/>
  <c r="DZ12" i="52" s="1" a="1"/>
  <c r="DZ12" i="52" s="1"/>
  <c r="CH13" i="52" a="1"/>
  <c r="CH13" i="52" s="1"/>
  <c r="DI13" i="52" s="1" a="1"/>
  <c r="DI13" i="52" s="1"/>
  <c r="CP64" i="52" a="1"/>
  <c r="CP64" i="52" s="1"/>
  <c r="DQ64" i="52" s="1" a="1"/>
  <c r="DQ64" i="52" s="1"/>
  <c r="AV14" i="52" a="1"/>
  <c r="AV14" i="52" s="1"/>
  <c r="AW14" i="52" s="1" a="1"/>
  <c r="AW14" i="52" s="1"/>
  <c r="BG14" i="52" s="1" a="1"/>
  <c r="BG14" i="52" s="1"/>
  <c r="BH14" i="52" s="1" a="1"/>
  <c r="BH14" i="52" s="1"/>
  <c r="BI14" i="52" s="1" a="1"/>
  <c r="BI14" i="52" s="1"/>
  <c r="BA13" i="52" a="1"/>
  <c r="BA13" i="52" s="1"/>
  <c r="AX13" i="52" s="1" a="1"/>
  <c r="AX13" i="52" s="1"/>
  <c r="CT35" i="52" a="1"/>
  <c r="CT35" i="52" s="1"/>
  <c r="DU35" i="52" s="1" a="1"/>
  <c r="DU35" i="52" s="1"/>
  <c r="CW65" i="52" a="1"/>
  <c r="CW65" i="52" s="1"/>
  <c r="DX65" i="52" s="1" a="1"/>
  <c r="DX65" i="52" s="1"/>
  <c r="CW60" i="52" a="1"/>
  <c r="CW60" i="52" s="1"/>
  <c r="DX60" i="52" s="1" a="1"/>
  <c r="DX60" i="52" s="1"/>
  <c r="CR54" i="52" a="1"/>
  <c r="CR54" i="52" s="1"/>
  <c r="DS54" i="52" s="1" a="1"/>
  <c r="DS54" i="52" s="1"/>
  <c r="CZ54" i="52" a="1"/>
  <c r="CZ54" i="52" s="1"/>
  <c r="EA54" i="52" s="1" a="1"/>
  <c r="EA54" i="52" s="1"/>
  <c r="DA46" i="52" a="1"/>
  <c r="DA46" i="52" s="1"/>
  <c r="EB46" i="52" s="1" a="1"/>
  <c r="EB46" i="52" s="1"/>
  <c r="CH33" i="52" a="1"/>
  <c r="CH33" i="52" s="1"/>
  <c r="DI33" i="52" s="1" a="1"/>
  <c r="DI33" i="52" s="1"/>
  <c r="CN12" i="52" a="1"/>
  <c r="CN12" i="52" s="1"/>
  <c r="DO12" i="52" s="1" a="1"/>
  <c r="DO12" i="52" s="1"/>
  <c r="BM53" i="52" a="1"/>
  <c r="BM53" i="52" s="1"/>
  <c r="BN53" i="52" s="1" a="1"/>
  <c r="BN53" i="52" s="1"/>
  <c r="BO53" i="52" s="1" a="1"/>
  <c r="BO53" i="52" s="1"/>
  <c r="BY52" i="52" s="1" a="1"/>
  <c r="BY52" i="52" s="1"/>
  <c r="AC26" i="52" a="1"/>
  <c r="AC26" i="52" s="1"/>
  <c r="AD18" i="52" s="1" a="1"/>
  <c r="AD18" i="52" s="1"/>
  <c r="CY37" i="52" a="1"/>
  <c r="CY37" i="52" s="1"/>
  <c r="DZ37" i="52" s="1" a="1"/>
  <c r="DZ37" i="52" s="1"/>
  <c r="AU46" i="52" a="1"/>
  <c r="AU46" i="52" s="1"/>
  <c r="CN51" i="52" a="1"/>
  <c r="CN51" i="52" s="1"/>
  <c r="DO51" i="52" s="1" a="1"/>
  <c r="DO51" i="52" s="1"/>
  <c r="DB51" i="52" a="1"/>
  <c r="DB51" i="52" s="1"/>
  <c r="EC51" i="52" s="1" a="1"/>
  <c r="EC51" i="52" s="1"/>
  <c r="CY35" i="52" a="1"/>
  <c r="CY35" i="52" s="1"/>
  <c r="DZ35" i="52" s="1" a="1"/>
  <c r="DZ35" i="52" s="1"/>
  <c r="CY22" i="52" a="1"/>
  <c r="CY22" i="52" s="1"/>
  <c r="DZ22" i="52" s="1" a="1"/>
  <c r="DZ22" i="52" s="1"/>
  <c r="CW13" i="52" a="1"/>
  <c r="CW13" i="52" s="1"/>
  <c r="DX13" i="52" s="1" a="1"/>
  <c r="DX13" i="52" s="1"/>
  <c r="AU16" i="52" a="1"/>
  <c r="AU16" i="52" s="1"/>
  <c r="AV16" i="52" s="1" a="1"/>
  <c r="AV16" i="52" s="1"/>
  <c r="DA57" i="52" a="1"/>
  <c r="DA57" i="52" s="1"/>
  <c r="EB57" i="52" s="1" a="1"/>
  <c r="EB57" i="52" s="1"/>
  <c r="CN23" i="52" a="1"/>
  <c r="CN23" i="52" s="1"/>
  <c r="DO23" i="52" s="1" a="1"/>
  <c r="DO23" i="52" s="1"/>
  <c r="CW35" i="52" a="1"/>
  <c r="CW35" i="52" s="1"/>
  <c r="DX35" i="52" s="1" a="1"/>
  <c r="DX35" i="52" s="1"/>
  <c r="DB59" i="52" a="1"/>
  <c r="DB59" i="52" s="1"/>
  <c r="EC59" i="52" s="1" a="1"/>
  <c r="EC59" i="52" s="1"/>
  <c r="AU54" i="52" a="1"/>
  <c r="AU54" i="52" s="1"/>
  <c r="CN50" i="52" a="1"/>
  <c r="CN50" i="52" s="1"/>
  <c r="CX38" i="52" a="1"/>
  <c r="CX38" i="52" s="1"/>
  <c r="DY38" i="52" s="1" a="1"/>
  <c r="DY38" i="52" s="1"/>
  <c r="BM58" i="52" a="1"/>
  <c r="BM58" i="52" s="1"/>
  <c r="BS59" i="52" s="1" a="1"/>
  <c r="BS59" i="52" s="1"/>
  <c r="BP59" i="52" s="1" a="1"/>
  <c r="BP59" i="52" s="1"/>
  <c r="BQ59" i="52" s="1" a="1"/>
  <c r="BQ59" i="52" s="1"/>
  <c r="BR59" i="52" s="1" a="1"/>
  <c r="BR59" i="52" s="1"/>
  <c r="DA50" i="52" a="1"/>
  <c r="DA50" i="52" s="1"/>
  <c r="EB50" i="52" s="1" a="1"/>
  <c r="EB50" i="52" s="1"/>
  <c r="CY16" i="52" a="1"/>
  <c r="CY16" i="52" s="1"/>
  <c r="DZ16" i="52" s="1" a="1"/>
  <c r="DZ16" i="52" s="1"/>
  <c r="CK46" i="52" a="1"/>
  <c r="CK46" i="52" s="1"/>
  <c r="DL46" i="52" s="1" a="1"/>
  <c r="DL46" i="52" s="1"/>
  <c r="AC16" i="52" a="1"/>
  <c r="AC16" i="52" s="1"/>
  <c r="DA34" i="52" a="1"/>
  <c r="DA34" i="52" s="1"/>
  <c r="EB34" i="52" s="1" a="1"/>
  <c r="EB34" i="52" s="1"/>
  <c r="CT13" i="52" a="1"/>
  <c r="CT13" i="52" s="1"/>
  <c r="DU13" i="52" s="1" a="1"/>
  <c r="DU13" i="52" s="1"/>
  <c r="V47" i="52" a="1"/>
  <c r="V47" i="52" s="1"/>
  <c r="BD47" i="52" s="1" a="1"/>
  <c r="BD47" i="52" s="1"/>
  <c r="BF55" i="52" s="1" a="1"/>
  <c r="BF55" i="52" s="1"/>
  <c r="AD49" i="52" a="1"/>
  <c r="AD49" i="52" s="1"/>
  <c r="BW22" i="52" a="1"/>
  <c r="BW22" i="52" s="1"/>
  <c r="CY48" i="52" a="1"/>
  <c r="CY48" i="52" s="1"/>
  <c r="DZ48" i="52" s="1" a="1"/>
  <c r="DZ48" i="52" s="1"/>
  <c r="AC61" i="52" a="1"/>
  <c r="AC61" i="52" s="1"/>
  <c r="AI43" i="52" s="1" a="1"/>
  <c r="AI43" i="52" s="1"/>
  <c r="AF43" i="52" s="1" a="1"/>
  <c r="AF43" i="52" s="1"/>
  <c r="AG43" i="52" s="1" a="1"/>
  <c r="AG43" i="52" s="1"/>
  <c r="AH43" i="52" s="1" a="1"/>
  <c r="AH43" i="52" s="1"/>
  <c r="AU38" i="52" a="1"/>
  <c r="AU38" i="52" s="1"/>
  <c r="AC45" i="52" a="1"/>
  <c r="AC45" i="52" s="1"/>
  <c r="AI53" i="52" s="1" a="1"/>
  <c r="AI53" i="52" s="1"/>
  <c r="AJ53" i="52" s="1" a="1"/>
  <c r="AJ53" i="52" s="1"/>
  <c r="AK53" i="52" s="1" a="1"/>
  <c r="AK53" i="52" s="1"/>
  <c r="DA16" i="52" a="1"/>
  <c r="DA16" i="52" s="1"/>
  <c r="EB16" i="52" s="1" a="1"/>
  <c r="EB16" i="52" s="1"/>
  <c r="BT35" i="52" a="1"/>
  <c r="BT35" i="52" s="1"/>
  <c r="BU35" i="52" s="1" a="1"/>
  <c r="BU35" i="52" s="1"/>
  <c r="BP35" i="52" a="1"/>
  <c r="BP35" i="52" s="1"/>
  <c r="BQ35" i="52" s="1" a="1"/>
  <c r="BQ35" i="52" s="1"/>
  <c r="BR35" i="52" s="1" a="1"/>
  <c r="BR35" i="52" s="1"/>
  <c r="AV13" i="52" a="1"/>
  <c r="AV13" i="52" s="1"/>
  <c r="AW13" i="52" s="1" a="1"/>
  <c r="AW13" i="52" s="1"/>
  <c r="BG13" i="52" s="1" a="1"/>
  <c r="BG13" i="52" s="1"/>
  <c r="BH13" i="52" s="1" a="1"/>
  <c r="BH13" i="52" s="1"/>
  <c r="BI13" i="52" s="1" a="1"/>
  <c r="BI13" i="52" s="1"/>
  <c r="BA17" i="52" a="1"/>
  <c r="BA17" i="52" s="1"/>
  <c r="AD55" i="52" a="1"/>
  <c r="AD55" i="52" s="1"/>
  <c r="AE55" i="52" s="1" a="1"/>
  <c r="AE55" i="52" s="1"/>
  <c r="AO54" i="52" s="1" a="1"/>
  <c r="AO54" i="52" s="1"/>
  <c r="AI54" i="52" a="1"/>
  <c r="AI54" i="52" s="1"/>
  <c r="AF54" i="52" s="1" a="1"/>
  <c r="AF54" i="52" s="1"/>
  <c r="AG54" i="52" s="1" a="1"/>
  <c r="AG54" i="52" s="1"/>
  <c r="AH54" i="52" s="1" a="1"/>
  <c r="AH54" i="52" s="1"/>
  <c r="DA23" i="52" a="1"/>
  <c r="DA23" i="52" s="1"/>
  <c r="EB23" i="52" s="1" a="1"/>
  <c r="EB23" i="52" s="1"/>
  <c r="AC29" i="52" a="1"/>
  <c r="AC29" i="52" s="1"/>
  <c r="AI41" i="52" s="1" a="1"/>
  <c r="AI41" i="52" s="1"/>
  <c r="V29" i="52" a="1"/>
  <c r="V29" i="52" s="1"/>
  <c r="BD29" i="52" s="1" a="1"/>
  <c r="BD29" i="52" s="1"/>
  <c r="BE25" i="52" s="1" a="1"/>
  <c r="BE25" i="52" s="1"/>
  <c r="CK22" i="52" a="1"/>
  <c r="CK22" i="52" s="1"/>
  <c r="DL22" i="52" s="1" a="1"/>
  <c r="DL22" i="52" s="1"/>
  <c r="CH18" i="52" a="1"/>
  <c r="CH18" i="52" s="1"/>
  <c r="DI18" i="52" s="1" a="1"/>
  <c r="DI18" i="52" s="1"/>
  <c r="CX12" i="52" a="1"/>
  <c r="CX12" i="52" s="1"/>
  <c r="DY12" i="52" s="1" a="1"/>
  <c r="DY12" i="52" s="1"/>
  <c r="CH12" i="52" a="1"/>
  <c r="CH12" i="52" s="1"/>
  <c r="DI12" i="52" s="1" a="1"/>
  <c r="DI12" i="52" s="1"/>
  <c r="CK16" i="52" a="1"/>
  <c r="CK16" i="52" s="1"/>
  <c r="DL16" i="52" s="1" a="1"/>
  <c r="DL16" i="52" s="1"/>
  <c r="DA12" i="52" a="1"/>
  <c r="DA12" i="52" s="1"/>
  <c r="EB12" i="52" s="1" a="1"/>
  <c r="EB12" i="52" s="1"/>
  <c r="CR25" i="52" a="1"/>
  <c r="CR25" i="52" s="1"/>
  <c r="DS25" i="52" s="1" a="1"/>
  <c r="DS25" i="52" s="1"/>
  <c r="CH43" i="52" a="1"/>
  <c r="CH43" i="52" s="1"/>
  <c r="DI43" i="52" s="1" a="1"/>
  <c r="DI43" i="52" s="1"/>
  <c r="CX42" i="52" a="1"/>
  <c r="CX42" i="52" s="1"/>
  <c r="DY42" i="52" s="1" a="1"/>
  <c r="DY42" i="52" s="1"/>
  <c r="CY46" i="52" a="1"/>
  <c r="CY46" i="52" s="1"/>
  <c r="DZ46" i="52" s="1" a="1"/>
  <c r="DZ46" i="52" s="1"/>
  <c r="CH54" i="52" a="1"/>
  <c r="CH54" i="52" s="1"/>
  <c r="DI54" i="52" s="1" a="1"/>
  <c r="DI54" i="52" s="1"/>
  <c r="CY45" i="52" a="1"/>
  <c r="CY45" i="52" s="1"/>
  <c r="DZ45" i="52" s="1" a="1"/>
  <c r="DZ45" i="52" s="1"/>
  <c r="CK40" i="52" a="1"/>
  <c r="CK40" i="52" s="1"/>
  <c r="DL40" i="52" s="1" a="1"/>
  <c r="DL40" i="52" s="1"/>
  <c r="CQ61" i="52" a="1"/>
  <c r="CQ61" i="52" s="1"/>
  <c r="DR61" i="52" s="1" a="1"/>
  <c r="DR61" i="52" s="1"/>
  <c r="CV44" i="52" a="1"/>
  <c r="CV44" i="52" s="1"/>
  <c r="DW44" i="52" s="1" a="1"/>
  <c r="DW44" i="52" s="1"/>
  <c r="CH44" i="52" a="1"/>
  <c r="CH44" i="52" s="1"/>
  <c r="DI44" i="52" s="1" a="1"/>
  <c r="DI44" i="52" s="1"/>
  <c r="CX43" i="52" a="1"/>
  <c r="CX43" i="52" s="1"/>
  <c r="DY43" i="52" s="1" a="1"/>
  <c r="DY43" i="52" s="1"/>
  <c r="CW50" i="52" a="1"/>
  <c r="CW50" i="52" s="1"/>
  <c r="DX50" i="52" s="1" a="1"/>
  <c r="DX50" i="52" s="1"/>
  <c r="CZ61" i="52" a="1"/>
  <c r="CZ61" i="52" s="1"/>
  <c r="EA61" i="52" s="1" a="1"/>
  <c r="EA61" i="52" s="1"/>
  <c r="Y47" i="52" a="1"/>
  <c r="Y47" i="52" s="1"/>
  <c r="BV47" i="52" s="1" a="1"/>
  <c r="BV47" i="52" s="1"/>
  <c r="BW47" i="52" s="1" a="1"/>
  <c r="BW47" i="52" s="1"/>
  <c r="BX47" i="52" s="1" a="1"/>
  <c r="BX47" i="52" s="1"/>
  <c r="AU57" i="52" a="1"/>
  <c r="AU57" i="52" s="1"/>
  <c r="CK29" i="52" a="1"/>
  <c r="CK29" i="52" s="1"/>
  <c r="DL29" i="52" s="1" a="1"/>
  <c r="DL29" i="52" s="1"/>
  <c r="CH24" i="52" a="1"/>
  <c r="CH24" i="52" s="1"/>
  <c r="DI24" i="52" s="1" a="1"/>
  <c r="DI24" i="52" s="1"/>
  <c r="CK42" i="52" a="1"/>
  <c r="CK42" i="52" s="1"/>
  <c r="DL42" i="52" s="1" a="1"/>
  <c r="DL42" i="52" s="1"/>
  <c r="CK17" i="52" a="1"/>
  <c r="CK17" i="52" s="1"/>
  <c r="DL17" i="52" s="1" a="1"/>
  <c r="DL17" i="52" s="1"/>
  <c r="AC30" i="52" a="1"/>
  <c r="AC30" i="52" s="1"/>
  <c r="CX21" i="52" a="1"/>
  <c r="CX21" i="52" s="1"/>
  <c r="DY21" i="52" s="1" a="1"/>
  <c r="DY21" i="52" s="1"/>
  <c r="AV22" i="52" a="1"/>
  <c r="AV22" i="52" s="1"/>
  <c r="AW22" i="52" s="1" a="1"/>
  <c r="AW22" i="52" s="1"/>
  <c r="BG26" i="52" s="1" a="1"/>
  <c r="BG26" i="52" s="1"/>
  <c r="BA26" i="52" a="1"/>
  <c r="BA26" i="52" s="1"/>
  <c r="AX26" i="52" s="1" a="1"/>
  <c r="AX26" i="52" s="1"/>
  <c r="AY26" i="52" s="1" a="1"/>
  <c r="AY26" i="52" s="1"/>
  <c r="AZ26" i="52" s="1" a="1"/>
  <c r="AZ26" i="52" s="1"/>
  <c r="DA31" i="52" a="1"/>
  <c r="DA31" i="52" s="1"/>
  <c r="EB31" i="52" s="1" a="1"/>
  <c r="EB31" i="52" s="1"/>
  <c r="BM33" i="52" a="1"/>
  <c r="BM33" i="52" s="1"/>
  <c r="S33" i="52" a="1"/>
  <c r="S33" i="52" s="1"/>
  <c r="AL33" i="52" s="1" a="1"/>
  <c r="AL33" i="52" s="1"/>
  <c r="AM33" i="52" s="1" a="1"/>
  <c r="AM33" i="52" s="1"/>
  <c r="AN33" i="52" s="1" a="1"/>
  <c r="AN33" i="52" s="1"/>
  <c r="BM40" i="52" a="1"/>
  <c r="BM40" i="52" s="1"/>
  <c r="CN21" i="52" a="1"/>
  <c r="CN21" i="52" s="1"/>
  <c r="DO21" i="52" s="1" a="1"/>
  <c r="DO21" i="52" s="1"/>
  <c r="CH32" i="52" a="1"/>
  <c r="CH32" i="52" s="1"/>
  <c r="DI32" i="52" s="1" a="1"/>
  <c r="DI32" i="52" s="1"/>
  <c r="CY19" i="52" a="1"/>
  <c r="CY19" i="52" s="1"/>
  <c r="DZ19" i="52" s="1" a="1"/>
  <c r="DZ19" i="52" s="1"/>
  <c r="CX36" i="52" a="1"/>
  <c r="CX36" i="52" s="1"/>
  <c r="DY36" i="52" s="1" a="1"/>
  <c r="DY36" i="52" s="1"/>
  <c r="AC25" i="52" a="1"/>
  <c r="AC25" i="52" s="1"/>
  <c r="AD24" i="52" s="1" a="1"/>
  <c r="AD24" i="52" s="1"/>
  <c r="CK26" i="52" a="1"/>
  <c r="CK26" i="52" s="1"/>
  <c r="DL26" i="52" s="1" a="1"/>
  <c r="DL26" i="52" s="1"/>
  <c r="CK20" i="52" a="1"/>
  <c r="CK20" i="52" s="1"/>
  <c r="DL20" i="52" s="1" a="1"/>
  <c r="DL20" i="52" s="1"/>
  <c r="CH52" i="52" a="1"/>
  <c r="CH52" i="52" s="1"/>
  <c r="DI52" i="52" s="1" a="1"/>
  <c r="DI52" i="52" s="1"/>
  <c r="CX56" i="52" a="1"/>
  <c r="CX56" i="52" s="1"/>
  <c r="DY56" i="52" s="1" a="1"/>
  <c r="DY56" i="52" s="1"/>
  <c r="CY51" i="52" a="1"/>
  <c r="CY51" i="52" s="1"/>
  <c r="DZ51" i="52" s="1" a="1"/>
  <c r="DZ51" i="52" s="1"/>
  <c r="CW48" i="52" a="1"/>
  <c r="CW48" i="52" s="1"/>
  <c r="DX48" i="52" s="1" a="1"/>
  <c r="DX48" i="52" s="1"/>
  <c r="CK12" i="52" a="1"/>
  <c r="CK12" i="52" s="1"/>
  <c r="DL12" i="52" s="1" a="1"/>
  <c r="DL12" i="52" s="1"/>
  <c r="CH59" i="52" a="1"/>
  <c r="CH59" i="52" s="1"/>
  <c r="DI59" i="52" s="1" a="1"/>
  <c r="DI59" i="52" s="1"/>
  <c r="CX47" i="52" a="1"/>
  <c r="CX47" i="52" s="1"/>
  <c r="DY47" i="52" s="1" a="1"/>
  <c r="DY47" i="52" s="1"/>
  <c r="CK33" i="52" a="1"/>
  <c r="CK33" i="52" s="1"/>
  <c r="DL33" i="52" s="1" a="1"/>
  <c r="DL33" i="52" s="1"/>
  <c r="AU63" i="52" a="1"/>
  <c r="AU63" i="52" s="1"/>
  <c r="CW24" i="52" a="1"/>
  <c r="CW24" i="52" s="1"/>
  <c r="DX24" i="52" s="1" a="1"/>
  <c r="DX24" i="52" s="1"/>
  <c r="CT24" i="52" a="1"/>
  <c r="CT24" i="52" s="1"/>
  <c r="DU24" i="52" s="1" a="1"/>
  <c r="DU24" i="52" s="1"/>
  <c r="CK44" i="52" a="1"/>
  <c r="CK44" i="52" s="1"/>
  <c r="DL44" i="52" s="1" a="1"/>
  <c r="DL44" i="52" s="1"/>
  <c r="CT34" i="52" a="1"/>
  <c r="CT34" i="52" s="1"/>
  <c r="DU34" i="52" s="1" a="1"/>
  <c r="DU34" i="52" s="1"/>
  <c r="BM54" i="52" a="1"/>
  <c r="BM54" i="52" s="1"/>
  <c r="BE39" i="52" a="1"/>
  <c r="BE39" i="52" s="1"/>
  <c r="BF39" i="52" s="1" a="1"/>
  <c r="BF39" i="52" s="1"/>
  <c r="AU23" i="52" a="1"/>
  <c r="AU23" i="52" s="1"/>
  <c r="Y23" i="52" a="1"/>
  <c r="Y23" i="52" s="1"/>
  <c r="BV23" i="52" s="1" a="1"/>
  <c r="BV23" i="52" s="1"/>
  <c r="BW23" i="52" s="1" a="1"/>
  <c r="BW23" i="52" s="1"/>
  <c r="BX23" i="52" s="1" a="1"/>
  <c r="BX23" i="52" s="1"/>
  <c r="CH45" i="52" a="1"/>
  <c r="CH45" i="52" s="1"/>
  <c r="DI45" i="52" s="1" a="1"/>
  <c r="DI45" i="52" s="1"/>
  <c r="CX44" i="52" a="1"/>
  <c r="CX44" i="52" s="1"/>
  <c r="DY44" i="52" s="1" a="1"/>
  <c r="DY44" i="52" s="1"/>
  <c r="CH25" i="52" a="1"/>
  <c r="CH25" i="52" s="1"/>
  <c r="DI25" i="52" s="1" a="1"/>
  <c r="DI25" i="52" s="1"/>
  <c r="BB24" i="52" a="1"/>
  <c r="BB24" i="52" s="1"/>
  <c r="BC24" i="52" s="1" a="1"/>
  <c r="BC24" i="52" s="1"/>
  <c r="AX24" i="52" a="1"/>
  <c r="AX24" i="52" s="1"/>
  <c r="AY24" i="52" s="1" a="1"/>
  <c r="AY24" i="52" s="1"/>
  <c r="AZ24" i="52" s="1" a="1"/>
  <c r="AZ24" i="52" s="1"/>
  <c r="CW43" i="52" a="1"/>
  <c r="CW43" i="52" s="1"/>
  <c r="DX43" i="52" s="1" a="1"/>
  <c r="DX43" i="52" s="1"/>
  <c r="CT43" i="52" a="1"/>
  <c r="CT43" i="52" s="1"/>
  <c r="DU43" i="52" s="1" a="1"/>
  <c r="DU43" i="52" s="1"/>
  <c r="CY25" i="52" a="1"/>
  <c r="CY25" i="52" s="1"/>
  <c r="DZ25" i="52" s="1" a="1"/>
  <c r="DZ25" i="52" s="1"/>
  <c r="CZ29" i="52" a="1"/>
  <c r="CZ29" i="52" s="1"/>
  <c r="EA29" i="52" s="1" a="1"/>
  <c r="EA29" i="52" s="1"/>
  <c r="CR29" i="52" a="1"/>
  <c r="CR29" i="52" s="1"/>
  <c r="DS29" i="52" s="1" a="1"/>
  <c r="DS29" i="52" s="1"/>
  <c r="CP35" i="52" a="1"/>
  <c r="CP35" i="52" s="1"/>
  <c r="DQ35" i="52" s="1" a="1"/>
  <c r="DQ35" i="52" s="1"/>
  <c r="BE65" i="52" a="1"/>
  <c r="BE65" i="52" s="1"/>
  <c r="Y42" i="52" a="1"/>
  <c r="Y42" i="52" s="1"/>
  <c r="BV42" i="52" s="1" a="1"/>
  <c r="BV42" i="52" s="1"/>
  <c r="AU42" i="52" a="1"/>
  <c r="AU42" i="52" s="1"/>
  <c r="CX49" i="52" a="1"/>
  <c r="CX49" i="52" s="1"/>
  <c r="DY49" i="52" s="1" a="1"/>
  <c r="DY49" i="52" s="1"/>
  <c r="CY58" i="52" a="1"/>
  <c r="CY58" i="52" s="1"/>
  <c r="DZ58" i="52" s="1" a="1"/>
  <c r="DZ58" i="52" s="1"/>
  <c r="AC42" i="52" a="1"/>
  <c r="AC42" i="52" s="1"/>
  <c r="AC44" i="52" a="1"/>
  <c r="AC44" i="52" s="1"/>
  <c r="V44" i="52" a="1"/>
  <c r="V44" i="52" s="1"/>
  <c r="BD44" i="52" s="1" a="1"/>
  <c r="BD44" i="52" s="1"/>
  <c r="BE44" i="52" s="1" a="1"/>
  <c r="BE44" i="52" s="1"/>
  <c r="BF44" i="52" s="1" a="1"/>
  <c r="BF44" i="52" s="1"/>
  <c r="AU18" i="52" a="1"/>
  <c r="AU18" i="52" s="1"/>
  <c r="Y40" i="52" a="1"/>
  <c r="Y40" i="52" s="1"/>
  <c r="BV40" i="52" s="1" a="1"/>
  <c r="BV40" i="52" s="1"/>
  <c r="BW25" i="52" s="1" a="1"/>
  <c r="BW25" i="52" s="1"/>
  <c r="AU40" i="52" a="1"/>
  <c r="AU40" i="52" s="1"/>
  <c r="CH27" i="52" a="1"/>
  <c r="CH27" i="52" s="1"/>
  <c r="DI27" i="52" s="1" a="1"/>
  <c r="DI27" i="52" s="1"/>
  <c r="DB17" i="52" a="1"/>
  <c r="DB17" i="52" s="1"/>
  <c r="EC17" i="52" s="1" a="1"/>
  <c r="EC17" i="52" s="1"/>
  <c r="CV17" i="52" a="1"/>
  <c r="CV17" i="52" s="1"/>
  <c r="DW17" i="52" s="1" a="1"/>
  <c r="DW17" i="52" s="1"/>
  <c r="CQ16" i="52" a="1"/>
  <c r="CQ16" i="52" s="1"/>
  <c r="DR16" i="52" s="1" a="1"/>
  <c r="DR16" i="52" s="1"/>
  <c r="CH64" i="52" a="1"/>
  <c r="CH64" i="52" s="1"/>
  <c r="DI64" i="52" s="1" a="1"/>
  <c r="DI64" i="52" s="1"/>
  <c r="CX65" i="52" a="1"/>
  <c r="CX65" i="52" s="1"/>
  <c r="DY65" i="52" s="1" a="1"/>
  <c r="DY65" i="52" s="1"/>
  <c r="CY55" i="52" a="1"/>
  <c r="CY55" i="52" s="1"/>
  <c r="DZ55" i="52" s="1" a="1"/>
  <c r="DZ55" i="52" s="1"/>
  <c r="CR58" i="52" a="1"/>
  <c r="CR58" i="52" s="1"/>
  <c r="DS58" i="52" s="1" a="1"/>
  <c r="DS58" i="52" s="1"/>
  <c r="CZ58" i="52" a="1"/>
  <c r="CZ58" i="52" s="1"/>
  <c r="EA58" i="52" s="1" a="1"/>
  <c r="EA58" i="52" s="1"/>
  <c r="AC51" i="52" a="1"/>
  <c r="AC51" i="52" s="1"/>
  <c r="V51" i="52" a="1"/>
  <c r="V51" i="52" s="1"/>
  <c r="BD51" i="52" s="1" a="1"/>
  <c r="BD51" i="52" s="1"/>
  <c r="BE51" i="52" s="1" a="1"/>
  <c r="BE51" i="52" s="1"/>
  <c r="BF51" i="52" s="1" a="1"/>
  <c r="BF51" i="52" s="1"/>
  <c r="CN62" i="52" a="1"/>
  <c r="CN62" i="52" s="1"/>
  <c r="DO62" i="52" s="1" a="1"/>
  <c r="DO62" i="52" s="1"/>
  <c r="DB62" i="52" a="1"/>
  <c r="DB62" i="52" s="1"/>
  <c r="EC62" i="52" s="1" a="1"/>
  <c r="EC62" i="52" s="1"/>
  <c r="DA62" i="52" a="1"/>
  <c r="DA62" i="52" s="1"/>
  <c r="EB62" i="52" s="1" a="1"/>
  <c r="EB62" i="52" s="1"/>
  <c r="CN46" i="52" a="1"/>
  <c r="CN46" i="52" s="1"/>
  <c r="DO46" i="52" s="1" a="1"/>
  <c r="DO46" i="52" s="1"/>
  <c r="CH56" i="52" a="1"/>
  <c r="CH56" i="52" s="1"/>
  <c r="DI56" i="52" s="1" a="1"/>
  <c r="DI56" i="52" s="1"/>
  <c r="CX60" i="52" a="1"/>
  <c r="CX60" i="52" s="1"/>
  <c r="DY60" i="52" s="1" a="1"/>
  <c r="DY60" i="52" s="1"/>
  <c r="DA17" i="52" a="1"/>
  <c r="DA17" i="52" s="1"/>
  <c r="EB17" i="52" s="1" a="1"/>
  <c r="EB17" i="52" s="1"/>
  <c r="CN17" i="52" a="1"/>
  <c r="CN17" i="52" s="1"/>
  <c r="DO17" i="52" s="1" a="1"/>
  <c r="DO17" i="52" s="1"/>
  <c r="CY26" i="52" a="1"/>
  <c r="CY26" i="52" s="1"/>
  <c r="DZ26" i="52" s="1" a="1"/>
  <c r="DZ26" i="52" s="1"/>
  <c r="CK30" i="52" a="1"/>
  <c r="CK30" i="52" s="1"/>
  <c r="DL30" i="52" s="1" a="1"/>
  <c r="DL30" i="52" s="1"/>
  <c r="CY47" i="52" a="1"/>
  <c r="CY47" i="52" s="1"/>
  <c r="DZ47" i="52" s="1" a="1"/>
  <c r="DZ47" i="52" s="1"/>
  <c r="CK45" i="52" a="1"/>
  <c r="CK45" i="52" s="1"/>
  <c r="DL45" i="52" s="1" a="1"/>
  <c r="DL45" i="52" s="1"/>
  <c r="AC37" i="52" a="1"/>
  <c r="AC37" i="52" s="1"/>
  <c r="CX15" i="52" a="1"/>
  <c r="CX15" i="52" s="1"/>
  <c r="DY15" i="52" s="1" a="1"/>
  <c r="DY15" i="52" s="1"/>
  <c r="CR42" i="52" a="1"/>
  <c r="CR42" i="52" s="1"/>
  <c r="DS42" i="52" s="1" a="1"/>
  <c r="DS42" i="52" s="1"/>
  <c r="AU45" i="52" a="1"/>
  <c r="AU45" i="52" s="1"/>
  <c r="Y45" i="52" a="1"/>
  <c r="Y45" i="52" s="1"/>
  <c r="BV45" i="52" s="1" a="1"/>
  <c r="BV45" i="52" s="1"/>
  <c r="BW45" i="52" s="1" a="1"/>
  <c r="BW45" i="52" s="1"/>
  <c r="BX45" i="52" s="1" a="1"/>
  <c r="BX45" i="52" s="1"/>
  <c r="AC22" i="52" a="1"/>
  <c r="AC22" i="52" s="1"/>
  <c r="AI23" i="52" s="1" a="1"/>
  <c r="AI23" i="52" s="1"/>
  <c r="AF23" i="52" s="1" a="1"/>
  <c r="AF23" i="52" s="1"/>
  <c r="AG23" i="52" s="1" a="1"/>
  <c r="AG23" i="52" s="1"/>
  <c r="AH23" i="52" s="1" a="1"/>
  <c r="AH23" i="52" s="1"/>
  <c r="CN18" i="52" a="1"/>
  <c r="CN18" i="52" s="1"/>
  <c r="DO18" i="52" s="1" a="1"/>
  <c r="DO18" i="52" s="1"/>
  <c r="DA18" i="52" a="1"/>
  <c r="DA18" i="52" s="1"/>
  <c r="EB18" i="52" s="1" a="1"/>
  <c r="EB18" i="52" s="1"/>
  <c r="AC32" i="52" a="1"/>
  <c r="AC32" i="52" s="1"/>
  <c r="CX37" i="52" a="1"/>
  <c r="CX37" i="52" s="1"/>
  <c r="DY37" i="52" s="1" a="1"/>
  <c r="DY37" i="52" s="1"/>
  <c r="CH28" i="52" a="1"/>
  <c r="CH28" i="52" s="1"/>
  <c r="DI28" i="52" s="1" a="1"/>
  <c r="DI28" i="52" s="1"/>
  <c r="CY27" i="52" a="1"/>
  <c r="CY27" i="52" s="1"/>
  <c r="DZ27" i="52" s="1" a="1"/>
  <c r="DZ27" i="52" s="1"/>
  <c r="CR15" i="52" a="1"/>
  <c r="CR15" i="52" s="1"/>
  <c r="DS15" i="52" s="1" a="1"/>
  <c r="DS15" i="52" s="1"/>
  <c r="CZ15" i="52" a="1"/>
  <c r="CZ15" i="52" s="1"/>
  <c r="EA15" i="52" s="1" a="1"/>
  <c r="EA15" i="52" s="1"/>
  <c r="S41" i="52" a="1"/>
  <c r="S41" i="52" s="1"/>
  <c r="AL41" i="52" s="1" a="1"/>
  <c r="AL41" i="52" s="1"/>
  <c r="AM29" i="52" s="1" a="1"/>
  <c r="AM29" i="52" s="1"/>
  <c r="BM41" i="52" a="1"/>
  <c r="BM41" i="52" s="1"/>
  <c r="BS32" i="52" s="1" a="1"/>
  <c r="BS32" i="52" s="1"/>
  <c r="CH20" i="52" a="1"/>
  <c r="CH20" i="52" s="1"/>
  <c r="DI20" i="52" s="1" a="1"/>
  <c r="DI20" i="52" s="1"/>
  <c r="CQ14" i="52" a="1"/>
  <c r="CQ14" i="52" s="1"/>
  <c r="DR14" i="52" s="1" a="1"/>
  <c r="DR14" i="52" s="1"/>
  <c r="CV15" i="52" a="1"/>
  <c r="CV15" i="52" s="1"/>
  <c r="DW15" i="52" s="1" a="1"/>
  <c r="DW15" i="52" s="1"/>
  <c r="CH42" i="52" a="1"/>
  <c r="CH42" i="52" s="1"/>
  <c r="DI42" i="52" s="1" a="1"/>
  <c r="DI42" i="52" s="1"/>
  <c r="Y43" i="52" a="1"/>
  <c r="Y43" i="52" s="1"/>
  <c r="BV43" i="52" s="1" a="1"/>
  <c r="BV43" i="52" s="1"/>
  <c r="BW56" i="52" s="1" a="1"/>
  <c r="BW56" i="52" s="1"/>
  <c r="BX56" i="52" s="1" a="1"/>
  <c r="BX56" i="52" s="1"/>
  <c r="AU64" i="52" a="1"/>
  <c r="AU64" i="52" s="1"/>
  <c r="CY39" i="52" a="1"/>
  <c r="CY39" i="52" s="1"/>
  <c r="DZ39" i="52" s="1" a="1"/>
  <c r="DZ39" i="52" s="1"/>
  <c r="BM50" i="52" a="1"/>
  <c r="BM50" i="52" s="1"/>
  <c r="S50" i="52" a="1"/>
  <c r="S50" i="52" s="1"/>
  <c r="AL50" i="52" s="1" a="1"/>
  <c r="AL50" i="52" s="1"/>
  <c r="CH19" i="52" a="1"/>
  <c r="CH19" i="52" s="1"/>
  <c r="DI19" i="52" s="1" a="1"/>
  <c r="DI19" i="52" s="1"/>
  <c r="CX18" i="52" a="1"/>
  <c r="CX18" i="52" s="1"/>
  <c r="DY18" i="52" s="1" a="1"/>
  <c r="DY18" i="52" s="1"/>
  <c r="DB34" i="52" a="1"/>
  <c r="DB34" i="52" s="1"/>
  <c r="EC34" i="52" s="1" a="1"/>
  <c r="EC34" i="52" s="1"/>
  <c r="CK14" i="52" a="1"/>
  <c r="CK14" i="52" s="1"/>
  <c r="DL14" i="52" s="1" a="1"/>
  <c r="DL14" i="52" s="1"/>
  <c r="CY49" i="52" a="1"/>
  <c r="CY49" i="52" s="1"/>
  <c r="DZ49" i="52" s="1" a="1"/>
  <c r="DZ49" i="52" s="1"/>
  <c r="CK37" i="52" a="1"/>
  <c r="CK37" i="52" s="1"/>
  <c r="DL37" i="52" s="1" a="1"/>
  <c r="DL37" i="52" s="1"/>
  <c r="CN26" i="52" a="1"/>
  <c r="CN26" i="52" s="1"/>
  <c r="DO26" i="52" s="1" a="1"/>
  <c r="DO26" i="52" s="1"/>
  <c r="DA26" i="52" a="1"/>
  <c r="DA26" i="52" s="1"/>
  <c r="EB26" i="52" s="1" a="1"/>
  <c r="EB26" i="52" s="1"/>
  <c r="DB45" i="52" a="1"/>
  <c r="DB45" i="52" s="1"/>
  <c r="EC45" i="52" s="1" a="1"/>
  <c r="EC45" i="52" s="1"/>
  <c r="CV54" i="52" a="1"/>
  <c r="CV54" i="52" s="1"/>
  <c r="DW54" i="52" s="1" a="1"/>
  <c r="DW54" i="52" s="1"/>
  <c r="CZ63" i="52" a="1"/>
  <c r="CZ63" i="52" s="1"/>
  <c r="EA63" i="52" s="1" a="1"/>
  <c r="EA63" i="52" s="1"/>
  <c r="BA47" i="52" a="1"/>
  <c r="BA47" i="52" s="1"/>
  <c r="AV59" i="52" a="1"/>
  <c r="AV59" i="52" s="1"/>
  <c r="AW59" i="52" s="1" a="1"/>
  <c r="AW59" i="52" s="1"/>
  <c r="BG59" i="52" s="1" a="1"/>
  <c r="BG59" i="52" s="1"/>
  <c r="BH59" i="52" s="1" a="1"/>
  <c r="BH59" i="52" s="1"/>
  <c r="BI59" i="52" s="1" a="1"/>
  <c r="BI59" i="52" s="1"/>
  <c r="AV44" i="52" a="1"/>
  <c r="AV44" i="52" s="1"/>
  <c r="AW44" i="52" s="1" a="1"/>
  <c r="AW44" i="52" s="1"/>
  <c r="BG43" i="52" s="1" a="1"/>
  <c r="BG43" i="52" s="1"/>
  <c r="BA43" i="52" a="1"/>
  <c r="BA43" i="52" s="1"/>
  <c r="AI48" i="52" a="1"/>
  <c r="AI48" i="52" s="1"/>
  <c r="AD46" i="52" a="1"/>
  <c r="AD46" i="52" s="1"/>
  <c r="BN61" i="52" a="1"/>
  <c r="BN61" i="52" s="1"/>
  <c r="BO61" i="52" s="1" a="1"/>
  <c r="BO61" i="52" s="1"/>
  <c r="BY61" i="52" s="1" a="1"/>
  <c r="BY61" i="52" s="1"/>
  <c r="BS58" i="52" a="1"/>
  <c r="BS58" i="52" s="1"/>
  <c r="BN27" i="52" a="1"/>
  <c r="BN27" i="52" s="1"/>
  <c r="BO27" i="52" s="1" a="1"/>
  <c r="BO27" i="52" s="1"/>
  <c r="BY26" i="52" s="1" a="1"/>
  <c r="BY26" i="52" s="1"/>
  <c r="BS26" i="52" a="1"/>
  <c r="BS26" i="52" s="1"/>
  <c r="AI26" i="52" a="1"/>
  <c r="AI26" i="52" s="1"/>
  <c r="BN26" i="52" a="1"/>
  <c r="BN26" i="52" s="1"/>
  <c r="BO26" i="52" s="1" a="1"/>
  <c r="BO26" i="52" s="1"/>
  <c r="BY29" i="52" s="1" a="1"/>
  <c r="BY29" i="52" s="1"/>
  <c r="BS29" i="52" a="1"/>
  <c r="BS29" i="52" s="1"/>
  <c r="AU53" i="52" a="1"/>
  <c r="AU53" i="52" s="1"/>
  <c r="AU51" i="52" a="1"/>
  <c r="AU51" i="52" s="1"/>
  <c r="Y51" i="52" a="1"/>
  <c r="Y51" i="52" s="1"/>
  <c r="BV51" i="52" s="1" a="1"/>
  <c r="BV51" i="52" s="1"/>
  <c r="BW51" i="52" s="1" a="1"/>
  <c r="BW51" i="52" s="1"/>
  <c r="BX51" i="52" s="1" a="1"/>
  <c r="BX51" i="52" s="1"/>
  <c r="Y50" i="52" a="1"/>
  <c r="Y50" i="52" s="1"/>
  <c r="BV50" i="52" s="1" a="1"/>
  <c r="BV50" i="52" s="1"/>
  <c r="BW50" i="52" s="1" a="1"/>
  <c r="BW50" i="52" s="1"/>
  <c r="BX50" i="52" s="1" a="1"/>
  <c r="BX50" i="52" s="1"/>
  <c r="AU50" i="52" a="1"/>
  <c r="AU50" i="52" s="1"/>
  <c r="DA37" i="52" a="1"/>
  <c r="DA37" i="52" s="1"/>
  <c r="EB37" i="52" s="1" a="1"/>
  <c r="EB37" i="52" s="1"/>
  <c r="CN37" i="52" a="1"/>
  <c r="CN37" i="52" s="1"/>
  <c r="DO37" i="52" s="1" a="1"/>
  <c r="DO37" i="52" s="1"/>
  <c r="AD28" i="52" a="1"/>
  <c r="AD28" i="52" s="1"/>
  <c r="AE28" i="52" s="1" a="1"/>
  <c r="AE28" i="52" s="1"/>
  <c r="AO40" i="52" s="1" a="1"/>
  <c r="AO40" i="52" s="1"/>
  <c r="AI40" i="52" a="1"/>
  <c r="AI40" i="52" s="1"/>
  <c r="CH30" i="52" a="1"/>
  <c r="CH30" i="52" s="1"/>
  <c r="DI30" i="52" s="1" a="1"/>
  <c r="DI30" i="52" s="1"/>
  <c r="CX34" i="52" a="1"/>
  <c r="CX34" i="52" s="1"/>
  <c r="DY34" i="52" s="1" a="1"/>
  <c r="DY34" i="52" s="1"/>
  <c r="CY21" i="52" a="1"/>
  <c r="CY21" i="52" s="1"/>
  <c r="DZ21" i="52" s="1" a="1"/>
  <c r="DZ21" i="52" s="1"/>
  <c r="CZ39" i="52" a="1"/>
  <c r="CZ39" i="52" s="1"/>
  <c r="EA39" i="52" s="1" a="1"/>
  <c r="EA39" i="52" s="1"/>
  <c r="CR39" i="52" a="1"/>
  <c r="CR39" i="52" s="1"/>
  <c r="DS39" i="52" s="1" a="1"/>
  <c r="DS39" i="52" s="1"/>
  <c r="BW18" i="52" a="1"/>
  <c r="BW18" i="52" s="1"/>
  <c r="CK61" i="52" a="1"/>
  <c r="CK61" i="52" s="1"/>
  <c r="DL61" i="52" s="1" a="1"/>
  <c r="DL61" i="52" s="1"/>
  <c r="CZ57" i="52" a="1"/>
  <c r="CZ57" i="52" s="1"/>
  <c r="EA57" i="52" s="1" a="1"/>
  <c r="EA57" i="52" s="1"/>
  <c r="CR57" i="52" a="1"/>
  <c r="CR57" i="52" s="1"/>
  <c r="DS57" i="52" s="1" a="1"/>
  <c r="DS57" i="52" s="1"/>
  <c r="CS57" i="52" a="1"/>
  <c r="CS57" i="52" s="1"/>
  <c r="DT57" i="52" s="1" a="1"/>
  <c r="DT57" i="52" s="1"/>
  <c r="V17" i="52" a="1"/>
  <c r="V17" i="52" s="1"/>
  <c r="BD17" i="52" s="1" a="1"/>
  <c r="BD17" i="52" s="1"/>
  <c r="BE17" i="52" s="1" a="1"/>
  <c r="BE17" i="52" s="1"/>
  <c r="BF17" i="52" s="1" a="1"/>
  <c r="BF17" i="52" s="1"/>
  <c r="AC17" i="52" a="1"/>
  <c r="AC17" i="52" s="1"/>
  <c r="AD65" i="52" a="1"/>
  <c r="AD65" i="52" s="1"/>
  <c r="AI59" i="52" a="1"/>
  <c r="AI59" i="52" s="1"/>
  <c r="V20" i="52" a="1"/>
  <c r="V20" i="52" s="1"/>
  <c r="BD20" i="52" s="1" a="1"/>
  <c r="BD20" i="52" s="1"/>
  <c r="BE20" i="52" s="1" a="1"/>
  <c r="BE20" i="52" s="1"/>
  <c r="BF20" i="52" s="1" a="1"/>
  <c r="BF20" i="52" s="1"/>
  <c r="AC20" i="52" a="1"/>
  <c r="AC20" i="52" s="1"/>
  <c r="V63" i="52" a="1"/>
  <c r="V63" i="52" s="1"/>
  <c r="BD63" i="52" s="1" a="1"/>
  <c r="BD63" i="52" s="1"/>
  <c r="BE63" i="52" s="1" a="1"/>
  <c r="BE63" i="52" s="1"/>
  <c r="BF63" i="52" s="1" a="1"/>
  <c r="BF63" i="52" s="1"/>
  <c r="AC63" i="52" a="1"/>
  <c r="AC63" i="52" s="1"/>
  <c r="CH49" i="52" a="1"/>
  <c r="CH49" i="52" s="1"/>
  <c r="DI49" i="52" s="1" a="1"/>
  <c r="DI49" i="52" s="1"/>
  <c r="CZ42" i="52" a="1"/>
  <c r="CZ42" i="52" s="1"/>
  <c r="EA42" i="52" s="1" a="1"/>
  <c r="EA42" i="52" s="1"/>
  <c r="CX53" i="52" a="1"/>
  <c r="CX53" i="52" s="1"/>
  <c r="DY53" i="52" s="1" a="1"/>
  <c r="DY53" i="52" s="1"/>
  <c r="CY64" i="52" a="1"/>
  <c r="CY64" i="52" s="1"/>
  <c r="DZ64" i="52" s="1" a="1"/>
  <c r="DZ64" i="52" s="1"/>
  <c r="AC21" i="52" a="1"/>
  <c r="AC21" i="52" s="1"/>
  <c r="V21" i="52" a="1"/>
  <c r="V21" i="52" s="1"/>
  <c r="BD21" i="52" s="1" a="1"/>
  <c r="BD21" i="52" s="1"/>
  <c r="BE21" i="52" s="1" a="1"/>
  <c r="BE21" i="52" s="1"/>
  <c r="BF21" i="52" s="1" a="1"/>
  <c r="BF21" i="52" s="1"/>
  <c r="BA16" i="52" a="1"/>
  <c r="BA16" i="52" s="1"/>
  <c r="AV17" i="52" a="1"/>
  <c r="AV17" i="52" s="1"/>
  <c r="AW17" i="52" s="1" a="1"/>
  <c r="AW17" i="52" s="1"/>
  <c r="BG17" i="52" s="1" a="1"/>
  <c r="BG17" i="52" s="1"/>
  <c r="BH17" i="52" s="1" a="1"/>
  <c r="BH17" i="52" s="1"/>
  <c r="BI17" i="52" s="1" a="1"/>
  <c r="BI17" i="52" s="1"/>
  <c r="BM46" i="52" a="1"/>
  <c r="BM46" i="52" s="1"/>
  <c r="S46" i="52" a="1"/>
  <c r="S46" i="52" s="1"/>
  <c r="AL46" i="52" s="1" a="1"/>
  <c r="AL46" i="52" s="1"/>
  <c r="BM19" i="52" a="1"/>
  <c r="BM19" i="52" s="1"/>
  <c r="BN32" i="52" s="1" a="1"/>
  <c r="BN32" i="52" s="1"/>
  <c r="S19" i="52" a="1"/>
  <c r="S19" i="52" s="1"/>
  <c r="AL19" i="52" s="1" a="1"/>
  <c r="AL19" i="52" s="1"/>
  <c r="AM19" i="52" s="1" a="1"/>
  <c r="AM19" i="52" s="1"/>
  <c r="AN19" i="52" s="1" a="1"/>
  <c r="AN19" i="52" s="1"/>
  <c r="CZ45" i="52" a="1"/>
  <c r="CZ45" i="52" s="1"/>
  <c r="EA45" i="52" s="1" a="1"/>
  <c r="EA45" i="52" s="1"/>
  <c r="CR45" i="52" a="1"/>
  <c r="CR45" i="52" s="1"/>
  <c r="DS45" i="52" s="1" a="1"/>
  <c r="DS45" i="52" s="1"/>
  <c r="BM43" i="52" a="1"/>
  <c r="BM43" i="52" s="1"/>
  <c r="S43" i="52" a="1"/>
  <c r="S43" i="52" s="1"/>
  <c r="AL43" i="52" s="1" a="1"/>
  <c r="AL43" i="52" s="1"/>
  <c r="AM43" i="52" s="1" a="1"/>
  <c r="AM43" i="52" s="1"/>
  <c r="AN43" i="52" s="1" a="1"/>
  <c r="AN43" i="52" s="1"/>
  <c r="CK39" i="52" a="1"/>
  <c r="CK39" i="52" s="1"/>
  <c r="DL39" i="52" s="1" a="1"/>
  <c r="DL39" i="52" s="1"/>
  <c r="BN31" i="52" a="1"/>
  <c r="BN31" i="52" s="1"/>
  <c r="BS18" i="52" a="1"/>
  <c r="BS18" i="52" s="1"/>
  <c r="AC53" i="52" a="1"/>
  <c r="AC53" i="52" s="1"/>
  <c r="BE37" i="52" a="1"/>
  <c r="BE37" i="52" s="1"/>
  <c r="AD64" i="52" a="1"/>
  <c r="AD64" i="52" s="1"/>
  <c r="AE64" i="52" s="1" a="1"/>
  <c r="AE64" i="52" s="1"/>
  <c r="AO64" i="52" s="1" a="1"/>
  <c r="AO64" i="52" s="1"/>
  <c r="AP64" i="52" s="1" a="1"/>
  <c r="AP64" i="52" s="1"/>
  <c r="AQ64" i="52" s="1" a="1"/>
  <c r="AQ64" i="52" s="1"/>
  <c r="BE48" i="52" a="1"/>
  <c r="BE48" i="52" s="1"/>
  <c r="CT36" i="52" a="1"/>
  <c r="CT36" i="52" s="1"/>
  <c r="DU36" i="52" s="1" a="1"/>
  <c r="DU36" i="52" s="1"/>
  <c r="CW36" i="52" a="1"/>
  <c r="CW36" i="52" s="1"/>
  <c r="DX36" i="52" s="1" a="1"/>
  <c r="DX36" i="52" s="1"/>
  <c r="BS25" i="52" a="1"/>
  <c r="BS25" i="52" s="1"/>
  <c r="AD19" i="52" a="1"/>
  <c r="AD19" i="52" s="1"/>
  <c r="AE19" i="52" s="1" a="1"/>
  <c r="AE19" i="52" s="1"/>
  <c r="AO27" i="52" s="1" a="1"/>
  <c r="AO27" i="52" s="1"/>
  <c r="AI27" i="52" a="1"/>
  <c r="AI27" i="52" s="1"/>
  <c r="BA29" i="52" a="1"/>
  <c r="BA29" i="52" s="1"/>
  <c r="AD23" i="52" a="1"/>
  <c r="AD23" i="52" s="1"/>
  <c r="AI24" i="52" a="1"/>
  <c r="AI24" i="52" s="1"/>
  <c r="CZ53" i="52" a="1"/>
  <c r="CZ53" i="52" s="1"/>
  <c r="EA53" i="52" s="1" a="1"/>
  <c r="EA53" i="52" s="1"/>
  <c r="CR53" i="52" a="1"/>
  <c r="CR53" i="52" s="1"/>
  <c r="DS53" i="52" s="1" a="1"/>
  <c r="DS53" i="52" s="1"/>
  <c r="AV34" i="52" a="1"/>
  <c r="AV34" i="52" s="1"/>
  <c r="AW34" i="52" s="1" a="1"/>
  <c r="AW34" i="52" s="1"/>
  <c r="BG22" i="52" s="1" a="1"/>
  <c r="BG22" i="52" s="1"/>
  <c r="BH26" i="52" s="1" a="1"/>
  <c r="BH26" i="52" s="1"/>
  <c r="BA22" i="52" a="1"/>
  <c r="BA22" i="52" s="1"/>
  <c r="CK32" i="52" a="1"/>
  <c r="CK32" i="52" s="1"/>
  <c r="DL32" i="52" s="1" a="1"/>
  <c r="DL32" i="52" s="1"/>
  <c r="BE24" i="52" a="1"/>
  <c r="BE24" i="52" s="1"/>
  <c r="AV43" i="52" a="1"/>
  <c r="AV43" i="52" s="1"/>
  <c r="AW43" i="52" s="1" a="1"/>
  <c r="AW43" i="52" s="1"/>
  <c r="BG42" i="52" s="1" a="1"/>
  <c r="BG42" i="52" s="1"/>
  <c r="BH42" i="52" s="1" a="1"/>
  <c r="BH42" i="52" s="1"/>
  <c r="BA42" i="52" a="1"/>
  <c r="BA42" i="52" s="1"/>
  <c r="AV54" i="52" a="1"/>
  <c r="AV54" i="52" s="1"/>
  <c r="AW54" i="52" s="1" a="1"/>
  <c r="AW54" i="52" s="1"/>
  <c r="BG58" i="52" s="1" a="1"/>
  <c r="BG58" i="52" s="1"/>
  <c r="BA58" i="52" a="1"/>
  <c r="BA58" i="52" s="1"/>
  <c r="CH14" i="52" a="1"/>
  <c r="CH14" i="52" s="1"/>
  <c r="DI14" i="52" s="1" a="1"/>
  <c r="DI14" i="52" s="1"/>
  <c r="CY14" i="52" a="1"/>
  <c r="CY14" i="52" s="1"/>
  <c r="DZ14" i="52" s="1" a="1"/>
  <c r="DZ14" i="52" s="1"/>
  <c r="CZ14" i="52" a="1"/>
  <c r="CZ14" i="52" s="1"/>
  <c r="EA14" i="52" s="1" a="1"/>
  <c r="EA14" i="52" s="1"/>
  <c r="CW16" i="52" a="1"/>
  <c r="CW16" i="52" s="1"/>
  <c r="DX16" i="52" s="1" a="1"/>
  <c r="DX16" i="52" s="1"/>
  <c r="CX13" i="52" a="1"/>
  <c r="CX13" i="52" s="1"/>
  <c r="DY13" i="52" s="1" a="1"/>
  <c r="DY13" i="52" s="1"/>
  <c r="CH22" i="52" a="1"/>
  <c r="CH22" i="52" s="1"/>
  <c r="DI22" i="52" s="1" a="1"/>
  <c r="DI22" i="52" s="1"/>
  <c r="CY41" i="52" a="1"/>
  <c r="CY41" i="52" s="1"/>
  <c r="DZ41" i="52" s="1" a="1"/>
  <c r="DZ41" i="52" s="1"/>
  <c r="CX26" i="52" a="1"/>
  <c r="CX26" i="52" s="1"/>
  <c r="DY26" i="52" s="1" a="1"/>
  <c r="DY26" i="52" s="1"/>
  <c r="CW34" i="52" a="1"/>
  <c r="CW34" i="52" s="1"/>
  <c r="DX34" i="52" s="1" a="1"/>
  <c r="DX34" i="52" s="1"/>
  <c r="DB58" i="52" a="1"/>
  <c r="DB58" i="52" s="1"/>
  <c r="EC58" i="52" s="1" a="1"/>
  <c r="EC58" i="52" s="1"/>
  <c r="CQ48" i="52" a="1"/>
  <c r="CQ48" i="52" s="1"/>
  <c r="DR48" i="52" s="1" a="1"/>
  <c r="DR48" i="52" s="1"/>
  <c r="CV61" i="52" a="1"/>
  <c r="CV61" i="52" s="1"/>
  <c r="DW61" i="52" s="1" a="1"/>
  <c r="DW61" i="52" s="1"/>
  <c r="Y49" i="52" a="1"/>
  <c r="Y49" i="52" s="1"/>
  <c r="BV49" i="52" s="1" a="1"/>
  <c r="BV49" i="52" s="1"/>
  <c r="AU49" i="52" a="1"/>
  <c r="AU49" i="52" s="1"/>
  <c r="CZ59" i="52" a="1"/>
  <c r="CZ59" i="52" s="1"/>
  <c r="EA59" i="52" s="1" a="1"/>
  <c r="EA59" i="52" s="1"/>
  <c r="CR59" i="52" a="1"/>
  <c r="CR59" i="52" s="1"/>
  <c r="DS59" i="52" s="1" a="1"/>
  <c r="DS59" i="52" s="1"/>
  <c r="CS59" i="52" a="1"/>
  <c r="CS59" i="52" s="1"/>
  <c r="DT59" i="52" s="1" a="1"/>
  <c r="DT59" i="52" s="1"/>
  <c r="CZ33" i="52" a="1"/>
  <c r="CZ33" i="52" s="1"/>
  <c r="EA33" i="52" s="1" a="1"/>
  <c r="EA33" i="52" s="1"/>
  <c r="CR33" i="52" a="1"/>
  <c r="CR33" i="52" s="1"/>
  <c r="DS33" i="52" s="1" a="1"/>
  <c r="DS33" i="52" s="1"/>
  <c r="CS33" i="52" a="1"/>
  <c r="CS33" i="52" s="1"/>
  <c r="DT33" i="52" s="1" a="1"/>
  <c r="DT33" i="52" s="1"/>
  <c r="CH31" i="52" a="1"/>
  <c r="CH31" i="52" s="1"/>
  <c r="DI31" i="52" s="1" a="1"/>
  <c r="DI31" i="52" s="1"/>
  <c r="CY18" i="52" a="1"/>
  <c r="CY18" i="52" s="1"/>
  <c r="DZ18" i="52" s="1" a="1"/>
  <c r="DZ18" i="52" s="1"/>
  <c r="CX35" i="52" a="1"/>
  <c r="CX35" i="52" s="1"/>
  <c r="DY35" i="52" s="1" a="1"/>
  <c r="DY35" i="52" s="1"/>
  <c r="Y58" i="52" a="1"/>
  <c r="Y58" i="52" s="1"/>
  <c r="BV58" i="52" s="1" a="1"/>
  <c r="BV58" i="52" s="1"/>
  <c r="BW58" i="52" s="1" a="1"/>
  <c r="BW58" i="52" s="1"/>
  <c r="BX58" i="52" s="1" a="1"/>
  <c r="BX58" i="52" s="1"/>
  <c r="AU58" i="52" a="1"/>
  <c r="AU58" i="52" s="1"/>
  <c r="AI45" i="52" a="1"/>
  <c r="AI45" i="52" s="1"/>
  <c r="CN43" i="52" a="1"/>
  <c r="CN43" i="52" s="1"/>
  <c r="DO43" i="52" s="1" a="1"/>
  <c r="DO43" i="52" s="1"/>
  <c r="DA43" i="52" a="1"/>
  <c r="DA43" i="52" s="1"/>
  <c r="EB43" i="52" s="1" a="1"/>
  <c r="EB43" i="52" s="1"/>
  <c r="DB43" i="52" a="1"/>
  <c r="DB43" i="52" s="1"/>
  <c r="EC43" i="52" s="1" a="1"/>
  <c r="EC43" i="52" s="1"/>
  <c r="CS50" i="52" a="1"/>
  <c r="CS50" i="52" s="1"/>
  <c r="DT50" i="52" s="1" a="1"/>
  <c r="DT50" i="52" s="1"/>
  <c r="CR50" i="52" a="1"/>
  <c r="CR50" i="52" s="1"/>
  <c r="DS50" i="52" s="1" a="1"/>
  <c r="DS50" i="52" s="1"/>
  <c r="CN60" i="52" a="1"/>
  <c r="CN60" i="52" s="1"/>
  <c r="DO60" i="52" s="1" a="1"/>
  <c r="DO60" i="52" s="1"/>
  <c r="DA60" i="52" a="1"/>
  <c r="DA60" i="52" s="1"/>
  <c r="EB60" i="52" s="1" a="1"/>
  <c r="EB60" i="52" s="1"/>
  <c r="CK56" i="52" a="1"/>
  <c r="CK56" i="52" s="1"/>
  <c r="DL56" i="52" s="1" a="1"/>
  <c r="DL56" i="52" s="1"/>
  <c r="Y55" i="52" a="1"/>
  <c r="Y55" i="52" s="1"/>
  <c r="BV55" i="52" s="1" a="1"/>
  <c r="BV55" i="52" s="1"/>
  <c r="AU55" i="52" a="1"/>
  <c r="AU55" i="52" s="1"/>
  <c r="F75" i="52" a="1"/>
  <c r="F75" i="52" s="1"/>
  <c r="S17" i="52" a="1"/>
  <c r="S17" i="52" s="1"/>
  <c r="AL17" i="52" s="1" a="1"/>
  <c r="AL17" i="52" s="1"/>
  <c r="AM17" i="52" s="1" a="1"/>
  <c r="AM17" i="52" s="1"/>
  <c r="BM17" i="52" a="1"/>
  <c r="BM17" i="52" s="1"/>
  <c r="BM36" i="52" a="1"/>
  <c r="BM36" i="52" s="1"/>
  <c r="S36" i="52" a="1"/>
  <c r="S36" i="52" s="1"/>
  <c r="AL36" i="52" s="1" a="1"/>
  <c r="AL36" i="52" s="1"/>
  <c r="AN26" i="52" s="1" a="1"/>
  <c r="AN26" i="52" s="1"/>
  <c r="CZ48" i="52" a="1"/>
  <c r="CZ48" i="52" s="1"/>
  <c r="EA48" i="52" s="1" a="1"/>
  <c r="EA48" i="52" s="1"/>
  <c r="CR48" i="52" a="1"/>
  <c r="CR48" i="52" s="1"/>
  <c r="DS48" i="52" s="1" a="1"/>
  <c r="DS48" i="52" s="1"/>
  <c r="CS48" i="52" a="1"/>
  <c r="CS48" i="52" s="1"/>
  <c r="DT48" i="52" s="1" a="1"/>
  <c r="DT48" i="52" s="1"/>
  <c r="CZ20" i="52" a="1"/>
  <c r="CZ20" i="52" s="1"/>
  <c r="EA20" i="52" s="1" a="1"/>
  <c r="EA20" i="52" s="1"/>
  <c r="CR20" i="52" a="1"/>
  <c r="CR20" i="52" s="1"/>
  <c r="DS20" i="52" s="1" a="1"/>
  <c r="DS20" i="52" s="1"/>
  <c r="CS20" i="52" a="1"/>
  <c r="CS20" i="52" s="1"/>
  <c r="DT20" i="52" s="1" a="1"/>
  <c r="DT20" i="52" s="1"/>
  <c r="CH38" i="52" a="1"/>
  <c r="CH38" i="52" s="1"/>
  <c r="DI38" i="52" s="1" a="1"/>
  <c r="DI38" i="52" s="1"/>
  <c r="CY33" i="52" a="1"/>
  <c r="CY33" i="52" s="1"/>
  <c r="DZ33" i="52" s="1" a="1"/>
  <c r="DZ33" i="52" s="1"/>
  <c r="CX39" i="52" a="1"/>
  <c r="CX39" i="52" s="1"/>
  <c r="DY39" i="52" s="1" a="1"/>
  <c r="DY39" i="52" s="1"/>
  <c r="AV15" i="52" a="1"/>
  <c r="AV15" i="52" s="1"/>
  <c r="AW15" i="52" s="1" a="1"/>
  <c r="AW15" i="52" s="1"/>
  <c r="BG15" i="52" s="1" a="1"/>
  <c r="BG15" i="52" s="1"/>
  <c r="BH15" i="52" s="1" a="1"/>
  <c r="BH15" i="52" s="1"/>
  <c r="BI15" i="52" s="1" a="1"/>
  <c r="BI15" i="52" s="1"/>
  <c r="BA15" i="52" a="1"/>
  <c r="BA15" i="52" s="1"/>
  <c r="CZ30" i="52" a="1"/>
  <c r="CZ30" i="52" s="1"/>
  <c r="EA30" i="52" s="1" a="1"/>
  <c r="EA30" i="52" s="1"/>
  <c r="CR30" i="52" a="1"/>
  <c r="CR30" i="52" s="1"/>
  <c r="DS30" i="52" s="1" a="1"/>
  <c r="DS30" i="52" s="1"/>
  <c r="BM48" i="52" a="1"/>
  <c r="BM48" i="52" s="1"/>
  <c r="BA48" i="52" a="1"/>
  <c r="BA48" i="52" s="1"/>
  <c r="AV47" i="52" a="1"/>
  <c r="AV47" i="52" s="1"/>
  <c r="AW47" i="52" s="1" a="1"/>
  <c r="AW47" i="52" s="1"/>
  <c r="BG47" i="52" s="1" a="1"/>
  <c r="BG47" i="52" s="1"/>
  <c r="BH47" i="52" s="1" a="1"/>
  <c r="BH47" i="52" s="1"/>
  <c r="BI47" i="52" s="1" a="1"/>
  <c r="BI47" i="52" s="1"/>
  <c r="BA51" i="52" a="1"/>
  <c r="BA51" i="52" s="1"/>
  <c r="BE64" i="52" a="1"/>
  <c r="BE64" i="52" s="1"/>
  <c r="BF64" i="52" s="1" a="1"/>
  <c r="BF64" i="52" s="1"/>
  <c r="BF16" i="52" a="1"/>
  <c r="BF16" i="52" s="1"/>
  <c r="BM25" i="52" a="1"/>
  <c r="BM25" i="52" s="1"/>
  <c r="BM20" i="52" a="1"/>
  <c r="BM20" i="52" s="1"/>
  <c r="S20" i="52" a="1"/>
  <c r="S20" i="52" s="1"/>
  <c r="AL20" i="52" s="1" a="1"/>
  <c r="AL20" i="52" s="1"/>
  <c r="AM20" i="52" s="1" a="1"/>
  <c r="AM20" i="52" s="1"/>
  <c r="AN20" i="52" s="1" a="1"/>
  <c r="AN20" i="52" s="1"/>
  <c r="BM55" i="52" a="1"/>
  <c r="BM55" i="52" s="1"/>
  <c r="S55" i="52" a="1"/>
  <c r="S55" i="52" s="1"/>
  <c r="AL55" i="52" s="1" a="1"/>
  <c r="AL55" i="52" s="1"/>
  <c r="AM55" i="52" s="1" a="1"/>
  <c r="AM55" i="52" s="1"/>
  <c r="AN55" i="52" s="1" a="1"/>
  <c r="AN55" i="52" s="1"/>
  <c r="AI34" i="52" a="1"/>
  <c r="AI34" i="52" s="1"/>
  <c r="AD40" i="52" a="1"/>
  <c r="AD40" i="52" s="1"/>
  <c r="AE40" i="52" s="1" a="1"/>
  <c r="AE40" i="52" s="1"/>
  <c r="AO34" i="52" s="1" a="1"/>
  <c r="AO34" i="52" s="1"/>
  <c r="BN24" i="52" a="1"/>
  <c r="BN24" i="52" s="1"/>
  <c r="BO24" i="52" s="1" a="1"/>
  <c r="BO24" i="52" s="1"/>
  <c r="BY39" i="52" s="1" a="1"/>
  <c r="BY39" i="52" s="1"/>
  <c r="BS39" i="52" a="1"/>
  <c r="BS39" i="52" s="1"/>
  <c r="BE49" i="52" a="1"/>
  <c r="BE49" i="52" s="1"/>
  <c r="BE61" i="52" a="1"/>
  <c r="BE61" i="52" s="1"/>
  <c r="BF61" i="52" s="1" a="1"/>
  <c r="BF61" i="52" s="1"/>
  <c r="AC35" i="52" a="1"/>
  <c r="AC35" i="52" s="1"/>
  <c r="V35" i="52" a="1"/>
  <c r="V35" i="52" s="1"/>
  <c r="BD35" i="52" s="1" a="1"/>
  <c r="BD35" i="52" s="1"/>
  <c r="BE35" i="52" s="1" a="1"/>
  <c r="BE35" i="52" s="1"/>
  <c r="BF35" i="52" s="1" a="1"/>
  <c r="BF35" i="52" s="1"/>
  <c r="BM22" i="52" a="1"/>
  <c r="BM22" i="52" s="1"/>
  <c r="S22" i="52" a="1"/>
  <c r="S22" i="52" s="1"/>
  <c r="AL22" i="52" s="1" a="1"/>
  <c r="AL22" i="52" s="1"/>
  <c r="AU48" i="52" a="1"/>
  <c r="AU48" i="52" s="1"/>
  <c r="CZ16" i="52" a="1"/>
  <c r="CZ16" i="52" s="1"/>
  <c r="EA16" i="52" s="1" a="1"/>
  <c r="EA16" i="52" s="1"/>
  <c r="CR16" i="52" a="1"/>
  <c r="CR16" i="52" s="1"/>
  <c r="DS16" i="52" s="1" a="1"/>
  <c r="DS16" i="52" s="1"/>
  <c r="BM37" i="52" a="1"/>
  <c r="BM37" i="52" s="1"/>
  <c r="S37" i="52" a="1"/>
  <c r="S37" i="52" s="1"/>
  <c r="AL37" i="52" s="1" a="1"/>
  <c r="AL37" i="52" s="1"/>
  <c r="AM37" i="52" s="1" a="1"/>
  <c r="AM37" i="52" s="1"/>
  <c r="AN37" i="52" s="1" a="1"/>
  <c r="AN37" i="52" s="1"/>
  <c r="CN28" i="52" a="1"/>
  <c r="CN28" i="52" s="1"/>
  <c r="DO28" i="52" s="1" a="1"/>
  <c r="DO28" i="52" s="1"/>
  <c r="DA28" i="52" a="1"/>
  <c r="DA28" i="52" s="1"/>
  <c r="EB28" i="52" s="1" a="1"/>
  <c r="EB28" i="52" s="1"/>
  <c r="AF47" i="52" a="1"/>
  <c r="AF47" i="52" s="1"/>
  <c r="AG47" i="52" s="1" a="1"/>
  <c r="AG47" i="52" s="1"/>
  <c r="AH47" i="52" s="1" a="1"/>
  <c r="AH47" i="52" s="1"/>
  <c r="AJ47" i="52" a="1"/>
  <c r="AJ47" i="52" s="1"/>
  <c r="AK47" i="52" s="1" a="1"/>
  <c r="AK47" i="52" s="1"/>
  <c r="BF36" i="52" a="1"/>
  <c r="BF36" i="52" s="1"/>
  <c r="AV30" i="52" a="1"/>
  <c r="AV30" i="52" s="1"/>
  <c r="AW30" i="52" s="1" a="1"/>
  <c r="AW30" i="52" s="1"/>
  <c r="BG34" i="52" s="1" a="1"/>
  <c r="BG34" i="52" s="1"/>
  <c r="BA34" i="52" a="1"/>
  <c r="BA34" i="52" s="1"/>
  <c r="DA13" i="52" a="1"/>
  <c r="DA13" i="52" s="1"/>
  <c r="EB13" i="52" s="1" a="1"/>
  <c r="EB13" i="52" s="1"/>
  <c r="CN13" i="52" a="1"/>
  <c r="CN13" i="52" s="1"/>
  <c r="DO13" i="52" s="1" a="1"/>
  <c r="DO13" i="52" s="1"/>
  <c r="DB13" i="52" a="1"/>
  <c r="DB13" i="52" s="1"/>
  <c r="EC13" i="52" s="1" a="1"/>
  <c r="EC13" i="52" s="1"/>
  <c r="DB53" i="52" a="1"/>
  <c r="DB53" i="52" s="1"/>
  <c r="EC53" i="52" s="1" a="1"/>
  <c r="EC53" i="52" s="1"/>
  <c r="CV50" i="52" a="1"/>
  <c r="CV50" i="52" s="1"/>
  <c r="DW50" i="52" s="1" a="1"/>
  <c r="DW50" i="52" s="1"/>
  <c r="CQ55" i="52" a="1"/>
  <c r="CQ55" i="52" s="1"/>
  <c r="DR55" i="52" s="1" a="1"/>
  <c r="DR55" i="52" s="1"/>
  <c r="CZ64" i="52" a="1"/>
  <c r="CZ64" i="52" s="1"/>
  <c r="EA64" i="52" s="1" a="1"/>
  <c r="EA64" i="52" s="1"/>
  <c r="CS64" i="52" a="1"/>
  <c r="CS64" i="52" s="1"/>
  <c r="DT64" i="52" s="1" a="1"/>
  <c r="DT64" i="52" s="1"/>
  <c r="CR64" i="52" a="1"/>
  <c r="CR64" i="52" s="1"/>
  <c r="DS64" i="52" s="1" a="1"/>
  <c r="DS64" i="52" s="1"/>
  <c r="BS19" i="52" a="1"/>
  <c r="BS19" i="52" s="1"/>
  <c r="CH40" i="52" a="1"/>
  <c r="CH40" i="52" s="1"/>
  <c r="DI40" i="52" s="1" a="1"/>
  <c r="DI40" i="52" s="1"/>
  <c r="CY31" i="52" a="1"/>
  <c r="CY31" i="52" s="1"/>
  <c r="DZ31" i="52" s="1" a="1"/>
  <c r="DZ31" i="52" s="1"/>
  <c r="CN22" i="52" a="1"/>
  <c r="CN22" i="52" s="1"/>
  <c r="DO22" i="52" s="1" a="1"/>
  <c r="DO22" i="52" s="1"/>
  <c r="DB22" i="52" a="1"/>
  <c r="DB22" i="52" s="1"/>
  <c r="EC22" i="52" s="1" a="1"/>
  <c r="EC22" i="52" s="1"/>
  <c r="DA22" i="52" a="1"/>
  <c r="DA22" i="52" s="1"/>
  <c r="EB22" i="52" s="1" a="1"/>
  <c r="EB22" i="52" s="1"/>
  <c r="AI25" i="52" a="1"/>
  <c r="AI25" i="52" s="1"/>
  <c r="AU28" i="52" a="1"/>
  <c r="AU28" i="52" s="1"/>
  <c r="Y28" i="52" a="1"/>
  <c r="Y28" i="52" s="1"/>
  <c r="BV28" i="52" s="1" a="1"/>
  <c r="BV28" i="52" s="1"/>
  <c r="BW28" i="52" s="1" a="1"/>
  <c r="BW28" i="52" s="1"/>
  <c r="BX28" i="52" s="1" a="1"/>
  <c r="BX28" i="52" s="1"/>
  <c r="CV32" i="52" a="1"/>
  <c r="CV32" i="52" s="1"/>
  <c r="DW32" i="52" s="1" a="1"/>
  <c r="DW32" i="52" s="1"/>
  <c r="CQ38" i="52" a="1"/>
  <c r="CQ38" i="52" s="1"/>
  <c r="DR38" i="52" s="1" a="1"/>
  <c r="DR38" i="52" s="1"/>
  <c r="S16" i="52" a="1"/>
  <c r="S16" i="52" s="1"/>
  <c r="AL16" i="52" s="1" a="1"/>
  <c r="AL16" i="52" s="1"/>
  <c r="AM16" i="52" s="1" a="1"/>
  <c r="AM16" i="52" s="1"/>
  <c r="AN16" i="52" s="1" a="1"/>
  <c r="AN16" i="52" s="1"/>
  <c r="BM16" i="52" a="1"/>
  <c r="BM16" i="52" s="1"/>
  <c r="CH47" i="52" a="1"/>
  <c r="CH47" i="52" s="1"/>
  <c r="DI47" i="52" s="1" a="1"/>
  <c r="DI47" i="52" s="1"/>
  <c r="CY62" i="52" a="1"/>
  <c r="CY62" i="52" s="1"/>
  <c r="DZ62" i="52" s="1" a="1"/>
  <c r="DZ62" i="52" s="1"/>
  <c r="CZ44" i="52" a="1"/>
  <c r="CZ44" i="52" s="1"/>
  <c r="EA44" i="52" s="1" a="1"/>
  <c r="EA44" i="52" s="1"/>
  <c r="AU26" i="52" a="1"/>
  <c r="AU26" i="52" s="1"/>
  <c r="BM51" i="52" a="1"/>
  <c r="BM51" i="52" s="1"/>
  <c r="BM60" i="52" a="1"/>
  <c r="BM60" i="52" s="1"/>
  <c r="BN59" i="52" s="1" a="1"/>
  <c r="BN59" i="52" s="1"/>
  <c r="BO59" i="52" s="1" a="1"/>
  <c r="BO59" i="52" s="1"/>
  <c r="BY59" i="52" s="1" a="1"/>
  <c r="BY59" i="52" s="1"/>
  <c r="S51" i="52" a="1"/>
  <c r="S51" i="52" s="1"/>
  <c r="AL51" i="52" s="1" a="1"/>
  <c r="AL51" i="52" s="1"/>
  <c r="AM51" i="52" s="1" a="1"/>
  <c r="AM51" i="52" s="1"/>
  <c r="AN51" i="52" s="1" a="1"/>
  <c r="AN51" i="52" s="1"/>
  <c r="CK27" i="52" a="1"/>
  <c r="CK27" i="52" s="1"/>
  <c r="DL27" i="52" s="1" a="1"/>
  <c r="DL27" i="52" s="1"/>
  <c r="CK51" i="52" a="1"/>
  <c r="CK51" i="52" s="1"/>
  <c r="DL51" i="52" s="1" a="1"/>
  <c r="DL51" i="52" s="1"/>
  <c r="CW21" i="52" a="1"/>
  <c r="CW21" i="52" s="1"/>
  <c r="DX21" i="52" s="1" a="1"/>
  <c r="DX21" i="52" s="1"/>
  <c r="CT21" i="52" a="1"/>
  <c r="CT21" i="52" s="1"/>
  <c r="DU21" i="52" s="1" a="1"/>
  <c r="DU21" i="52" s="1"/>
  <c r="CP21" i="52" a="1"/>
  <c r="CP21" i="52" s="1"/>
  <c r="DQ21" i="52" s="1" a="1"/>
  <c r="DQ21" i="52" s="1"/>
  <c r="V27" i="52" a="1"/>
  <c r="V27" i="52" s="1"/>
  <c r="BD27" i="52" s="1" a="1"/>
  <c r="BD27" i="52" s="1"/>
  <c r="BE27" i="52" s="1" a="1"/>
  <c r="BE27" i="52" s="1"/>
  <c r="BF27" i="52" s="1" a="1"/>
  <c r="BF27" i="52" s="1"/>
  <c r="AC41" i="52" a="1"/>
  <c r="AC41" i="52" s="1"/>
  <c r="AC27" i="52" a="1"/>
  <c r="AC27" i="52" s="1"/>
  <c r="DA52" i="52" a="1"/>
  <c r="DA52" i="52" s="1"/>
  <c r="EB52" i="52" s="1" a="1"/>
  <c r="EB52" i="52" s="1"/>
  <c r="DB52" i="52" a="1"/>
  <c r="DB52" i="52" s="1"/>
  <c r="EC52" i="52" s="1" a="1"/>
  <c r="EC52" i="52" s="1"/>
  <c r="CN52" i="52" a="1"/>
  <c r="CN52" i="52" s="1"/>
  <c r="DO52" i="52" s="1" a="1"/>
  <c r="DO52" i="52" s="1"/>
  <c r="V33" i="52" a="1"/>
  <c r="V33" i="52" s="1"/>
  <c r="BD33" i="52" s="1" a="1"/>
  <c r="BD33" i="52" s="1"/>
  <c r="AC33" i="52" a="1"/>
  <c r="AC33" i="52" s="1"/>
  <c r="CK55" i="52" a="1"/>
  <c r="CK55" i="52" s="1"/>
  <c r="DL55" i="52" s="1" a="1"/>
  <c r="DL55" i="52" s="1"/>
  <c r="AC14" i="52" a="1"/>
  <c r="AC14" i="52" s="1"/>
  <c r="S15" i="52" a="1"/>
  <c r="S15" i="52" s="1"/>
  <c r="AL15" i="52" s="1" a="1"/>
  <c r="AL15" i="52" s="1"/>
  <c r="BM15" i="52" a="1"/>
  <c r="BM15" i="52" s="1"/>
  <c r="BM12" i="52" a="1"/>
  <c r="BM12" i="52" s="1"/>
  <c r="AI14" i="52" a="1"/>
  <c r="AI14" i="52" s="1"/>
  <c r="CH39" i="52" a="1"/>
  <c r="CH39" i="52" s="1"/>
  <c r="DI39" i="52" s="1" a="1"/>
  <c r="DI39" i="52" s="1"/>
  <c r="CY30" i="52" a="1"/>
  <c r="CY30" i="52" s="1"/>
  <c r="DZ30" i="52" s="1" a="1"/>
  <c r="DZ30" i="52" s="1"/>
  <c r="CR31" i="52" a="1"/>
  <c r="CR31" i="52" s="1"/>
  <c r="DS31" i="52" s="1" a="1"/>
  <c r="DS31" i="52" s="1"/>
  <c r="BM35" i="52" a="1"/>
  <c r="BM35" i="52" s="1"/>
  <c r="S35" i="52" a="1"/>
  <c r="S35" i="52" s="1"/>
  <c r="AL35" i="52" s="1" a="1"/>
  <c r="AL35" i="52" s="1"/>
  <c r="DA36" i="52" a="1"/>
  <c r="DA36" i="52" s="1"/>
  <c r="EB36" i="52" s="1" a="1"/>
  <c r="EB36" i="52" s="1"/>
  <c r="CN36" i="52" a="1"/>
  <c r="CN36" i="52" s="1"/>
  <c r="DO36" i="52" s="1" a="1"/>
  <c r="DO36" i="52" s="1"/>
  <c r="CZ25" i="52" a="1"/>
  <c r="CZ25" i="52" s="1"/>
  <c r="EA25" i="52" s="1" a="1"/>
  <c r="EA25" i="52" s="1"/>
  <c r="CK38" i="52" a="1"/>
  <c r="CK38" i="52" s="1"/>
  <c r="DL38" i="52" s="1" a="1"/>
  <c r="DL38" i="52" s="1"/>
  <c r="CK41" i="52" a="1"/>
  <c r="CK41" i="52" s="1"/>
  <c r="DL41" i="52" s="1" a="1"/>
  <c r="DL41" i="52" s="1"/>
  <c r="CZ19" i="52" a="1"/>
  <c r="CZ19" i="52" s="1"/>
  <c r="EA19" i="52" s="1" a="1"/>
  <c r="EA19" i="52" s="1"/>
  <c r="CK19" i="52" a="1"/>
  <c r="CK19" i="52" s="1"/>
  <c r="DL19" i="52" s="1" a="1"/>
  <c r="DL19" i="52" s="1"/>
  <c r="BE59" i="52" a="1"/>
  <c r="BE59" i="52" s="1"/>
  <c r="AD39" i="52" a="1"/>
  <c r="AD39" i="52" s="1"/>
  <c r="AE39" i="52" s="1" a="1"/>
  <c r="AE39" i="52" s="1"/>
  <c r="AO37" i="52" s="1" a="1"/>
  <c r="AO37" i="52" s="1"/>
  <c r="AI37" i="52" a="1"/>
  <c r="AI37" i="52" s="1"/>
  <c r="AD52" i="52" a="1"/>
  <c r="AD52" i="52" s="1"/>
  <c r="AE52" i="52" s="1" a="1"/>
  <c r="AE52" i="52" s="1"/>
  <c r="AO52" i="52" s="1" a="1"/>
  <c r="AO52" i="52" s="1"/>
  <c r="AP52" i="52" s="1" a="1"/>
  <c r="AP52" i="52" s="1"/>
  <c r="AQ52" i="52" s="1" a="1"/>
  <c r="AQ52" i="52" s="1"/>
  <c r="AI64" i="52" a="1"/>
  <c r="AI64" i="52" s="1"/>
  <c r="Y31" i="52" a="1"/>
  <c r="Y31" i="52" s="1"/>
  <c r="BV31" i="52" s="1" a="1"/>
  <c r="BV31" i="52" s="1"/>
  <c r="AU31" i="52" a="1"/>
  <c r="AU31" i="52" s="1"/>
  <c r="AC56" i="52" a="1"/>
  <c r="AC56" i="52" s="1"/>
  <c r="V56" i="52" a="1"/>
  <c r="V56" i="52" s="1"/>
  <c r="BD56" i="52" s="1" a="1"/>
  <c r="BD56" i="52" s="1"/>
  <c r="BE56" i="52" s="1" a="1"/>
  <c r="BE56" i="52" s="1"/>
  <c r="BF56" i="52" s="1" a="1"/>
  <c r="BF56" i="52" s="1"/>
  <c r="BN45" i="52" a="1"/>
  <c r="BN45" i="52" s="1"/>
  <c r="BO45" i="52" s="1" a="1"/>
  <c r="BO45" i="52" s="1"/>
  <c r="BY45" i="52" s="1" a="1"/>
  <c r="BY45" i="52" s="1"/>
  <c r="BZ45" i="52" s="1" a="1"/>
  <c r="BZ45" i="52" s="1"/>
  <c r="CA45" i="52" s="1" a="1"/>
  <c r="CA45" i="52" s="1"/>
  <c r="BS48" i="52" a="1"/>
  <c r="BS48" i="52" s="1"/>
  <c r="CV42" i="52" a="1"/>
  <c r="CV42" i="52" s="1"/>
  <c r="DW42" i="52" s="1" a="1"/>
  <c r="DW42" i="52" s="1"/>
  <c r="CQ59" i="52" a="1"/>
  <c r="CQ59" i="52" s="1"/>
  <c r="DR59" i="52" s="1" a="1"/>
  <c r="DR59" i="52" s="1"/>
  <c r="Y61" i="52" a="1"/>
  <c r="Y61" i="52" s="1"/>
  <c r="BV61" i="52" s="1" a="1"/>
  <c r="BV61" i="52" s="1"/>
  <c r="BX59" i="52" s="1" a="1"/>
  <c r="BX59" i="52" s="1"/>
  <c r="AU61" i="52" a="1"/>
  <c r="AU61" i="52" s="1"/>
  <c r="CV37" i="52" a="1"/>
  <c r="CV37" i="52" s="1"/>
  <c r="DW37" i="52" s="1" a="1"/>
  <c r="DW37" i="52" s="1"/>
  <c r="CQ24" i="52" a="1"/>
  <c r="CQ24" i="52" s="1"/>
  <c r="DR24" i="52" s="1" a="1"/>
  <c r="DR24" i="52" s="1"/>
  <c r="CK57" i="52" a="1"/>
  <c r="CK57" i="52" s="1"/>
  <c r="DL57" i="52" s="1" a="1"/>
  <c r="DL57" i="52" s="1"/>
  <c r="Y62" i="52" a="1"/>
  <c r="Y62" i="52" s="1"/>
  <c r="BV62" i="52" s="1" a="1"/>
  <c r="BV62" i="52" s="1"/>
  <c r="BW62" i="52" s="1" a="1"/>
  <c r="BW62" i="52" s="1"/>
  <c r="BX62" i="52" s="1" a="1"/>
  <c r="BX62" i="52" s="1"/>
  <c r="AU62" i="52" a="1"/>
  <c r="AU62" i="52" s="1"/>
  <c r="AC34" i="52" a="1"/>
  <c r="AC34" i="52" s="1"/>
  <c r="V34" i="52" a="1"/>
  <c r="V34" i="52" s="1"/>
  <c r="BD34" i="52" s="1" a="1"/>
  <c r="BD34" i="52" s="1"/>
  <c r="BE34" i="52" s="1" a="1"/>
  <c r="BE34" i="52" s="1"/>
  <c r="BF34" i="52" s="1" a="1"/>
  <c r="BF34" i="52" s="1"/>
  <c r="BM52" i="52" a="1"/>
  <c r="BM52" i="52" s="1"/>
  <c r="S52" i="52" a="1"/>
  <c r="S52" i="52" s="1"/>
  <c r="AL52" i="52" s="1" a="1"/>
  <c r="AL52" i="52" s="1"/>
  <c r="BM23" i="52" a="1"/>
  <c r="BM23" i="52" s="1"/>
  <c r="S23" i="52" a="1"/>
  <c r="S23" i="52" s="1"/>
  <c r="AL23" i="52" s="1" a="1"/>
  <c r="AL23" i="52" s="1"/>
  <c r="AM23" i="52" s="1" a="1"/>
  <c r="AM23" i="52" s="1"/>
  <c r="AN23" i="52" s="1" a="1"/>
  <c r="AN23" i="52" s="1"/>
  <c r="CX41" i="52" a="1"/>
  <c r="CX41" i="52" s="1"/>
  <c r="DY41" i="52" s="1" a="1"/>
  <c r="DY41" i="52" s="1"/>
  <c r="AD31" i="52" a="1"/>
  <c r="AD31" i="52" s="1"/>
  <c r="AE31" i="52" s="1" a="1"/>
  <c r="AE31" i="52" s="1"/>
  <c r="AO30" i="52" s="1" a="1"/>
  <c r="AO30" i="52" s="1"/>
  <c r="AI30" i="52" a="1"/>
  <c r="AI30" i="52" s="1"/>
  <c r="CZ24" i="52" a="1"/>
  <c r="CZ24" i="52" s="1"/>
  <c r="EA24" i="52" s="1" a="1"/>
  <c r="EA24" i="52" s="1"/>
  <c r="CR24" i="52" a="1"/>
  <c r="CR24" i="52" s="1"/>
  <c r="DS24" i="52" s="1" a="1"/>
  <c r="DS24" i="52" s="1"/>
  <c r="AI57" i="52" a="1"/>
  <c r="AI57" i="52" s="1"/>
  <c r="AD54" i="52" a="1"/>
  <c r="AD54" i="52" s="1"/>
  <c r="AE54" i="52" s="1" a="1"/>
  <c r="AE54" i="52" s="1"/>
  <c r="AO57" i="52" s="1" a="1"/>
  <c r="AO57" i="52" s="1"/>
  <c r="AP57" i="52" s="1" a="1"/>
  <c r="AP57" i="52" s="1"/>
  <c r="Y52" i="52" a="1"/>
  <c r="Y52" i="52" s="1"/>
  <c r="BV52" i="52" s="1" a="1"/>
  <c r="BV52" i="52" s="1"/>
  <c r="BW52" i="52" s="1" a="1"/>
  <c r="BW52" i="52" s="1"/>
  <c r="BX52" i="52" s="1" a="1"/>
  <c r="BX52" i="52" s="1"/>
  <c r="AU52" i="52" a="1"/>
  <c r="AU52" i="52" s="1"/>
  <c r="AC57" i="52" a="1"/>
  <c r="AC57" i="52" s="1"/>
  <c r="V57" i="52" a="1"/>
  <c r="V57" i="52" s="1"/>
  <c r="BD57" i="52" s="1" a="1"/>
  <c r="BD57" i="52" s="1"/>
  <c r="CX51" i="52" a="1"/>
  <c r="CX51" i="52" s="1"/>
  <c r="DY51" i="52" s="1" a="1"/>
  <c r="DY51" i="52" s="1"/>
  <c r="BM64" i="52" a="1"/>
  <c r="BM64" i="52" s="1"/>
  <c r="S64" i="52" a="1"/>
  <c r="S64" i="52" s="1"/>
  <c r="AL64" i="52" s="1" a="1"/>
  <c r="AL64" i="52" s="1"/>
  <c r="AM64" i="52" s="1" a="1"/>
  <c r="AM64" i="52" s="1"/>
  <c r="CR40" i="52" a="1"/>
  <c r="CR40" i="52" s="1"/>
  <c r="DS40" i="52" s="1" a="1"/>
  <c r="DS40" i="52" s="1"/>
  <c r="CZ40" i="52" a="1"/>
  <c r="CZ40" i="52" s="1"/>
  <c r="EA40" i="52" s="1" a="1"/>
  <c r="EA40" i="52" s="1"/>
  <c r="DB32" i="52" a="1"/>
  <c r="DB32" i="52" s="1"/>
  <c r="EC32" i="52" s="1" a="1"/>
  <c r="EC32" i="52" s="1"/>
  <c r="CN32" i="52" a="1"/>
  <c r="CN32" i="52" s="1"/>
  <c r="DO32" i="52" s="1" a="1"/>
  <c r="DO32" i="52" s="1"/>
  <c r="DA32" i="52" a="1"/>
  <c r="DA32" i="52" s="1"/>
  <c r="EB32" i="52" s="1" a="1"/>
  <c r="EB32" i="52" s="1"/>
  <c r="CH29" i="52" a="1"/>
  <c r="CH29" i="52" s="1"/>
  <c r="DI29" i="52" s="1" a="1"/>
  <c r="DI29" i="52" s="1"/>
  <c r="CX33" i="52" a="1"/>
  <c r="CX33" i="52" s="1"/>
  <c r="DY33" i="52" s="1" a="1"/>
  <c r="DY33" i="52" s="1"/>
  <c r="CY28" i="52" a="1"/>
  <c r="CY28" i="52" s="1"/>
  <c r="DZ28" i="52" s="1" a="1"/>
  <c r="DZ28" i="52" s="1"/>
  <c r="DA35" i="52" a="1"/>
  <c r="DA35" i="52" s="1"/>
  <c r="EB35" i="52" s="1" a="1"/>
  <c r="EB35" i="52" s="1"/>
  <c r="CN35" i="52" a="1"/>
  <c r="CN35" i="52" s="1"/>
  <c r="DO35" i="52" s="1" a="1"/>
  <c r="DO35" i="52" s="1"/>
  <c r="CK28" i="52" a="1"/>
  <c r="CK28" i="52" s="1"/>
  <c r="DL28" i="52" s="1" a="1"/>
  <c r="DL28" i="52" s="1"/>
  <c r="CK18" i="52" a="1"/>
  <c r="CK18" i="52" s="1"/>
  <c r="DL18" i="52" s="1" a="1"/>
  <c r="DL18" i="52" s="1"/>
  <c r="BS60" i="52" a="1"/>
  <c r="BS60" i="52" s="1"/>
  <c r="AD62" i="52" a="1"/>
  <c r="AD62" i="52" s="1"/>
  <c r="AE62" i="52" s="1" a="1"/>
  <c r="AE62" i="52" s="1"/>
  <c r="AO62" i="52" s="1" a="1"/>
  <c r="AO62" i="52" s="1"/>
  <c r="AP62" i="52" s="1" a="1"/>
  <c r="AP62" i="52" s="1"/>
  <c r="AQ62" i="52" s="1" a="1"/>
  <c r="AQ62" i="52" s="1"/>
  <c r="AI60" i="52" a="1"/>
  <c r="AI60" i="52" s="1"/>
  <c r="AV21" i="52" a="1"/>
  <c r="AV21" i="52" s="1"/>
  <c r="AW21" i="52" s="1" a="1"/>
  <c r="AW21" i="52" s="1"/>
  <c r="BG20" i="52" s="1" a="1"/>
  <c r="BG20" i="52" s="1"/>
  <c r="BA20" i="52" a="1"/>
  <c r="BA20" i="52" s="1"/>
  <c r="AD58" i="52" a="1"/>
  <c r="AD58" i="52" s="1"/>
  <c r="AE58" i="52" s="1" a="1"/>
  <c r="AE58" i="52" s="1"/>
  <c r="AO58" i="52" s="1" a="1"/>
  <c r="AO58" i="52" s="1"/>
  <c r="AP58" i="52" s="1" a="1"/>
  <c r="AP58" i="52" s="1"/>
  <c r="AQ58" i="52" s="1" a="1"/>
  <c r="AQ58" i="52" s="1"/>
  <c r="AI44" i="52" a="1"/>
  <c r="AI44" i="52" s="1"/>
  <c r="AV32" i="52" a="1"/>
  <c r="AV32" i="52" s="1"/>
  <c r="AW32" i="52" s="1" a="1"/>
  <c r="AW32" i="52" s="1"/>
  <c r="BG32" i="52" s="1" a="1"/>
  <c r="BG32" i="52" s="1"/>
  <c r="BA36" i="52" a="1"/>
  <c r="BA36" i="52" s="1"/>
  <c r="BA28" i="52" a="1"/>
  <c r="BA28" i="52" s="1"/>
  <c r="CV58" i="52" a="1"/>
  <c r="CV58" i="52" s="1"/>
  <c r="DW58" i="52" s="1" a="1"/>
  <c r="DW58" i="52" s="1"/>
  <c r="CQ49" i="52" a="1"/>
  <c r="CQ49" i="52" s="1"/>
  <c r="DR49" i="52" s="1" a="1"/>
  <c r="DR49" i="52" s="1"/>
  <c r="Y37" i="52" a="1"/>
  <c r="Y37" i="52" s="1"/>
  <c r="BV37" i="52" s="1" a="1"/>
  <c r="BV37" i="52" s="1"/>
  <c r="BW37" i="52" s="1" a="1"/>
  <c r="BW37" i="52" s="1"/>
  <c r="AU37" i="52" a="1"/>
  <c r="AU37" i="52" s="1"/>
  <c r="BE13" i="52" a="1"/>
  <c r="BE13" i="52" s="1"/>
  <c r="BF13" i="52" s="1" a="1"/>
  <c r="BF13" i="52" s="1"/>
  <c r="CZ38" i="52" a="1"/>
  <c r="CZ38" i="52" s="1"/>
  <c r="EA38" i="52" s="1" a="1"/>
  <c r="EA38" i="52" s="1"/>
  <c r="CR38" i="52" a="1"/>
  <c r="CR38" i="52" s="1"/>
  <c r="DS38" i="52" s="1" a="1"/>
  <c r="DS38" i="52" s="1"/>
  <c r="CQ27" i="52" a="1"/>
  <c r="CQ27" i="52" s="1"/>
  <c r="DR27" i="52" s="1" a="1"/>
  <c r="DR27" i="52" s="1"/>
  <c r="CV38" i="52" a="1"/>
  <c r="CV38" i="52" s="1"/>
  <c r="DW38" i="52" s="1" a="1"/>
  <c r="DW38" i="52" s="1"/>
  <c r="DB33" i="52" a="1"/>
  <c r="DB33" i="52" s="1"/>
  <c r="EC33" i="52" s="1" a="1"/>
  <c r="EC33" i="52" s="1"/>
  <c r="CZ49" i="52" a="1"/>
  <c r="CZ49" i="52" s="1"/>
  <c r="EA49" i="52" s="1" a="1"/>
  <c r="EA49" i="52" s="1"/>
  <c r="CR49" i="52" a="1"/>
  <c r="CR49" i="52" s="1"/>
  <c r="DS49" i="52" s="1" a="1"/>
  <c r="DS49" i="52" s="1"/>
  <c r="Y29" i="52" a="1"/>
  <c r="Y29" i="52" s="1"/>
  <c r="BV29" i="52" s="1" a="1"/>
  <c r="BV29" i="52" s="1"/>
  <c r="BW29" i="52" s="1" a="1"/>
  <c r="BW29" i="52" s="1"/>
  <c r="BX29" i="52" s="1" a="1"/>
  <c r="BX29" i="52" s="1"/>
  <c r="AU29" i="52" a="1"/>
  <c r="AU29" i="52" s="1"/>
  <c r="AV25" i="52" s="1" a="1"/>
  <c r="AV25" i="52" s="1"/>
  <c r="AU27" i="52" a="1"/>
  <c r="AU27" i="52" s="1"/>
  <c r="DB19" i="52" a="1"/>
  <c r="DB19" i="52" s="1"/>
  <c r="EC19" i="52" s="1" a="1"/>
  <c r="EC19" i="52" s="1"/>
  <c r="CK31" i="52" a="1"/>
  <c r="CK31" i="52" s="1"/>
  <c r="DL31" i="52" s="1" a="1"/>
  <c r="DL31" i="52" s="1"/>
  <c r="CP40" i="52" a="1"/>
  <c r="CP40" i="52" s="1"/>
  <c r="DQ40" i="52" s="1" a="1"/>
  <c r="DQ40" i="52" s="1"/>
  <c r="CH58" i="52" a="1"/>
  <c r="CH58" i="52" s="1"/>
  <c r="DI58" i="52" s="1" a="1"/>
  <c r="DI58" i="52" s="1"/>
  <c r="CX46" i="52" a="1"/>
  <c r="CX46" i="52" s="1"/>
  <c r="DY46" i="52" s="1" a="1"/>
  <c r="DY46" i="52" s="1"/>
  <c r="CY59" i="52" a="1"/>
  <c r="CY59" i="52" s="1"/>
  <c r="DZ59" i="52" s="1" a="1"/>
  <c r="DZ59" i="52" s="1"/>
  <c r="BM49" i="52" a="1"/>
  <c r="BM49" i="52" s="1"/>
  <c r="BM44" i="52" a="1"/>
  <c r="BM44" i="52" s="1"/>
  <c r="S44" i="52" a="1"/>
  <c r="S44" i="52" s="1"/>
  <c r="AL44" i="52" s="1" a="1"/>
  <c r="AL44" i="52" s="1"/>
  <c r="BX15" i="52" a="1"/>
  <c r="BX15" i="52" s="1"/>
  <c r="BW13" i="52" a="1"/>
  <c r="BW13" i="52" s="1"/>
  <c r="CX50" i="52" a="1"/>
  <c r="CX50" i="52" s="1"/>
  <c r="DY50" i="52" s="1" a="1"/>
  <c r="DY50" i="52" s="1"/>
  <c r="CY65" i="52" a="1"/>
  <c r="CY65" i="52" s="1"/>
  <c r="DZ65" i="52" s="1" a="1"/>
  <c r="DZ65" i="52" s="1"/>
  <c r="CH46" i="52" a="1"/>
  <c r="CH46" i="52" s="1"/>
  <c r="DI46" i="52" s="1" a="1"/>
  <c r="DI46" i="52" s="1"/>
  <c r="CK52" i="52" a="1"/>
  <c r="CK52" i="52" s="1"/>
  <c r="DL52" i="52" s="1" a="1"/>
  <c r="DL52" i="52" s="1"/>
  <c r="BM57" i="52" a="1"/>
  <c r="BM57" i="52" s="1"/>
  <c r="S57" i="52" a="1"/>
  <c r="S57" i="52" s="1"/>
  <c r="AL57" i="52" s="1" a="1"/>
  <c r="AL57" i="52" s="1"/>
  <c r="AM57" i="52" s="1" a="1"/>
  <c r="AM57" i="52" s="1"/>
  <c r="AN57" i="52" s="1" a="1"/>
  <c r="AN57" i="52" s="1"/>
  <c r="S14" i="52" a="1"/>
  <c r="S14" i="52" s="1"/>
  <c r="AL14" i="52" s="1" a="1"/>
  <c r="AL14" i="52" s="1"/>
  <c r="BM14" i="52" a="1"/>
  <c r="BM14" i="52" s="1"/>
  <c r="CH37" i="52" a="1"/>
  <c r="CH37" i="52" s="1"/>
  <c r="DI37" i="52" s="1" a="1"/>
  <c r="DI37" i="52" s="1"/>
  <c r="CX25" i="52" a="1"/>
  <c r="CX25" i="52" s="1"/>
  <c r="DY25" i="52" s="1" a="1"/>
  <c r="DY25" i="52" s="1"/>
  <c r="CY34" i="52" a="1"/>
  <c r="CY34" i="52" s="1"/>
  <c r="DZ34" i="52" s="1" a="1"/>
  <c r="DZ34" i="52" s="1"/>
  <c r="CH26" i="52" a="1"/>
  <c r="CH26" i="52" s="1"/>
  <c r="DI26" i="52" s="1" a="1"/>
  <c r="DI26" i="52" s="1"/>
  <c r="CY29" i="52" a="1"/>
  <c r="CY29" i="52" s="1"/>
  <c r="DZ29" i="52" s="1" a="1"/>
  <c r="DZ29" i="52" s="1"/>
  <c r="CX30" i="52" a="1"/>
  <c r="CX30" i="52" s="1"/>
  <c r="DY30" i="52" s="1" a="1"/>
  <c r="DY30" i="52" s="1"/>
  <c r="CH15" i="52" a="1"/>
  <c r="CH15" i="52" s="1"/>
  <c r="DI15" i="52" s="1" a="1"/>
  <c r="DI15" i="52" s="1"/>
  <c r="CY13" i="52" a="1"/>
  <c r="CY13" i="52" s="1"/>
  <c r="DZ13" i="52" s="1" a="1"/>
  <c r="DZ13" i="52" s="1"/>
  <c r="CZ56" i="52" a="1"/>
  <c r="CZ56" i="52" s="1"/>
  <c r="EA56" i="52" s="1" a="1"/>
  <c r="EA56" i="52" s="1"/>
  <c r="Y35" i="52" a="1"/>
  <c r="Y35" i="52" s="1"/>
  <c r="BV35" i="52" s="1" a="1"/>
  <c r="BV35" i="52" s="1"/>
  <c r="AU35" i="52" a="1"/>
  <c r="AU35" i="52" s="1"/>
  <c r="AU33" i="52" a="1"/>
  <c r="AU33" i="52" s="1"/>
  <c r="CX52" i="52" a="1"/>
  <c r="CX52" i="52" s="1"/>
  <c r="DY52" i="52" s="1" a="1"/>
  <c r="DY52" i="52" s="1"/>
  <c r="CH48" i="52" a="1"/>
  <c r="CH48" i="52" s="1"/>
  <c r="DI48" i="52" s="1" a="1"/>
  <c r="DI48" i="52" s="1"/>
  <c r="CY63" i="52" a="1"/>
  <c r="CY63" i="52" s="1"/>
  <c r="DZ63" i="52" s="1" a="1"/>
  <c r="DZ63" i="52" s="1"/>
  <c r="AC38" i="52" a="1"/>
  <c r="AC38" i="52" s="1"/>
  <c r="V38" i="52" a="1"/>
  <c r="V38" i="52" s="1"/>
  <c r="BD38" i="52" s="1" a="1"/>
  <c r="BD38" i="52" s="1"/>
  <c r="BF40" i="52" s="1" a="1"/>
  <c r="BF40" i="52" s="1"/>
  <c r="DA27" i="52" a="1"/>
  <c r="DA27" i="52" s="1"/>
  <c r="EB27" i="52" s="1" a="1"/>
  <c r="EB27" i="52" s="1"/>
  <c r="CN27" i="52" a="1"/>
  <c r="CN27" i="52" s="1"/>
  <c r="DO27" i="52" s="1" a="1"/>
  <c r="DO27" i="52" s="1"/>
  <c r="DA41" i="52" a="1"/>
  <c r="DA41" i="52" s="1"/>
  <c r="EB41" i="52" s="1" a="1"/>
  <c r="EB41" i="52" s="1"/>
  <c r="CN41" i="52" a="1"/>
  <c r="CN41" i="52" s="1"/>
  <c r="DO41" i="52" s="1" a="1"/>
  <c r="DO41" i="52" s="1"/>
  <c r="CH21" i="52" a="1"/>
  <c r="CH21" i="52" s="1"/>
  <c r="DI21" i="52" s="1" a="1"/>
  <c r="DI21" i="52" s="1"/>
  <c r="CX20" i="52" a="1"/>
  <c r="CX20" i="52" s="1"/>
  <c r="DY20" i="52" s="1" a="1"/>
  <c r="DY20" i="52" s="1"/>
  <c r="CY24" i="52" a="1"/>
  <c r="CY24" i="52" s="1"/>
  <c r="DZ24" i="52" s="1" a="1"/>
  <c r="DZ24" i="52" s="1"/>
  <c r="CZ47" i="52" a="1"/>
  <c r="CZ47" i="52" s="1"/>
  <c r="EA47" i="52" s="1" a="1"/>
  <c r="EA47" i="52" s="1"/>
  <c r="CR47" i="52" a="1"/>
  <c r="CR47" i="52" s="1"/>
  <c r="DS47" i="52" s="1" a="1"/>
  <c r="DS47" i="52" s="1"/>
  <c r="CS47" i="52" a="1"/>
  <c r="CS47" i="52" s="1"/>
  <c r="DT47" i="52" s="1" a="1"/>
  <c r="DT47" i="52" s="1"/>
  <c r="CX40" i="52" a="1"/>
  <c r="CX40" i="52" s="1"/>
  <c r="DY40" i="52" s="1" a="1"/>
  <c r="DY40" i="52" s="1"/>
  <c r="CP47" i="52" a="1"/>
  <c r="CP47" i="52" s="1"/>
  <c r="DQ47" i="52" s="1" a="1"/>
  <c r="DQ47" i="52" s="1"/>
  <c r="BM63" i="52" a="1"/>
  <c r="BM63" i="52" s="1"/>
  <c r="BS21" i="52" a="1"/>
  <c r="BS21" i="52" s="1"/>
  <c r="BN30" i="52" a="1"/>
  <c r="BN30" i="52" s="1"/>
  <c r="BO30" i="52" s="1" a="1"/>
  <c r="BO30" i="52" s="1"/>
  <c r="BY21" i="52" s="1" a="1"/>
  <c r="BY21" i="52" s="1"/>
  <c r="AD50" i="52" a="1"/>
  <c r="AD50" i="52" s="1"/>
  <c r="AE50" i="52" s="1" a="1"/>
  <c r="AE50" i="52" s="1"/>
  <c r="AO50" i="52" s="1" a="1"/>
  <c r="AO50" i="52" s="1"/>
  <c r="AP50" i="52" s="1" a="1"/>
  <c r="AP50" i="52" s="1"/>
  <c r="AQ50" i="52" s="1" a="1"/>
  <c r="AQ50" i="52" s="1"/>
  <c r="AI62" i="52" a="1"/>
  <c r="AI62" i="52" s="1"/>
  <c r="BE14" i="52" a="1"/>
  <c r="BE14" i="52" s="1"/>
  <c r="AE49" i="52" l="1" a="1"/>
  <c r="AE49" i="52" s="1"/>
  <c r="AO49" i="52" s="1" a="1"/>
  <c r="AO49" i="52" s="1"/>
  <c r="AE36" i="52" a="1"/>
  <c r="AE36" i="52" s="1"/>
  <c r="AO36" i="52" s="1" a="1"/>
  <c r="AO36" i="52" s="1"/>
  <c r="AE24" i="52" a="1"/>
  <c r="AE24" i="52" s="1"/>
  <c r="AO24" i="52" s="1" a="1"/>
  <c r="AO24" i="52" s="1"/>
  <c r="CW63" i="52" a="1"/>
  <c r="CW63" i="52" s="1"/>
  <c r="DX63" i="52" s="1" a="1"/>
  <c r="DX63" i="52" s="1"/>
  <c r="DL63" i="52" a="1"/>
  <c r="DL63" i="52" s="1"/>
  <c r="AN24" i="52" a="1"/>
  <c r="AN24" i="52" s="1"/>
  <c r="CW54" i="52" a="1"/>
  <c r="CW54" i="52" s="1"/>
  <c r="DX54" i="52" s="1" a="1"/>
  <c r="DX54" i="52" s="1"/>
  <c r="DL54" i="52" a="1"/>
  <c r="DL54" i="52" s="1"/>
  <c r="DI50" i="52" a="1"/>
  <c r="DI50" i="52" s="1"/>
  <c r="CV53" i="52" a="1"/>
  <c r="CV53" i="52" s="1"/>
  <c r="DW53" i="52" s="1" a="1"/>
  <c r="DW53" i="52" s="1"/>
  <c r="CQ54" i="52" a="1"/>
  <c r="CQ54" i="52" s="1"/>
  <c r="DR54" i="52" s="1" a="1"/>
  <c r="DR54" i="52" s="1"/>
  <c r="CZ34" i="52" a="1"/>
  <c r="CZ34" i="52" s="1"/>
  <c r="EA34" i="52" s="1" a="1"/>
  <c r="EA34" i="52" s="1"/>
  <c r="BS30" i="52" a="1"/>
  <c r="BS30" i="52" s="1"/>
  <c r="BT30" i="52" s="1" a="1"/>
  <c r="BT30" i="52" s="1"/>
  <c r="BU30" i="52" s="1" a="1"/>
  <c r="BU30" i="52" s="1"/>
  <c r="CV20" i="52" a="1"/>
  <c r="CV20" i="52" s="1"/>
  <c r="DW20" i="52" s="1" a="1"/>
  <c r="DW20" i="52" s="1"/>
  <c r="CW53" i="52" a="1"/>
  <c r="CW53" i="52" s="1"/>
  <c r="DX53" i="52" s="1" a="1"/>
  <c r="DX53" i="52" s="1"/>
  <c r="AD47" i="52" a="1"/>
  <c r="AD47" i="52" s="1"/>
  <c r="AE47" i="52" s="1" a="1"/>
  <c r="AE47" i="52" s="1"/>
  <c r="AO47" i="52" s="1" a="1"/>
  <c r="AO47" i="52" s="1"/>
  <c r="CP46" i="52" a="1"/>
  <c r="CP46" i="52" s="1"/>
  <c r="DQ46" i="52" s="1" a="1"/>
  <c r="DQ46" i="52" s="1"/>
  <c r="AD48" i="52" a="1"/>
  <c r="AD48" i="52" s="1"/>
  <c r="AE48" i="52" s="1" a="1"/>
  <c r="AE48" i="52" s="1"/>
  <c r="AO48" i="52" s="1" a="1"/>
  <c r="AO48" i="52" s="1"/>
  <c r="AP49" i="52" s="1" a="1"/>
  <c r="AP49" i="52" s="1"/>
  <c r="AQ49" i="52" s="1" a="1"/>
  <c r="AQ49" i="52" s="1"/>
  <c r="CT53" i="52" a="1"/>
  <c r="CT53" i="52" s="1"/>
  <c r="DU53" i="52" s="1" a="1"/>
  <c r="DU53" i="52" s="1"/>
  <c r="BS24" i="52" a="1"/>
  <c r="BS24" i="52" s="1"/>
  <c r="BP24" i="52" s="1" a="1"/>
  <c r="BP24" i="52" s="1"/>
  <c r="BQ24" i="52" s="1" a="1"/>
  <c r="BQ24" i="52" s="1"/>
  <c r="BR24" i="52" s="1" a="1"/>
  <c r="BR24" i="52" s="1"/>
  <c r="CZ50" i="52" a="1"/>
  <c r="CZ50" i="52" s="1"/>
  <c r="EA50" i="52" s="1" a="1"/>
  <c r="EA50" i="52" s="1"/>
  <c r="DO50" i="52" a="1"/>
  <c r="DO50" i="52" s="1"/>
  <c r="BS57" i="52" a="1"/>
  <c r="BS57" i="52" s="1"/>
  <c r="BP57" i="52" s="1" a="1"/>
  <c r="BP57" i="52" s="1"/>
  <c r="BQ57" i="52" s="1" a="1"/>
  <c r="BQ57" i="52" s="1"/>
  <c r="BR57" i="52" s="1" a="1"/>
  <c r="BR57" i="52" s="1"/>
  <c r="CW15" i="52" a="1"/>
  <c r="CW15" i="52" s="1"/>
  <c r="DX15" i="52" s="1" a="1"/>
  <c r="DX15" i="52" s="1"/>
  <c r="CW33" i="52" a="1"/>
  <c r="CW33" i="52" s="1"/>
  <c r="DX33" i="52" s="1" a="1"/>
  <c r="DX33" i="52" s="1"/>
  <c r="CQ63" i="52" a="1"/>
  <c r="CQ63" i="52" s="1"/>
  <c r="DR63" i="52" s="1" a="1"/>
  <c r="DR63" i="52" s="1"/>
  <c r="DI62" i="52" a="1"/>
  <c r="DI62" i="52" s="1"/>
  <c r="BZ39" i="52" a="1"/>
  <c r="BZ39" i="52" s="1"/>
  <c r="BE47" i="52" a="1"/>
  <c r="BE47" i="52" s="1"/>
  <c r="BF47" i="52" s="1" a="1"/>
  <c r="BF47" i="52" s="1"/>
  <c r="CW22" i="52" a="1"/>
  <c r="CW22" i="52" s="1"/>
  <c r="DX22" i="52" s="1" a="1"/>
  <c r="DX22" i="52" s="1"/>
  <c r="CP53" i="52" a="1"/>
  <c r="CP53" i="52" s="1"/>
  <c r="DQ53" i="52" s="1" a="1"/>
  <c r="DQ53" i="52" s="1"/>
  <c r="CR12" i="52" a="1"/>
  <c r="CR12" i="52" s="1"/>
  <c r="DS12" i="52" s="1" a="1"/>
  <c r="DS12" i="52" s="1"/>
  <c r="CS12" i="52" a="1"/>
  <c r="CS12" i="52" s="1"/>
  <c r="DT12" i="52" s="1" a="1"/>
  <c r="DT12" i="52" s="1"/>
  <c r="AD59" i="52" a="1"/>
  <c r="AD59" i="52" s="1"/>
  <c r="AE59" i="52" s="1" a="1"/>
  <c r="AE59" i="52" s="1"/>
  <c r="AO59" i="52" s="1" a="1"/>
  <c r="AO59" i="52" s="1"/>
  <c r="AI51" i="52" a="1"/>
  <c r="AI51" i="52" s="1"/>
  <c r="AJ51" i="52" s="1" a="1"/>
  <c r="AJ51" i="52" s="1"/>
  <c r="CV35" i="52" a="1"/>
  <c r="CV35" i="52" s="1"/>
  <c r="DW35" i="52" s="1" a="1"/>
  <c r="DW35" i="52" s="1"/>
  <c r="CS38" i="52" a="1"/>
  <c r="CS38" i="52" s="1"/>
  <c r="DT38" i="52" s="1" a="1"/>
  <c r="DT38" i="52" s="1"/>
  <c r="CS34" i="52" a="1"/>
  <c r="CS34" i="52" s="1"/>
  <c r="DT34" i="52" s="1" a="1"/>
  <c r="DT34" i="52" s="1"/>
  <c r="CT15" i="52" a="1"/>
  <c r="CT15" i="52" s="1"/>
  <c r="DU15" i="52" s="1" a="1"/>
  <c r="DU15" i="52" s="1"/>
  <c r="AI13" i="52" a="1"/>
  <c r="AI13" i="52" s="1"/>
  <c r="CW25" i="52" a="1"/>
  <c r="CW25" i="52" s="1"/>
  <c r="DX25" i="52" s="1" a="1"/>
  <c r="DX25" i="52" s="1"/>
  <c r="CZ12" i="52" a="1"/>
  <c r="CZ12" i="52" s="1"/>
  <c r="EA12" i="52" s="1" a="1"/>
  <c r="EA12" i="52" s="1"/>
  <c r="BN38" i="52" a="1"/>
  <c r="BN38" i="52" s="1"/>
  <c r="BO38" i="52" s="1" a="1"/>
  <c r="BO38" i="52" s="1"/>
  <c r="BY33" i="52" s="1" a="1"/>
  <c r="BY33" i="52" s="1"/>
  <c r="CS15" i="52" a="1"/>
  <c r="CS15" i="52" s="1"/>
  <c r="DT15" i="52" s="1" a="1"/>
  <c r="DT15" i="52" s="1"/>
  <c r="CP43" i="52" a="1"/>
  <c r="CP43" i="52" s="1"/>
  <c r="DQ43" i="52" s="1" a="1"/>
  <c r="DQ43" i="52" s="1"/>
  <c r="AV19" i="52" a="1"/>
  <c r="AV19" i="52" s="1"/>
  <c r="AW19" i="52" s="1" a="1"/>
  <c r="AW19" i="52" s="1"/>
  <c r="BG18" i="52" s="1" a="1"/>
  <c r="BG18" i="52" s="1"/>
  <c r="CW58" i="52" a="1"/>
  <c r="CW58" i="52" s="1"/>
  <c r="DX58" i="52" s="1" a="1"/>
  <c r="DX58" i="52" s="1"/>
  <c r="DL58" i="52" a="1"/>
  <c r="DL58" i="52" s="1"/>
  <c r="CR34" i="52" a="1"/>
  <c r="CR34" i="52" s="1"/>
  <c r="DS34" i="52" s="1" a="1"/>
  <c r="DS34" i="52" s="1"/>
  <c r="CQ37" i="52" a="1"/>
  <c r="CQ37" i="52" s="1"/>
  <c r="DR37" i="52" s="1" a="1"/>
  <c r="DR37" i="52" s="1"/>
  <c r="CQ23" i="52" a="1"/>
  <c r="CQ23" i="52" s="1"/>
  <c r="DR23" i="52" s="1" a="1"/>
  <c r="DR23" i="52" s="1"/>
  <c r="CT46" i="52" a="1"/>
  <c r="CT46" i="52" s="1"/>
  <c r="DU46" i="52" s="1" a="1"/>
  <c r="DU46" i="52" s="1"/>
  <c r="CW59" i="52" a="1"/>
  <c r="CW59" i="52" s="1"/>
  <c r="DX59" i="52" s="1" a="1"/>
  <c r="DX59" i="52" s="1"/>
  <c r="AI42" i="52" a="1"/>
  <c r="AI42" i="52" s="1"/>
  <c r="AI18" i="52" a="1"/>
  <c r="AI18" i="52" s="1"/>
  <c r="BE32" i="52" a="1"/>
  <c r="BE32" i="52" s="1"/>
  <c r="BF32" i="52" s="1" a="1"/>
  <c r="BF32" i="52" s="1"/>
  <c r="CT64" i="52" a="1"/>
  <c r="CT64" i="52" s="1"/>
  <c r="DU64" i="52" s="1" a="1"/>
  <c r="DU64" i="52" s="1"/>
  <c r="DL64" i="52" a="1"/>
  <c r="DL64" i="52" s="1"/>
  <c r="BF59" i="52" a="1"/>
  <c r="BF59" i="52" s="1"/>
  <c r="DB23" i="52" a="1"/>
  <c r="DB23" i="52" s="1"/>
  <c r="EC23" i="52" s="1" a="1"/>
  <c r="EC23" i="52" s="1"/>
  <c r="BS52" i="52" a="1"/>
  <c r="BS52" i="52" s="1"/>
  <c r="BP52" i="52" s="1" a="1"/>
  <c r="BP52" i="52" s="1"/>
  <c r="BQ52" i="52" s="1" a="1"/>
  <c r="BQ52" i="52" s="1"/>
  <c r="BR52" i="52" s="1" a="1"/>
  <c r="BR52" i="52" s="1"/>
  <c r="CR56" i="52" a="1"/>
  <c r="CR56" i="52" s="1"/>
  <c r="DS56" i="52" s="1" a="1"/>
  <c r="DS56" i="52" s="1"/>
  <c r="DB36" i="52" a="1"/>
  <c r="DB36" i="52" s="1"/>
  <c r="EC36" i="52" s="1" a="1"/>
  <c r="EC36" i="52" s="1"/>
  <c r="BO32" i="52" a="1"/>
  <c r="BO32" i="52" s="1"/>
  <c r="BY32" i="52" s="1" a="1"/>
  <c r="BY32" i="52" s="1"/>
  <c r="DB37" i="52" a="1"/>
  <c r="DB37" i="52" s="1"/>
  <c r="EC37" i="52" s="1" a="1"/>
  <c r="EC37" i="52" s="1"/>
  <c r="CQ64" i="52" a="1"/>
  <c r="CQ64" i="52" s="1"/>
  <c r="DR64" i="52" s="1" a="1"/>
  <c r="DR64" i="52" s="1"/>
  <c r="AP34" i="52" a="1"/>
  <c r="AP34" i="52" s="1"/>
  <c r="BW54" i="52" a="1"/>
  <c r="BW54" i="52" s="1"/>
  <c r="BX54" i="52" s="1" a="1"/>
  <c r="BX54" i="52" s="1"/>
  <c r="BE62" i="52" a="1"/>
  <c r="BE62" i="52" s="1"/>
  <c r="BF62" i="52" s="1" a="1"/>
  <c r="BF62" i="52" s="1"/>
  <c r="CS40" i="52" a="1"/>
  <c r="CS40" i="52" s="1"/>
  <c r="DT40" i="52" s="1" a="1"/>
  <c r="DT40" i="52" s="1"/>
  <c r="CS24" i="52" a="1"/>
  <c r="CS24" i="52" s="1"/>
  <c r="DT24" i="52" s="1" a="1"/>
  <c r="DT24" i="52" s="1"/>
  <c r="AE46" i="52" a="1"/>
  <c r="AE46" i="52" s="1"/>
  <c r="AO46" i="52" s="1" a="1"/>
  <c r="AO46" i="52" s="1"/>
  <c r="AP47" i="52" s="1" a="1"/>
  <c r="AP47" i="52" s="1"/>
  <c r="AQ47" i="52" s="1" a="1"/>
  <c r="AQ47" i="52" s="1"/>
  <c r="BX18" i="52" a="1"/>
  <c r="BX18" i="52" s="1"/>
  <c r="CT25" i="52" a="1"/>
  <c r="CT25" i="52" s="1"/>
  <c r="DU25" i="52" s="1" a="1"/>
  <c r="DU25" i="52" s="1"/>
  <c r="CQ22" i="52" a="1"/>
  <c r="CQ22" i="52" s="1"/>
  <c r="DR22" i="52" s="1" a="1"/>
  <c r="DR22" i="52" s="1"/>
  <c r="DB27" i="52" a="1"/>
  <c r="DB27" i="52" s="1"/>
  <c r="EC27" i="52" s="1" a="1"/>
  <c r="EC27" i="52" s="1"/>
  <c r="BZ29" i="52" a="1"/>
  <c r="BZ29" i="52" s="1"/>
  <c r="BT59" i="52" a="1"/>
  <c r="BT59" i="52" s="1"/>
  <c r="BU59" i="52" s="1" a="1"/>
  <c r="BU59" i="52" s="1"/>
  <c r="CR44" i="52" a="1"/>
  <c r="CR44" i="52" s="1"/>
  <c r="DS44" i="52" s="1" a="1"/>
  <c r="DS44" i="52" s="1"/>
  <c r="BS62" i="52" a="1"/>
  <c r="BS62" i="52" s="1"/>
  <c r="BP62" i="52" s="1" a="1"/>
  <c r="BP62" i="52" s="1"/>
  <c r="BQ62" i="52" s="1" a="1"/>
  <c r="BQ62" i="52" s="1"/>
  <c r="BR62" i="52" s="1" a="1"/>
  <c r="BR62" i="52" s="1"/>
  <c r="BN47" i="52" a="1"/>
  <c r="BN47" i="52" s="1"/>
  <c r="BO47" i="52" s="1" a="1"/>
  <c r="BO47" i="52" s="1"/>
  <c r="BY62" i="52" s="1" a="1"/>
  <c r="BY62" i="52" s="1"/>
  <c r="AM15" i="52" a="1"/>
  <c r="AM15" i="52" s="1"/>
  <c r="AN15" i="52" s="1" a="1"/>
  <c r="AN15" i="52" s="1"/>
  <c r="BX63" i="52" a="1"/>
  <c r="BX63" i="52" s="1"/>
  <c r="AD61" i="52" a="1"/>
  <c r="AD61" i="52" s="1"/>
  <c r="AE61" i="52" s="1" a="1"/>
  <c r="AE61" i="52" s="1"/>
  <c r="AO43" i="52" s="1" a="1"/>
  <c r="AO43" i="52" s="1"/>
  <c r="AP51" i="52" s="1" a="1"/>
  <c r="AP51" i="52" s="1"/>
  <c r="AI38" i="52" a="1"/>
  <c r="AI38" i="52" s="1"/>
  <c r="AF38" i="52" s="1" a="1"/>
  <c r="AF38" i="52" s="1"/>
  <c r="AG38" i="52" s="1" a="1"/>
  <c r="AG38" i="52" s="1"/>
  <c r="AH38" i="52" s="1" a="1"/>
  <c r="AH38" i="52" s="1"/>
  <c r="BX22" i="52" a="1"/>
  <c r="BX22" i="52" s="1"/>
  <c r="CW23" i="52" a="1"/>
  <c r="CW23" i="52" s="1"/>
  <c r="DX23" i="52" s="1" a="1"/>
  <c r="DX23" i="52" s="1"/>
  <c r="CT23" i="52" a="1"/>
  <c r="CT23" i="52" s="1"/>
  <c r="DU23" i="52" s="1" a="1"/>
  <c r="DU23" i="52" s="1"/>
  <c r="BN28" i="52" a="1"/>
  <c r="BN28" i="52" s="1"/>
  <c r="BO28" i="52" s="1" a="1"/>
  <c r="BO28" i="52" s="1"/>
  <c r="BY27" i="52" s="1" a="1"/>
  <c r="BY27" i="52" s="1"/>
  <c r="BZ26" i="52" s="1" a="1"/>
  <c r="BZ26" i="52" s="1"/>
  <c r="CA26" i="52" s="1" a="1"/>
  <c r="CA26" i="52" s="1"/>
  <c r="BS27" i="52" a="1"/>
  <c r="BS27" i="52" s="1"/>
  <c r="BP27" i="52" s="1" a="1"/>
  <c r="BP27" i="52" s="1"/>
  <c r="BQ27" i="52" s="1" a="1"/>
  <c r="BQ27" i="52" s="1"/>
  <c r="BR27" i="52" s="1" a="1"/>
  <c r="BR27" i="52" s="1"/>
  <c r="BN65" i="52" a="1"/>
  <c r="BN65" i="52" s="1"/>
  <c r="BO65" i="52" s="1" a="1"/>
  <c r="BO65" i="52" s="1"/>
  <c r="BY65" i="52" s="1" a="1"/>
  <c r="BY65" i="52" s="1"/>
  <c r="BZ65" i="52" s="1" a="1"/>
  <c r="BZ65" i="52" s="1"/>
  <c r="CA65" i="52" s="1" a="1"/>
  <c r="CA65" i="52" s="1"/>
  <c r="BS28" i="52" a="1"/>
  <c r="BS28" i="52" s="1"/>
  <c r="BT28" i="52" s="1" a="1"/>
  <c r="BT28" i="52" s="1"/>
  <c r="BU28" i="52" s="1" a="1"/>
  <c r="BU28" i="52" s="1"/>
  <c r="CS54" i="52" a="1"/>
  <c r="CS54" i="52" s="1"/>
  <c r="DT54" i="52" s="1" a="1"/>
  <c r="DT54" i="52" s="1"/>
  <c r="BN58" i="52" a="1"/>
  <c r="BN58" i="52" s="1"/>
  <c r="BO58" i="52" s="1" a="1"/>
  <c r="BO58" i="52" s="1"/>
  <c r="BY58" i="52" s="1" a="1"/>
  <c r="BY58" i="52" s="1"/>
  <c r="BZ58" i="52" s="1" a="1"/>
  <c r="BZ58" i="52" s="1"/>
  <c r="BZ57" i="52" a="1"/>
  <c r="BZ57" i="52" s="1"/>
  <c r="AD26" i="52" a="1"/>
  <c r="AD26" i="52" s="1"/>
  <c r="AE26" i="52" s="1" a="1"/>
  <c r="AE26" i="52" s="1"/>
  <c r="AO26" i="52" s="1" a="1"/>
  <c r="AO26" i="52" s="1"/>
  <c r="BF24" i="52" a="1"/>
  <c r="BF24" i="52" s="1"/>
  <c r="AJ23" i="52" a="1"/>
  <c r="AJ23" i="52" s="1"/>
  <c r="AK23" i="52" s="1" a="1"/>
  <c r="AK23" i="52" s="1"/>
  <c r="AE23" i="52" a="1"/>
  <c r="AE23" i="52" s="1"/>
  <c r="AO23" i="52" s="1" a="1"/>
  <c r="AO23" i="52" s="1"/>
  <c r="CV36" i="52" a="1"/>
  <c r="CV36" i="52" s="1"/>
  <c r="DW36" i="52" s="1" a="1"/>
  <c r="DW36" i="52" s="1"/>
  <c r="BF14" i="52" a="1"/>
  <c r="BF14" i="52" s="1"/>
  <c r="BW41" i="52" a="1"/>
  <c r="BW41" i="52" s="1"/>
  <c r="BX41" i="52" s="1" a="1"/>
  <c r="BX41" i="52" s="1"/>
  <c r="I76" i="52" a="1"/>
  <c r="I76" i="52" s="1"/>
  <c r="I77" i="52" s="1" a="1"/>
  <c r="I77" i="52" s="1"/>
  <c r="CW46" i="52" a="1"/>
  <c r="CW46" i="52" s="1"/>
  <c r="DX46" i="52" s="1" a="1"/>
  <c r="DX46" i="52" s="1"/>
  <c r="BS43" i="52" a="1"/>
  <c r="BS43" i="52" s="1"/>
  <c r="BP43" i="52" s="1" a="1"/>
  <c r="BP43" i="52" s="1"/>
  <c r="CT59" i="52" a="1"/>
  <c r="CT59" i="52" s="1"/>
  <c r="DU59" i="52" s="1" a="1"/>
  <c r="DU59" i="52" s="1"/>
  <c r="CZ23" i="52" a="1"/>
  <c r="CZ23" i="52" s="1"/>
  <c r="EA23" i="52" s="1" a="1"/>
  <c r="EA23" i="52" s="1"/>
  <c r="CS31" i="52" a="1"/>
  <c r="CS31" i="52" s="1"/>
  <c r="DT31" i="52" s="1" a="1"/>
  <c r="DT31" i="52" s="1"/>
  <c r="AP24" i="52" a="1"/>
  <c r="AP24" i="52" s="1"/>
  <c r="BF37" i="52" a="1"/>
  <c r="BF37" i="52" s="1"/>
  <c r="CR63" i="52" a="1"/>
  <c r="CR63" i="52" s="1"/>
  <c r="DS63" i="52" s="1" a="1"/>
  <c r="DS63" i="52" s="1"/>
  <c r="CR61" i="52" a="1"/>
  <c r="CR61" i="52" s="1"/>
  <c r="DS61" i="52" s="1" a="1"/>
  <c r="DS61" i="52" s="1"/>
  <c r="DB41" i="52" a="1"/>
  <c r="DB41" i="52" s="1"/>
  <c r="EC41" i="52" s="1" a="1"/>
  <c r="EC41" i="52" s="1"/>
  <c r="CZ31" i="52" a="1"/>
  <c r="CZ31" i="52" s="1"/>
  <c r="EA31" i="52" s="1" a="1"/>
  <c r="EA31" i="52" s="1"/>
  <c r="AV56" i="52" a="1"/>
  <c r="AV56" i="52" s="1"/>
  <c r="AF53" i="52" a="1"/>
  <c r="AF53" i="52" s="1"/>
  <c r="AG53" i="52" s="1" a="1"/>
  <c r="AG53" i="52" s="1"/>
  <c r="AH53" i="52" s="1" a="1"/>
  <c r="AH53" i="52" s="1"/>
  <c r="BW43" i="52" a="1"/>
  <c r="BW43" i="52" s="1"/>
  <c r="BX43" i="52" s="1" a="1"/>
  <c r="BX43" i="52" s="1"/>
  <c r="CT58" i="52" a="1"/>
  <c r="CT58" i="52" s="1"/>
  <c r="DU58" i="52" s="1" a="1"/>
  <c r="DU58" i="52" s="1"/>
  <c r="AD16" i="52" a="1"/>
  <c r="AD16" i="52" s="1"/>
  <c r="AE16" i="52" s="1" a="1"/>
  <c r="AE16" i="52" s="1"/>
  <c r="AO16" i="52" s="1" a="1"/>
  <c r="AO16" i="52" s="1"/>
  <c r="AP16" i="52" s="1" a="1"/>
  <c r="AP16" i="52" s="1"/>
  <c r="AQ16" i="52" s="1" a="1"/>
  <c r="AQ16" i="52" s="1"/>
  <c r="AI16" i="52" a="1"/>
  <c r="AI16" i="52" s="1"/>
  <c r="CZ55" i="52" a="1"/>
  <c r="CZ55" i="52" s="1"/>
  <c r="EA55" i="52" s="1" a="1"/>
  <c r="EA55" i="52" s="1"/>
  <c r="CR23" i="52" a="1"/>
  <c r="CR23" i="52" s="1"/>
  <c r="DS23" i="52" s="1" a="1"/>
  <c r="DS23" i="52" s="1"/>
  <c r="CZ26" i="52" a="1"/>
  <c r="CZ26" i="52" s="1"/>
  <c r="EA26" i="52" s="1" a="1"/>
  <c r="EA26" i="52" s="1"/>
  <c r="BA12" i="52" a="1"/>
  <c r="BA12" i="52" s="1"/>
  <c r="AV20" i="52" a="1"/>
  <c r="AV20" i="52" s="1"/>
  <c r="AW20" i="52" s="1" a="1"/>
  <c r="AW20" i="52" s="1"/>
  <c r="BG19" i="52" s="1" a="1"/>
  <c r="BG19" i="52" s="1"/>
  <c r="BA19" i="52" a="1"/>
  <c r="BA19" i="52" s="1"/>
  <c r="CT54" i="52" a="1"/>
  <c r="CT54" i="52" s="1"/>
  <c r="DU54" i="52" s="1" a="1"/>
  <c r="DU54" i="52" s="1"/>
  <c r="CT63" i="52" a="1"/>
  <c r="CT63" i="52" s="1"/>
  <c r="DU63" i="52" s="1" a="1"/>
  <c r="DU63" i="52" s="1"/>
  <c r="BA50" i="52" a="1"/>
  <c r="BA50" i="52" s="1"/>
  <c r="AX50" i="52" s="1" a="1"/>
  <c r="AX50" i="52" s="1"/>
  <c r="AY50" i="52" s="1" a="1"/>
  <c r="AY50" i="52" s="1"/>
  <c r="AZ50" i="52" s="1" a="1"/>
  <c r="AZ50" i="52" s="1"/>
  <c r="AV46" i="52" a="1"/>
  <c r="AV46" i="52" s="1"/>
  <c r="AW46" i="52" s="1" a="1"/>
  <c r="AW46" i="52" s="1"/>
  <c r="BG50" i="52" s="1" a="1"/>
  <c r="BG50" i="52" s="1"/>
  <c r="BW12" i="52" a="1"/>
  <c r="BW12" i="52" s="1"/>
  <c r="BX12" i="52" s="1" a="1"/>
  <c r="BX12" i="52" s="1"/>
  <c r="BA39" i="52" a="1"/>
  <c r="BA39" i="52" s="1"/>
  <c r="AV38" i="52" a="1"/>
  <c r="AV38" i="52" s="1"/>
  <c r="AW38" i="52" s="1" a="1"/>
  <c r="AW38" i="52" s="1"/>
  <c r="BG38" i="52" s="1" a="1"/>
  <c r="BG38" i="52" s="1"/>
  <c r="CS56" i="52" a="1"/>
  <c r="CS56" i="52" s="1"/>
  <c r="DT56" i="52" s="1" a="1"/>
  <c r="DT56" i="52" s="1"/>
  <c r="BA14" i="52" a="1"/>
  <c r="BA14" i="52" s="1"/>
  <c r="CS53" i="52" a="1"/>
  <c r="CS53" i="52" s="1"/>
  <c r="DT53" i="52" s="1" a="1"/>
  <c r="DT53" i="52" s="1"/>
  <c r="CP36" i="52" a="1"/>
  <c r="CP36" i="52" s="1"/>
  <c r="DQ36" i="52" s="1" a="1"/>
  <c r="DQ36" i="52" s="1"/>
  <c r="AE65" i="52" a="1"/>
  <c r="AE65" i="52" s="1"/>
  <c r="AO65" i="52" s="1" a="1"/>
  <c r="AO65" i="52" s="1"/>
  <c r="CS55" i="52" a="1"/>
  <c r="CS55" i="52" s="1"/>
  <c r="DT55" i="52" s="1" a="1"/>
  <c r="DT55" i="52" s="1"/>
  <c r="CR14" i="52" a="1"/>
  <c r="CR14" i="52" s="1"/>
  <c r="DS14" i="52" s="1" a="1"/>
  <c r="DS14" i="52" s="1"/>
  <c r="DB16" i="52" a="1"/>
  <c r="DB16" i="52" s="1"/>
  <c r="EC16" i="52" s="1" a="1"/>
  <c r="EC16" i="52" s="1"/>
  <c r="CV12" i="52" a="1"/>
  <c r="CV12" i="52" s="1"/>
  <c r="DW12" i="52" s="1" a="1"/>
  <c r="DW12" i="52" s="1"/>
  <c r="CQ17" i="52" a="1"/>
  <c r="CQ17" i="52" s="1"/>
  <c r="DR17" i="52" s="1" a="1"/>
  <c r="DR17" i="52" s="1"/>
  <c r="CR51" i="52" a="1"/>
  <c r="CR51" i="52" s="1"/>
  <c r="DS51" i="52" s="1" a="1"/>
  <c r="DS51" i="52" s="1"/>
  <c r="CZ51" i="52" a="1"/>
  <c r="CZ51" i="52" s="1"/>
  <c r="EA51" i="52" s="1" a="1"/>
  <c r="EA51" i="52" s="1"/>
  <c r="CS51" i="52" a="1"/>
  <c r="CS51" i="52" s="1"/>
  <c r="DT51" i="52" s="1" a="1"/>
  <c r="DT51" i="52" s="1"/>
  <c r="CP62" i="52" a="1"/>
  <c r="CP62" i="52" s="1"/>
  <c r="DQ62" i="52" s="1" a="1"/>
  <c r="DQ62" i="52" s="1"/>
  <c r="CT62" i="52" a="1"/>
  <c r="CT62" i="52" s="1"/>
  <c r="DU62" i="52" s="1" a="1"/>
  <c r="DU62" i="52" s="1"/>
  <c r="CW62" i="52" a="1"/>
  <c r="CW62" i="52" s="1"/>
  <c r="DX62" i="52" s="1" a="1"/>
  <c r="DX62" i="52" s="1"/>
  <c r="BX13" i="52" a="1"/>
  <c r="BX13" i="52" s="1"/>
  <c r="CS23" i="52" a="1"/>
  <c r="CS23" i="52" s="1"/>
  <c r="DT23" i="52" s="1" a="1"/>
  <c r="DT23" i="52" s="1"/>
  <c r="AM14" i="52" a="1"/>
  <c r="AM14" i="52" s="1"/>
  <c r="AN14" i="52" s="1" a="1"/>
  <c r="AN14" i="52" s="1"/>
  <c r="CS49" i="52" a="1"/>
  <c r="CS49" i="52" s="1"/>
  <c r="DT49" i="52" s="1" a="1"/>
  <c r="DT49" i="52" s="1"/>
  <c r="DB60" i="52" a="1"/>
  <c r="DB60" i="52" s="1"/>
  <c r="EC60" i="52" s="1" a="1"/>
  <c r="EC60" i="52" s="1"/>
  <c r="CP29" i="52" a="1"/>
  <c r="CP29" i="52" s="1"/>
  <c r="DQ29" i="52" s="1" a="1"/>
  <c r="DQ29" i="52" s="1"/>
  <c r="CR55" i="52" a="1"/>
  <c r="CR55" i="52" s="1"/>
  <c r="DS55" i="52" s="1" a="1"/>
  <c r="DS55" i="52" s="1"/>
  <c r="BA38" i="52" a="1"/>
  <c r="BA38" i="52" s="1"/>
  <c r="AV41" i="52" a="1"/>
  <c r="AV41" i="52" s="1"/>
  <c r="AW41" i="52" s="1" a="1"/>
  <c r="AW41" i="52" s="1"/>
  <c r="BG41" i="52" s="1" a="1"/>
  <c r="BG41" i="52" s="1"/>
  <c r="AN64" i="52" a="1"/>
  <c r="AN64" i="52" s="1"/>
  <c r="DB26" i="52" a="1"/>
  <c r="DB26" i="52" s="1"/>
  <c r="EC26" i="52" s="1" a="1"/>
  <c r="EC26" i="52" s="1"/>
  <c r="CV27" i="52" a="1"/>
  <c r="CV27" i="52" s="1"/>
  <c r="DW27" i="52" s="1" a="1"/>
  <c r="DW27" i="52" s="1"/>
  <c r="CS29" i="52" a="1"/>
  <c r="CS29" i="52" s="1"/>
  <c r="DT29" i="52" s="1" a="1"/>
  <c r="DT29" i="52" s="1"/>
  <c r="CP24" i="52" a="1"/>
  <c r="CP24" i="52" s="1"/>
  <c r="DQ24" i="52" s="1" a="1"/>
  <c r="DQ24" i="52" s="1"/>
  <c r="CQ32" i="52" a="1"/>
  <c r="CQ32" i="52" s="1"/>
  <c r="DR32" i="52" s="1" a="1"/>
  <c r="DR32" i="52" s="1"/>
  <c r="CQ44" i="52" a="1"/>
  <c r="CQ44" i="52" s="1"/>
  <c r="DR44" i="52" s="1" a="1"/>
  <c r="DR44" i="52" s="1"/>
  <c r="CV48" i="52" a="1"/>
  <c r="CV48" i="52" s="1"/>
  <c r="DW48" i="52" s="1" a="1"/>
  <c r="DW48" i="52" s="1"/>
  <c r="DB63" i="52" a="1"/>
  <c r="DB63" i="52" s="1"/>
  <c r="EC63" i="52" s="1" a="1"/>
  <c r="EC63" i="52" s="1"/>
  <c r="CZ17" i="52" a="1"/>
  <c r="CZ17" i="52" s="1"/>
  <c r="EA17" i="52" s="1" a="1"/>
  <c r="EA17" i="52" s="1"/>
  <c r="CR17" i="52" a="1"/>
  <c r="CR17" i="52" s="1"/>
  <c r="DS17" i="52" s="1" a="1"/>
  <c r="DS17" i="52" s="1"/>
  <c r="CS17" i="52" a="1"/>
  <c r="CS17" i="52" s="1"/>
  <c r="DT17" i="52" s="1" a="1"/>
  <c r="DT17" i="52" s="1"/>
  <c r="AD51" i="52" a="1"/>
  <c r="AD51" i="52" s="1"/>
  <c r="AE51" i="52" s="1" a="1"/>
  <c r="AE51" i="52" s="1"/>
  <c r="AO63" i="52" s="1" a="1"/>
  <c r="AO63" i="52" s="1"/>
  <c r="AP63" i="52" s="1" a="1"/>
  <c r="AP63" i="52" s="1"/>
  <c r="AI63" i="52" a="1"/>
  <c r="AI63" i="52" s="1"/>
  <c r="CV26" i="52" a="1"/>
  <c r="CV26" i="52" s="1"/>
  <c r="DW26" i="52" s="1" a="1"/>
  <c r="DW26" i="52" s="1"/>
  <c r="CQ31" i="52" a="1"/>
  <c r="CQ31" i="52" s="1"/>
  <c r="DR31" i="52" s="1" a="1"/>
  <c r="DR31" i="52" s="1"/>
  <c r="CP23" i="52" a="1"/>
  <c r="CP23" i="52" s="1"/>
  <c r="DQ23" i="52" s="1" a="1"/>
  <c r="DQ23" i="52" s="1"/>
  <c r="DB29" i="52" a="1"/>
  <c r="DB29" i="52" s="1"/>
  <c r="EC29" i="52" s="1" a="1"/>
  <c r="EC29" i="52" s="1"/>
  <c r="BA64" i="52" a="1"/>
  <c r="BA64" i="52" s="1"/>
  <c r="AV63" i="52" a="1"/>
  <c r="AV63" i="52" s="1"/>
  <c r="AW63" i="52" s="1" a="1"/>
  <c r="AW63" i="52" s="1"/>
  <c r="BG63" i="52" s="1" a="1"/>
  <c r="BG63" i="52" s="1"/>
  <c r="CS21" i="52" a="1"/>
  <c r="CS21" i="52" s="1"/>
  <c r="DT21" i="52" s="1" a="1"/>
  <c r="DT21" i="52" s="1"/>
  <c r="CR21" i="52" a="1"/>
  <c r="CR21" i="52" s="1"/>
  <c r="DS21" i="52" s="1" a="1"/>
  <c r="DS21" i="52" s="1"/>
  <c r="CZ21" i="52" a="1"/>
  <c r="CZ21" i="52" s="1"/>
  <c r="EA21" i="52" s="1" a="1"/>
  <c r="EA21" i="52" s="1"/>
  <c r="AJ41" i="52" a="1"/>
  <c r="AJ41" i="52" s="1"/>
  <c r="AK41" i="52" s="1" a="1"/>
  <c r="AK41" i="52" s="1"/>
  <c r="AF41" i="52" a="1"/>
  <c r="AF41" i="52" s="1"/>
  <c r="AG41" i="52" s="1" a="1"/>
  <c r="AG41" i="52" s="1"/>
  <c r="AH41" i="52" s="1" a="1"/>
  <c r="AH41" i="52" s="1"/>
  <c r="CR26" i="52" a="1"/>
  <c r="CR26" i="52" s="1"/>
  <c r="DS26" i="52" s="1" a="1"/>
  <c r="DS26" i="52" s="1"/>
  <c r="AV39" i="52" a="1"/>
  <c r="AV39" i="52" s="1"/>
  <c r="AW39" i="52" s="1" a="1"/>
  <c r="AW39" i="52" s="1"/>
  <c r="BG39" i="52" s="1" a="1"/>
  <c r="BG39" i="52" s="1"/>
  <c r="AV40" i="52" a="1"/>
  <c r="AV40" i="52" s="1"/>
  <c r="AW40" i="52" s="1" a="1"/>
  <c r="AW40" i="52" s="1"/>
  <c r="BG40" i="52" s="1" a="1"/>
  <c r="BG40" i="52" s="1"/>
  <c r="BA41" i="52" a="1"/>
  <c r="BA41" i="52" s="1"/>
  <c r="BA27" i="52" a="1"/>
  <c r="BA27" i="52" s="1"/>
  <c r="AX27" i="52" s="1" a="1"/>
  <c r="AX27" i="52" s="1"/>
  <c r="AY27" i="52" s="1" a="1"/>
  <c r="AY27" i="52" s="1"/>
  <c r="AZ27" i="52" s="1" a="1"/>
  <c r="AZ27" i="52" s="1"/>
  <c r="AV23" i="52" a="1"/>
  <c r="AV23" i="52" s="1"/>
  <c r="AW23" i="52" s="1" a="1"/>
  <c r="AW23" i="52" s="1"/>
  <c r="BG27" i="52" s="1" a="1"/>
  <c r="BG27" i="52" s="1"/>
  <c r="CT29" i="52" a="1"/>
  <c r="CT29" i="52" s="1"/>
  <c r="DU29" i="52" s="1" a="1"/>
  <c r="DU29" i="52" s="1"/>
  <c r="CW29" i="52" a="1"/>
  <c r="CW29" i="52" s="1"/>
  <c r="DX29" i="52" s="1" a="1"/>
  <c r="DX29" i="52" s="1"/>
  <c r="CT40" i="52" a="1"/>
  <c r="CT40" i="52" s="1"/>
  <c r="DU40" i="52" s="1" a="1"/>
  <c r="DU40" i="52" s="1"/>
  <c r="CW40" i="52" a="1"/>
  <c r="CW40" i="52" s="1"/>
  <c r="DX40" i="52" s="1" a="1"/>
  <c r="DX40" i="52" s="1"/>
  <c r="CQ18" i="52" a="1"/>
  <c r="CQ18" i="52" s="1"/>
  <c r="DR18" i="52" s="1" a="1"/>
  <c r="DR18" i="52" s="1"/>
  <c r="CV22" i="52" a="1"/>
  <c r="CV22" i="52" s="1"/>
  <c r="DW22" i="52" s="1" a="1"/>
  <c r="DW22" i="52" s="1"/>
  <c r="BN41" i="52" a="1"/>
  <c r="BN41" i="52" s="1"/>
  <c r="BO41" i="52" s="1" a="1"/>
  <c r="BO41" i="52" s="1"/>
  <c r="BY41" i="52" s="1" a="1"/>
  <c r="BY41" i="52" s="1"/>
  <c r="BZ32" i="52" s="1" a="1"/>
  <c r="BZ32" i="52" s="1"/>
  <c r="CT33" i="52" a="1"/>
  <c r="CT33" i="52" s="1"/>
  <c r="DU33" i="52" s="1" a="1"/>
  <c r="DU33" i="52" s="1"/>
  <c r="CP20" i="52" a="1"/>
  <c r="CP20" i="52" s="1"/>
  <c r="DQ20" i="52" s="1" a="1"/>
  <c r="DQ20" i="52" s="1"/>
  <c r="CW20" i="52" a="1"/>
  <c r="CW20" i="52" s="1"/>
  <c r="DX20" i="52" s="1" a="1"/>
  <c r="DX20" i="52" s="1"/>
  <c r="CT20" i="52" a="1"/>
  <c r="CT20" i="52" s="1"/>
  <c r="DU20" i="52" s="1" a="1"/>
  <c r="DU20" i="52" s="1"/>
  <c r="BS31" i="52" a="1"/>
  <c r="BS31" i="52" s="1"/>
  <c r="BN40" i="52" a="1"/>
  <c r="BN40" i="52" s="1"/>
  <c r="BO40" i="52" s="1" a="1"/>
  <c r="BO40" i="52" s="1"/>
  <c r="BY40" i="52" s="1" a="1"/>
  <c r="BY40" i="52" s="1"/>
  <c r="AD30" i="52" a="1"/>
  <c r="AD30" i="52" s="1"/>
  <c r="AE30" i="52" s="1" a="1"/>
  <c r="AE30" i="52" s="1"/>
  <c r="AO33" i="52" s="1" a="1"/>
  <c r="AO33" i="52" s="1"/>
  <c r="AP33" i="52" s="1" a="1"/>
  <c r="AP33" i="52" s="1"/>
  <c r="AI33" i="52" a="1"/>
  <c r="AI33" i="52" s="1"/>
  <c r="AF33" i="52" s="1" a="1"/>
  <c r="AF33" i="52" s="1"/>
  <c r="AG33" i="52" s="1" a="1"/>
  <c r="AG33" i="52" s="1"/>
  <c r="AH33" i="52" s="1" a="1"/>
  <c r="AH33" i="52" s="1"/>
  <c r="AV57" i="52" a="1"/>
  <c r="AV57" i="52" s="1"/>
  <c r="AW57" i="52" s="1" a="1"/>
  <c r="AW57" i="52" s="1"/>
  <c r="BG57" i="52" s="1" a="1"/>
  <c r="BG57" i="52" s="1"/>
  <c r="BH57" i="52" s="1" a="1"/>
  <c r="BH57" i="52" s="1"/>
  <c r="BI57" i="52" s="1" a="1"/>
  <c r="BI57" i="52" s="1"/>
  <c r="BA61" i="52" a="1"/>
  <c r="BA61" i="52" s="1"/>
  <c r="AX61" i="52" s="1" a="1"/>
  <c r="AX61" i="52" s="1"/>
  <c r="CT16" i="52" a="1"/>
  <c r="CT16" i="52" s="1"/>
  <c r="DU16" i="52" s="1" a="1"/>
  <c r="DU16" i="52" s="1"/>
  <c r="CV23" i="52" a="1"/>
  <c r="CV23" i="52" s="1"/>
  <c r="DW23" i="52" s="1" a="1"/>
  <c r="DW23" i="52" s="1"/>
  <c r="CQ19" i="52" a="1"/>
  <c r="CQ19" i="52" s="1"/>
  <c r="DR19" i="52" s="1" a="1"/>
  <c r="DR19" i="52" s="1"/>
  <c r="AD32" i="52" a="1"/>
  <c r="AD32" i="52" s="1"/>
  <c r="AE32" i="52" s="1" a="1"/>
  <c r="AE32" i="52" s="1"/>
  <c r="AO31" i="52" s="1" a="1"/>
  <c r="AO31" i="52" s="1"/>
  <c r="AI31" i="52" a="1"/>
  <c r="AI31" i="52" s="1"/>
  <c r="AF31" i="52" s="1" a="1"/>
  <c r="AF31" i="52" s="1"/>
  <c r="AG31" i="52" s="1" a="1"/>
  <c r="AG31" i="52" s="1"/>
  <c r="AH31" i="52" s="1" a="1"/>
  <c r="AH31" i="52" s="1"/>
  <c r="AV18" i="52" a="1"/>
  <c r="AV18" i="52" s="1"/>
  <c r="AW18" i="52" s="1" a="1"/>
  <c r="AW18" i="52" s="1"/>
  <c r="BG21" i="52" s="1" a="1"/>
  <c r="BG21" i="52" s="1"/>
  <c r="BH21" i="52" s="1" a="1"/>
  <c r="BH21" i="52" s="1"/>
  <c r="BI21" i="52" s="1" a="1"/>
  <c r="BI21" i="52" s="1"/>
  <c r="BA21" i="52" a="1"/>
  <c r="BA21" i="52" s="1"/>
  <c r="BB20" i="52" s="1" a="1"/>
  <c r="BB20" i="52" s="1"/>
  <c r="BC20" i="52" s="1" a="1"/>
  <c r="BC20" i="52" s="1"/>
  <c r="CV45" i="52" a="1"/>
  <c r="CV45" i="52" s="1"/>
  <c r="DW45" i="52" s="1" a="1"/>
  <c r="DW45" i="52" s="1"/>
  <c r="CQ58" i="52" a="1"/>
  <c r="CQ58" i="52" s="1"/>
  <c r="DR58" i="52" s="1" a="1"/>
  <c r="DR58" i="52" s="1"/>
  <c r="DB48" i="52" a="1"/>
  <c r="DB48" i="52" s="1"/>
  <c r="EC48" i="52" s="1" a="1"/>
  <c r="EC48" i="52" s="1"/>
  <c r="CS63" i="52" a="1"/>
  <c r="CS63" i="52" s="1"/>
  <c r="DT63" i="52" s="1" a="1"/>
  <c r="DT63" i="52" s="1"/>
  <c r="CP50" i="52" a="1"/>
  <c r="CP50" i="52" s="1"/>
  <c r="DQ50" i="52" s="1" a="1"/>
  <c r="DQ50" i="52" s="1"/>
  <c r="AM50" i="52" a="1"/>
  <c r="AM50" i="52" s="1"/>
  <c r="AN50" i="52" s="1" a="1"/>
  <c r="AN50" i="52" s="1"/>
  <c r="AM42" i="52" a="1"/>
  <c r="AM42" i="52" s="1"/>
  <c r="AN42" i="52" s="1" a="1"/>
  <c r="AN42" i="52" s="1"/>
  <c r="AN60" i="52" a="1"/>
  <c r="AN60" i="52" s="1"/>
  <c r="BP32" i="52" a="1"/>
  <c r="BP32" i="52" s="1"/>
  <c r="BQ32" i="52" s="1" a="1"/>
  <c r="BQ32" i="52" s="1"/>
  <c r="BR32" i="52" s="1" a="1"/>
  <c r="BR32" i="52" s="1"/>
  <c r="BT32" i="52" a="1"/>
  <c r="BT32" i="52" s="1"/>
  <c r="BU32" i="52" s="1" a="1"/>
  <c r="BU32" i="52" s="1"/>
  <c r="CQ60" i="52" a="1"/>
  <c r="CQ60" i="52" s="1"/>
  <c r="DR60" i="52" s="1" a="1"/>
  <c r="DR60" i="52" s="1"/>
  <c r="CV43" i="52" a="1"/>
  <c r="CV43" i="52" s="1"/>
  <c r="DW43" i="52" s="1" a="1"/>
  <c r="DW43" i="52" s="1"/>
  <c r="DB46" i="52" a="1"/>
  <c r="DB46" i="52" s="1"/>
  <c r="EC46" i="52" s="1" a="1"/>
  <c r="EC46" i="52" s="1"/>
  <c r="CS65" i="52" a="1"/>
  <c r="CS65" i="52" s="1"/>
  <c r="DT65" i="52" s="1" a="1"/>
  <c r="DT65" i="52" s="1"/>
  <c r="BN54" i="52" a="1"/>
  <c r="BN54" i="52" s="1"/>
  <c r="BO54" i="52" s="1" a="1"/>
  <c r="BO54" i="52" s="1"/>
  <c r="BY54" i="52" s="1" a="1"/>
  <c r="BY54" i="52" s="1"/>
  <c r="BZ54" i="52" s="1" a="1"/>
  <c r="BZ54" i="52" s="1"/>
  <c r="CA54" i="52" s="1" a="1"/>
  <c r="CA54" i="52" s="1"/>
  <c r="BS45" i="52" a="1"/>
  <c r="BS45" i="52" s="1"/>
  <c r="BP45" i="52" s="1" a="1"/>
  <c r="BP45" i="52" s="1"/>
  <c r="CQ47" i="52" a="1"/>
  <c r="CQ47" i="52" s="1"/>
  <c r="DR47" i="52" s="1" a="1"/>
  <c r="DR47" i="52" s="1"/>
  <c r="CV60" i="52" a="1"/>
  <c r="CV60" i="52" s="1"/>
  <c r="DW60" i="52" s="1" a="1"/>
  <c r="DW60" i="52" s="1"/>
  <c r="DB61" i="52" a="1"/>
  <c r="DB61" i="52" s="1"/>
  <c r="EC61" i="52" s="1" a="1"/>
  <c r="EC61" i="52" s="1"/>
  <c r="CS58" i="52" a="1"/>
  <c r="CS58" i="52" s="1"/>
  <c r="DT58" i="52" s="1" a="1"/>
  <c r="DT58" i="52" s="1"/>
  <c r="CT26" i="52" a="1"/>
  <c r="CT26" i="52" s="1"/>
  <c r="DU26" i="52" s="1" a="1"/>
  <c r="DU26" i="52" s="1"/>
  <c r="CW26" i="52" a="1"/>
  <c r="CW26" i="52" s="1"/>
  <c r="DX26" i="52" s="1" a="1"/>
  <c r="DX26" i="52" s="1"/>
  <c r="BN33" i="52" a="1"/>
  <c r="BN33" i="52" s="1"/>
  <c r="BO33" i="52" s="1" a="1"/>
  <c r="BO33" i="52" s="1"/>
  <c r="BY20" i="52" s="1" a="1"/>
  <c r="BY20" i="52" s="1"/>
  <c r="BZ20" i="52" s="1" a="1"/>
  <c r="BZ20" i="52" s="1"/>
  <c r="BS20" i="52" a="1"/>
  <c r="BS20" i="52" s="1"/>
  <c r="BP20" i="52" s="1" a="1"/>
  <c r="BP20" i="52" s="1"/>
  <c r="BQ20" i="52" s="1" a="1"/>
  <c r="BQ20" i="52" s="1"/>
  <c r="BR20" i="52" s="1" a="1"/>
  <c r="BR20" i="52" s="1"/>
  <c r="CW17" i="52" a="1"/>
  <c r="CW17" i="52" s="1"/>
  <c r="DX17" i="52" s="1" a="1"/>
  <c r="DX17" i="52" s="1"/>
  <c r="CP17" i="52" a="1"/>
  <c r="CP17" i="52" s="1"/>
  <c r="DQ17" i="52" s="1" a="1"/>
  <c r="DQ17" i="52" s="1"/>
  <c r="CT17" i="52" a="1"/>
  <c r="CT17" i="52" s="1"/>
  <c r="DU17" i="52" s="1" a="1"/>
  <c r="DU17" i="52" s="1"/>
  <c r="AN21" i="52" a="1"/>
  <c r="AN21" i="52" s="1"/>
  <c r="DB15" i="52" a="1"/>
  <c r="DB15" i="52" s="1"/>
  <c r="EC15" i="52" s="1" a="1"/>
  <c r="EC15" i="52" s="1"/>
  <c r="CV16" i="52" a="1"/>
  <c r="CV16" i="52" s="1"/>
  <c r="DW16" i="52" s="1" a="1"/>
  <c r="DW16" i="52" s="1"/>
  <c r="CQ12" i="52" a="1"/>
  <c r="CQ12" i="52" s="1"/>
  <c r="DR12" i="52" s="1" a="1"/>
  <c r="DR12" i="52" s="1"/>
  <c r="CT37" i="52" a="1"/>
  <c r="CT37" i="52" s="1"/>
  <c r="DU37" i="52" s="1" a="1"/>
  <c r="DU37" i="52" s="1"/>
  <c r="CW37" i="52" a="1"/>
  <c r="CW37" i="52" s="1"/>
  <c r="DX37" i="52" s="1" a="1"/>
  <c r="DX37" i="52" s="1"/>
  <c r="CP37" i="52" a="1"/>
  <c r="CP37" i="52" s="1"/>
  <c r="DQ37" i="52" s="1" a="1"/>
  <c r="DQ37" i="52" s="1"/>
  <c r="BN50" i="52" a="1"/>
  <c r="BN50" i="52" s="1"/>
  <c r="BO50" i="52" s="1" a="1"/>
  <c r="BO50" i="52" s="1"/>
  <c r="BY53" i="52" s="1" a="1"/>
  <c r="BY53" i="52" s="1"/>
  <c r="BZ52" i="52" s="1" a="1"/>
  <c r="BZ52" i="52" s="1"/>
  <c r="BS53" i="52" a="1"/>
  <c r="BS53" i="52" s="1"/>
  <c r="BP53" i="52" s="1" a="1"/>
  <c r="BP53" i="52" s="1"/>
  <c r="BQ53" i="52" s="1" a="1"/>
  <c r="BQ53" i="52" s="1"/>
  <c r="BR53" i="52" s="1" a="1"/>
  <c r="BR53" i="52" s="1"/>
  <c r="AD37" i="52" a="1"/>
  <c r="AD37" i="52" s="1"/>
  <c r="AE37" i="52" s="1" a="1"/>
  <c r="AE37" i="52" s="1"/>
  <c r="AO19" i="52" s="1" a="1"/>
  <c r="AO19" i="52" s="1"/>
  <c r="AP27" i="52" s="1" a="1"/>
  <c r="AP27" i="52" s="1"/>
  <c r="AQ27" i="52" s="1" a="1"/>
  <c r="AQ27" i="52" s="1"/>
  <c r="AI19" i="52" a="1"/>
  <c r="AI19" i="52" s="1"/>
  <c r="AJ27" i="52" s="1" a="1"/>
  <c r="AJ27" i="52" s="1"/>
  <c r="AK27" i="52" s="1" a="1"/>
  <c r="AK27" i="52" s="1"/>
  <c r="CZ46" i="52" a="1"/>
  <c r="CZ46" i="52" s="1"/>
  <c r="EA46" i="52" s="1" a="1"/>
  <c r="EA46" i="52" s="1"/>
  <c r="CS46" i="52" a="1"/>
  <c r="CS46" i="52" s="1"/>
  <c r="DT46" i="52" s="1" a="1"/>
  <c r="DT46" i="52" s="1"/>
  <c r="CR46" i="52" a="1"/>
  <c r="CR46" i="52" s="1"/>
  <c r="DS46" i="52" s="1" a="1"/>
  <c r="DS46" i="52" s="1"/>
  <c r="AD44" i="52" a="1"/>
  <c r="AD44" i="52" s="1"/>
  <c r="AE44" i="52" s="1" a="1"/>
  <c r="AE44" i="52" s="1"/>
  <c r="AO44" i="52" s="1" a="1"/>
  <c r="AO44" i="52" s="1"/>
  <c r="AP44" i="52" s="1" a="1"/>
  <c r="AP44" i="52" s="1"/>
  <c r="AQ44" i="52" s="1" a="1"/>
  <c r="AQ44" i="52" s="1"/>
  <c r="AI52" i="52" a="1"/>
  <c r="AI52" i="52" s="1"/>
  <c r="AF52" i="52" s="1" a="1"/>
  <c r="AF52" i="52" s="1"/>
  <c r="CT12" i="52" a="1"/>
  <c r="CT12" i="52" s="1"/>
  <c r="DU12" i="52" s="1" a="1"/>
  <c r="DU12" i="52" s="1"/>
  <c r="CW12" i="52" a="1"/>
  <c r="CW12" i="52" s="1"/>
  <c r="DX12" i="52" s="1" a="1"/>
  <c r="DX12" i="52" s="1"/>
  <c r="CP12" i="52" a="1"/>
  <c r="CP12" i="52" s="1"/>
  <c r="DQ12" i="52" s="1" a="1"/>
  <c r="DQ12" i="52" s="1"/>
  <c r="AI22" i="52" a="1"/>
  <c r="AI22" i="52" s="1"/>
  <c r="AD25" i="52" a="1"/>
  <c r="AD25" i="52" s="1"/>
  <c r="AE25" i="52" s="1" a="1"/>
  <c r="AE25" i="52" s="1"/>
  <c r="AO25" i="52" s="1" a="1"/>
  <c r="AO25" i="52" s="1"/>
  <c r="AP25" i="52" s="1" a="1"/>
  <c r="AP25" i="52" s="1"/>
  <c r="AQ25" i="52" s="1" a="1"/>
  <c r="AQ25" i="52" s="1"/>
  <c r="DB38" i="52" a="1"/>
  <c r="DB38" i="52" s="1"/>
  <c r="EC38" i="52" s="1" a="1"/>
  <c r="EC38" i="52" s="1"/>
  <c r="AW25" i="52" a="1"/>
  <c r="AW25" i="52" s="1"/>
  <c r="BG25" i="52" s="1" a="1"/>
  <c r="BG25" i="52" s="1"/>
  <c r="CR18" i="52" a="1"/>
  <c r="CR18" i="52" s="1"/>
  <c r="DS18" i="52" s="1" a="1"/>
  <c r="DS18" i="52" s="1"/>
  <c r="CS18" i="52" a="1"/>
  <c r="CS18" i="52" s="1"/>
  <c r="DT18" i="52" s="1" a="1"/>
  <c r="DT18" i="52" s="1"/>
  <c r="CZ18" i="52" a="1"/>
  <c r="CZ18" i="52" s="1"/>
  <c r="EA18" i="52" s="1" a="1"/>
  <c r="EA18" i="52" s="1"/>
  <c r="CT45" i="52" a="1"/>
  <c r="CT45" i="52" s="1"/>
  <c r="DU45" i="52" s="1" a="1"/>
  <c r="DU45" i="52" s="1"/>
  <c r="CW45" i="52" a="1"/>
  <c r="CW45" i="52" s="1"/>
  <c r="DX45" i="52" s="1" a="1"/>
  <c r="DX45" i="52" s="1"/>
  <c r="CP45" i="52" a="1"/>
  <c r="CP45" i="52" s="1"/>
  <c r="DQ45" i="52" s="1" a="1"/>
  <c r="DQ45" i="52" s="1"/>
  <c r="DB42" i="52" a="1"/>
  <c r="DB42" i="52" s="1"/>
  <c r="EC42" i="52" s="1" a="1"/>
  <c r="EC42" i="52" s="1"/>
  <c r="CV55" i="52" a="1"/>
  <c r="CV55" i="52" s="1"/>
  <c r="DW55" i="52" s="1" a="1"/>
  <c r="DW55" i="52" s="1"/>
  <c r="CQ65" i="52" a="1"/>
  <c r="CQ65" i="52" s="1"/>
  <c r="DR65" i="52" s="1" a="1"/>
  <c r="DR65" i="52" s="1"/>
  <c r="CP63" i="52" a="1"/>
  <c r="CP63" i="52" s="1"/>
  <c r="DQ63" i="52" s="1" a="1"/>
  <c r="DQ63" i="52" s="1"/>
  <c r="AD42" i="52" a="1"/>
  <c r="AD42" i="52" s="1"/>
  <c r="AE42" i="52" s="1" a="1"/>
  <c r="AE42" i="52" s="1"/>
  <c r="AO42" i="52" s="1" a="1"/>
  <c r="AO42" i="52" s="1"/>
  <c r="AP42" i="52" s="1" a="1"/>
  <c r="AP42" i="52" s="1"/>
  <c r="AQ42" i="52" s="1" a="1"/>
  <c r="AQ42" i="52" s="1"/>
  <c r="AI50" i="52" a="1"/>
  <c r="AI50" i="52" s="1"/>
  <c r="AF50" i="52" s="1" a="1"/>
  <c r="AF50" i="52" s="1"/>
  <c r="DB65" i="52" a="1"/>
  <c r="DB65" i="52" s="1"/>
  <c r="EC65" i="52" s="1" a="1"/>
  <c r="EC65" i="52" s="1"/>
  <c r="CV46" i="52" a="1"/>
  <c r="CV46" i="52" s="1"/>
  <c r="DW46" i="52" s="1" a="1"/>
  <c r="DW46" i="52" s="1"/>
  <c r="CQ42" i="52" a="1"/>
  <c r="CQ42" i="52" s="1"/>
  <c r="DR42" i="52" s="1" a="1"/>
  <c r="DR42" i="52" s="1"/>
  <c r="CS39" i="52" a="1"/>
  <c r="CS39" i="52" s="1"/>
  <c r="DT39" i="52" s="1" a="1"/>
  <c r="DT39" i="52" s="1"/>
  <c r="AV64" i="52" a="1"/>
  <c r="AV64" i="52" s="1"/>
  <c r="AW64" i="52" s="1" a="1"/>
  <c r="AW64" i="52" s="1"/>
  <c r="BG64" i="52" s="1" a="1"/>
  <c r="BG64" i="52" s="1"/>
  <c r="BA65" i="52" a="1"/>
  <c r="BA65" i="52" s="1"/>
  <c r="BX65" i="52" a="1"/>
  <c r="BX65" i="52" s="1"/>
  <c r="AX17" i="52" a="1"/>
  <c r="AX17" i="52" s="1"/>
  <c r="AY17" i="52" s="1" a="1"/>
  <c r="AY17" i="52" s="1"/>
  <c r="BB17" i="52" a="1"/>
  <c r="BB17" i="52" s="1"/>
  <c r="BC17" i="52" s="1" a="1"/>
  <c r="BC17" i="52" s="1"/>
  <c r="DB35" i="52" a="1"/>
  <c r="DB35" i="52" s="1"/>
  <c r="EC35" i="52" s="1" a="1"/>
  <c r="EC35" i="52" s="1"/>
  <c r="CW14" i="52" a="1"/>
  <c r="CW14" i="52" s="1"/>
  <c r="DX14" i="52" s="1" a="1"/>
  <c r="DX14" i="52" s="1"/>
  <c r="CP14" i="52" a="1"/>
  <c r="CP14" i="52" s="1"/>
  <c r="DQ14" i="52" s="1" a="1"/>
  <c r="DQ14" i="52" s="1"/>
  <c r="CT14" i="52" a="1"/>
  <c r="CT14" i="52" s="1"/>
  <c r="DU14" i="52" s="1" a="1"/>
  <c r="DU14" i="52" s="1"/>
  <c r="CV40" i="52" a="1"/>
  <c r="CV40" i="52" s="1"/>
  <c r="DW40" i="52" s="1" a="1"/>
  <c r="DW40" i="52" s="1"/>
  <c r="CQ29" i="52" a="1"/>
  <c r="CQ29" i="52" s="1"/>
  <c r="DR29" i="52" s="1" a="1"/>
  <c r="DR29" i="52" s="1"/>
  <c r="DB31" i="52" a="1"/>
  <c r="DB31" i="52" s="1"/>
  <c r="EC31" i="52" s="1" a="1"/>
  <c r="EC31" i="52" s="1"/>
  <c r="CW44" i="52" a="1"/>
  <c r="CW44" i="52" s="1"/>
  <c r="DX44" i="52" s="1" a="1"/>
  <c r="DX44" i="52" s="1"/>
  <c r="CP44" i="52" a="1"/>
  <c r="CP44" i="52" s="1"/>
  <c r="DQ44" i="52" s="1" a="1"/>
  <c r="DQ44" i="52" s="1"/>
  <c r="CT44" i="52" a="1"/>
  <c r="CT44" i="52" s="1"/>
  <c r="DU44" i="52" s="1" a="1"/>
  <c r="DU44" i="52" s="1"/>
  <c r="CP42" i="52" a="1"/>
  <c r="CP42" i="52" s="1"/>
  <c r="DQ42" i="52" s="1" a="1"/>
  <c r="DQ42" i="52" s="1"/>
  <c r="CW42" i="52" a="1"/>
  <c r="CW42" i="52" s="1"/>
  <c r="DX42" i="52" s="1" a="1"/>
  <c r="DX42" i="52" s="1"/>
  <c r="CT42" i="52" a="1"/>
  <c r="CT42" i="52" s="1"/>
  <c r="DU42" i="52" s="1" a="1"/>
  <c r="DU42" i="52" s="1"/>
  <c r="CV25" i="52" a="1"/>
  <c r="CV25" i="52" s="1"/>
  <c r="DW25" i="52" s="1" a="1"/>
  <c r="DW25" i="52" s="1"/>
  <c r="CQ21" i="52" a="1"/>
  <c r="CQ21" i="52" s="1"/>
  <c r="DR21" i="52" s="1" a="1"/>
  <c r="DR21" i="52" s="1"/>
  <c r="DB40" i="52" a="1"/>
  <c r="DB40" i="52" s="1"/>
  <c r="EC40" i="52" s="1" a="1"/>
  <c r="EC40" i="52" s="1"/>
  <c r="AM52" i="52" a="1"/>
  <c r="AM52" i="52" s="1"/>
  <c r="AN52" i="52" s="1" a="1"/>
  <c r="AN52" i="52" s="1"/>
  <c r="AV45" i="52" a="1"/>
  <c r="AV45" i="52" s="1"/>
  <c r="AW45" i="52" s="1" a="1"/>
  <c r="AW45" i="52" s="1"/>
  <c r="BG44" i="52" s="1" a="1"/>
  <c r="BG44" i="52" s="1"/>
  <c r="BA44" i="52" a="1"/>
  <c r="BA44" i="52" s="1"/>
  <c r="BB43" i="52" s="1" a="1"/>
  <c r="BB43" i="52" s="1"/>
  <c r="CS62" i="52" a="1"/>
  <c r="CS62" i="52" s="1"/>
  <c r="DT62" i="52" s="1" a="1"/>
  <c r="DT62" i="52" s="1"/>
  <c r="CR62" i="52" a="1"/>
  <c r="CR62" i="52" s="1"/>
  <c r="DS62" i="52" s="1" a="1"/>
  <c r="DS62" i="52" s="1"/>
  <c r="CZ62" i="52" a="1"/>
  <c r="CZ62" i="52" s="1"/>
  <c r="EA62" i="52" s="1" a="1"/>
  <c r="EA62" i="52" s="1"/>
  <c r="AV42" i="52" a="1"/>
  <c r="AV42" i="52" s="1"/>
  <c r="AW42" i="52" s="1" a="1"/>
  <c r="AW42" i="52" s="1"/>
  <c r="BG45" i="52" s="1" a="1"/>
  <c r="BG45" i="52" s="1"/>
  <c r="BH45" i="52" s="1" a="1"/>
  <c r="BH45" i="52" s="1"/>
  <c r="BI45" i="52" s="1" a="1"/>
  <c r="BI45" i="52" s="1"/>
  <c r="BA45" i="52" a="1"/>
  <c r="BA45" i="52" s="1"/>
  <c r="AX45" i="52" s="1" a="1"/>
  <c r="AX45" i="52" s="1"/>
  <c r="AY45" i="52" s="1" a="1"/>
  <c r="AY45" i="52" s="1"/>
  <c r="AZ45" i="52" s="1" a="1"/>
  <c r="AZ45" i="52" s="1"/>
  <c r="CV19" i="52" a="1"/>
  <c r="CV19" i="52" s="1"/>
  <c r="DW19" i="52" s="1" a="1"/>
  <c r="DW19" i="52" s="1"/>
  <c r="CQ36" i="52" a="1"/>
  <c r="CQ36" i="52" s="1"/>
  <c r="DR36" i="52" s="1" a="1"/>
  <c r="DR36" i="52" s="1"/>
  <c r="CQ43" i="52" a="1"/>
  <c r="CQ43" i="52" s="1"/>
  <c r="DR43" i="52" s="1" a="1"/>
  <c r="DR43" i="52" s="1"/>
  <c r="CV47" i="52" a="1"/>
  <c r="CV47" i="52" s="1"/>
  <c r="DW47" i="52" s="1" a="1"/>
  <c r="DW47" i="52" s="1"/>
  <c r="BX37" i="52" a="1"/>
  <c r="BX37" i="52" s="1"/>
  <c r="BI26" i="52" a="1"/>
  <c r="BI26" i="52" s="1"/>
  <c r="BF49" i="52" a="1"/>
  <c r="BF49" i="52" s="1"/>
  <c r="AD22" i="52" a="1"/>
  <c r="AD22" i="52" s="1"/>
  <c r="AE22" i="52" s="1" a="1"/>
  <c r="AE22" i="52" s="1"/>
  <c r="AO22" i="52" s="1" a="1"/>
  <c r="AO22" i="52" s="1"/>
  <c r="CQ45" i="52" a="1"/>
  <c r="CQ45" i="52" s="1"/>
  <c r="DR45" i="52" s="1" a="1"/>
  <c r="DR45" i="52" s="1"/>
  <c r="DB64" i="52" a="1"/>
  <c r="DB64" i="52" s="1"/>
  <c r="EC64" i="52" s="1" a="1"/>
  <c r="EC64" i="52" s="1"/>
  <c r="CV49" i="52" a="1"/>
  <c r="CV49" i="52" s="1"/>
  <c r="DW49" i="52" s="1" a="1"/>
  <c r="DW49" i="52" s="1"/>
  <c r="CT30" i="52" a="1"/>
  <c r="CT30" i="52" s="1"/>
  <c r="DU30" i="52" s="1" a="1"/>
  <c r="DU30" i="52" s="1"/>
  <c r="CP30" i="52" a="1"/>
  <c r="CP30" i="52" s="1"/>
  <c r="DQ30" i="52" s="1" a="1"/>
  <c r="DQ30" i="52" s="1"/>
  <c r="CW30" i="52" a="1"/>
  <c r="CW30" i="52" s="1"/>
  <c r="DX30" i="52" s="1" a="1"/>
  <c r="DX30" i="52" s="1"/>
  <c r="CQ56" i="52" a="1"/>
  <c r="CQ56" i="52" s="1"/>
  <c r="DR56" i="52" s="1" a="1"/>
  <c r="DR56" i="52" s="1"/>
  <c r="CV51" i="52" a="1"/>
  <c r="CV51" i="52" s="1"/>
  <c r="DW51" i="52" s="1" a="1"/>
  <c r="DW51" i="52" s="1"/>
  <c r="CP48" i="52" a="1"/>
  <c r="CP48" i="52" s="1"/>
  <c r="DQ48" i="52" s="1" a="1"/>
  <c r="DQ48" i="52" s="1"/>
  <c r="DB50" i="52" a="1"/>
  <c r="DB50" i="52" s="1"/>
  <c r="EC50" i="52" s="1" a="1"/>
  <c r="EC50" i="52" s="1"/>
  <c r="CQ28" i="52" a="1"/>
  <c r="CQ28" i="52" s="1"/>
  <c r="DR28" i="52" s="1" a="1"/>
  <c r="DR28" i="52" s="1"/>
  <c r="DB30" i="52" a="1"/>
  <c r="DB30" i="52" s="1"/>
  <c r="EC30" i="52" s="1" a="1"/>
  <c r="EC30" i="52" s="1"/>
  <c r="CV39" i="52" a="1"/>
  <c r="CV39" i="52" s="1"/>
  <c r="DW39" i="52" s="1" a="1"/>
  <c r="DW39" i="52" s="1"/>
  <c r="CT22" i="52" a="1"/>
  <c r="CT22" i="52" s="1"/>
  <c r="DU22" i="52" s="1" a="1"/>
  <c r="DU22" i="52" s="1"/>
  <c r="BT19" i="52" a="1"/>
  <c r="BT19" i="52" s="1"/>
  <c r="BU19" i="52" s="1" a="1"/>
  <c r="BU19" i="52" s="1"/>
  <c r="BP19" i="52" a="1"/>
  <c r="BP19" i="52" s="1"/>
  <c r="BQ19" i="52" s="1" a="1"/>
  <c r="BQ19" i="52" s="1"/>
  <c r="BR19" i="52" s="1" a="1"/>
  <c r="BR19" i="52" s="1"/>
  <c r="CZ13" i="52" a="1"/>
  <c r="CZ13" i="52" s="1"/>
  <c r="EA13" i="52" s="1" a="1"/>
  <c r="EA13" i="52" s="1"/>
  <c r="CR13" i="52" a="1"/>
  <c r="CR13" i="52" s="1"/>
  <c r="DS13" i="52" s="1" a="1"/>
  <c r="DS13" i="52" s="1"/>
  <c r="CS13" i="52" a="1"/>
  <c r="CS13" i="52" s="1"/>
  <c r="DT13" i="52" s="1" a="1"/>
  <c r="DT13" i="52" s="1"/>
  <c r="BN20" i="52" a="1"/>
  <c r="BN20" i="52" s="1"/>
  <c r="BO20" i="52" s="1" a="1"/>
  <c r="BO20" i="52" s="1"/>
  <c r="BY23" i="52" s="1" a="1"/>
  <c r="BY23" i="52" s="1"/>
  <c r="BS23" i="52" a="1"/>
  <c r="BS23" i="52" s="1"/>
  <c r="BB48" i="52" a="1"/>
  <c r="BB48" i="52" s="1"/>
  <c r="BC48" i="52" s="1" a="1"/>
  <c r="BC48" i="52" s="1"/>
  <c r="AX48" i="52" a="1"/>
  <c r="AX48" i="52" s="1"/>
  <c r="AY48" i="52" s="1" a="1"/>
  <c r="AY48" i="52" s="1"/>
  <c r="AZ48" i="52" s="1" a="1"/>
  <c r="AZ48" i="52" s="1"/>
  <c r="BN36" i="52" a="1"/>
  <c r="BN36" i="52" s="1"/>
  <c r="BO36" i="52" s="1" a="1"/>
  <c r="BO36" i="52" s="1"/>
  <c r="BY36" i="52" s="1" a="1"/>
  <c r="BY36" i="52" s="1"/>
  <c r="BS37" i="52" a="1"/>
  <c r="BS37" i="52" s="1"/>
  <c r="BA46" i="52" a="1"/>
  <c r="BA46" i="52" s="1"/>
  <c r="AV58" i="52" a="1"/>
  <c r="AV58" i="52" s="1"/>
  <c r="AW58" i="52" s="1" a="1"/>
  <c r="AW58" i="52" s="1"/>
  <c r="BG46" i="52" s="1" a="1"/>
  <c r="BG46" i="52" s="1"/>
  <c r="AX58" i="52" a="1"/>
  <c r="AX58" i="52" s="1"/>
  <c r="AY58" i="52" s="1" a="1"/>
  <c r="AY58" i="52" s="1"/>
  <c r="AZ58" i="52" s="1" a="1"/>
  <c r="AZ58" i="52" s="1"/>
  <c r="AX29" i="52" a="1"/>
  <c r="AX29" i="52" s="1"/>
  <c r="AY29" i="52" s="1" a="1"/>
  <c r="AY29" i="52" s="1"/>
  <c r="AZ29" i="52" s="1" a="1"/>
  <c r="AZ29" i="52" s="1"/>
  <c r="BB29" i="52" a="1"/>
  <c r="BB29" i="52" s="1"/>
  <c r="BC29" i="52" s="1" a="1"/>
  <c r="BC29" i="52" s="1"/>
  <c r="AM46" i="52" a="1"/>
  <c r="AM46" i="52" s="1"/>
  <c r="AN46" i="52" s="1" a="1"/>
  <c r="AN46" i="52" s="1"/>
  <c r="AN48" i="52" a="1"/>
  <c r="AN48" i="52" s="1"/>
  <c r="AM49" i="52" a="1"/>
  <c r="AM49" i="52" s="1"/>
  <c r="AN49" i="52" s="1" a="1"/>
  <c r="AN49" i="52" s="1"/>
  <c r="AF40" i="52" a="1"/>
  <c r="AF40" i="52" s="1"/>
  <c r="AG40" i="52" s="1" a="1"/>
  <c r="AG40" i="52" s="1"/>
  <c r="AH40" i="52" s="1" a="1"/>
  <c r="AH40" i="52" s="1"/>
  <c r="BW31" i="52" a="1"/>
  <c r="BW31" i="52" s="1"/>
  <c r="BX31" i="52" s="1" a="1"/>
  <c r="BX31" i="52" s="1"/>
  <c r="BW40" i="52" a="1"/>
  <c r="BW40" i="52" s="1"/>
  <c r="BX40" i="52" s="1" a="1"/>
  <c r="BX40" i="52" s="1"/>
  <c r="BN14" i="52" a="1"/>
  <c r="BN14" i="52" s="1"/>
  <c r="BO14" i="52" s="1" a="1"/>
  <c r="BO14" i="52" s="1"/>
  <c r="BY14" i="52" s="1" a="1"/>
  <c r="BY14" i="52" s="1"/>
  <c r="BZ14" i="52" s="1" a="1"/>
  <c r="BZ14" i="52" s="1"/>
  <c r="CA14" i="52" s="1" a="1"/>
  <c r="CA14" i="52" s="1"/>
  <c r="BS14" i="52" a="1"/>
  <c r="BS14" i="52" s="1"/>
  <c r="AF44" i="52" a="1"/>
  <c r="AF44" i="52" s="1"/>
  <c r="AJ44" i="52" a="1"/>
  <c r="AJ44" i="52" s="1"/>
  <c r="AK44" i="52" s="1" a="1"/>
  <c r="AK44" i="52" s="1"/>
  <c r="AM35" i="52" a="1"/>
  <c r="AM35" i="52" s="1"/>
  <c r="AN35" i="52" s="1" a="1"/>
  <c r="AN35" i="52" s="1"/>
  <c r="AM41" i="52" a="1"/>
  <c r="AM41" i="52" s="1"/>
  <c r="AN41" i="52" s="1" a="1"/>
  <c r="AN41" i="52" s="1"/>
  <c r="AN29" i="52" a="1"/>
  <c r="AN29" i="52" s="1"/>
  <c r="AV28" i="52" a="1"/>
  <c r="AV28" i="52" s="1"/>
  <c r="AW28" i="52" s="1" a="1"/>
  <c r="AW28" i="52" s="1"/>
  <c r="BG28" i="52" s="1" a="1"/>
  <c r="BG28" i="52" s="1"/>
  <c r="BA32" i="52" a="1"/>
  <c r="BA32" i="52" s="1"/>
  <c r="BN37" i="52" a="1"/>
  <c r="BN37" i="52" s="1"/>
  <c r="BO37" i="52" s="1" a="1"/>
  <c r="BO37" i="52" s="1"/>
  <c r="BY37" i="52" s="1" a="1"/>
  <c r="BY37" i="52" s="1"/>
  <c r="BZ37" i="52" s="1" a="1"/>
  <c r="BZ37" i="52" s="1"/>
  <c r="BS34" i="52" a="1"/>
  <c r="BS34" i="52" s="1"/>
  <c r="BN25" i="52" a="1"/>
  <c r="BN25" i="52" s="1"/>
  <c r="BO25" i="52" s="1" a="1"/>
  <c r="BO25" i="52" s="1"/>
  <c r="BY25" i="52" s="1" a="1"/>
  <c r="BY25" i="52" s="1"/>
  <c r="BS40" i="52" a="1"/>
  <c r="BS40" i="52" s="1"/>
  <c r="BN48" i="52" a="1"/>
  <c r="BN48" i="52" s="1"/>
  <c r="BO48" i="52" s="1" a="1"/>
  <c r="BO48" i="52" s="1"/>
  <c r="BY48" i="52" s="1" a="1"/>
  <c r="BY48" i="52" s="1"/>
  <c r="BZ48" i="52" s="1" a="1"/>
  <c r="BZ48" i="52" s="1"/>
  <c r="CA48" i="52" s="1" a="1"/>
  <c r="CA48" i="52" s="1"/>
  <c r="BS63" i="52" a="1"/>
  <c r="BS63" i="52" s="1"/>
  <c r="BN17" i="52" a="1"/>
  <c r="BN17" i="52" s="1"/>
  <c r="BO17" i="52" s="1" a="1"/>
  <c r="BO17" i="52" s="1"/>
  <c r="BY17" i="52" s="1" a="1"/>
  <c r="BY17" i="52" s="1"/>
  <c r="BZ17" i="52" s="1" a="1"/>
  <c r="BZ17" i="52" s="1"/>
  <c r="CA17" i="52" s="1" a="1"/>
  <c r="CA17" i="52" s="1"/>
  <c r="BS17" i="52" a="1"/>
  <c r="BS17" i="52" s="1"/>
  <c r="BN46" i="52" a="1"/>
  <c r="BN46" i="52" s="1"/>
  <c r="BO46" i="52" s="1" a="1"/>
  <c r="BO46" i="52" s="1"/>
  <c r="BY46" i="52" s="1" a="1"/>
  <c r="BY46" i="52" s="1"/>
  <c r="BZ46" i="52" s="1" a="1"/>
  <c r="BZ46" i="52" s="1"/>
  <c r="CA46" i="52" s="1" a="1"/>
  <c r="CA46" i="52" s="1"/>
  <c r="BS65" i="52" a="1"/>
  <c r="BS65" i="52" s="1"/>
  <c r="BT56" i="52" s="1" a="1"/>
  <c r="BT56" i="52" s="1"/>
  <c r="AD20" i="52" a="1"/>
  <c r="AD20" i="52" s="1"/>
  <c r="AE20" i="52" s="1" a="1"/>
  <c r="AE20" i="52" s="1"/>
  <c r="AO28" i="52" s="1" a="1"/>
  <c r="AO28" i="52" s="1"/>
  <c r="AQ34" i="52" s="1" a="1"/>
  <c r="AQ34" i="52" s="1"/>
  <c r="AI28" i="52" a="1"/>
  <c r="AI28" i="52" s="1"/>
  <c r="CT61" i="52" a="1"/>
  <c r="CT61" i="52" s="1"/>
  <c r="DU61" i="52" s="1" a="1"/>
  <c r="DU61" i="52" s="1"/>
  <c r="CP61" i="52" a="1"/>
  <c r="CP61" i="52" s="1"/>
  <c r="DQ61" i="52" s="1" a="1"/>
  <c r="DQ61" i="52" s="1"/>
  <c r="CW61" i="52" a="1"/>
  <c r="CW61" i="52" s="1"/>
  <c r="DX61" i="52" s="1" a="1"/>
  <c r="DX61" i="52" s="1"/>
  <c r="AV51" i="52" a="1"/>
  <c r="AV51" i="52" s="1"/>
  <c r="AW51" i="52" s="1" a="1"/>
  <c r="AW51" i="52" s="1"/>
  <c r="BG51" i="52" s="1" a="1"/>
  <c r="BG51" i="52" s="1"/>
  <c r="BH51" i="52" s="1" a="1"/>
  <c r="BH51" i="52" s="1"/>
  <c r="BI51" i="52" s="1" a="1"/>
  <c r="BI51" i="52" s="1"/>
  <c r="BA55" i="52" a="1"/>
  <c r="BA55" i="52" s="1"/>
  <c r="AJ48" i="52" a="1"/>
  <c r="AJ48" i="52" s="1"/>
  <c r="AK48" i="52" s="1" a="1"/>
  <c r="AK48" i="52" s="1"/>
  <c r="AF48" i="52" a="1"/>
  <c r="AF48" i="52" s="1"/>
  <c r="AG48" i="52" s="1" a="1"/>
  <c r="AG48" i="52" s="1"/>
  <c r="AH48" i="52" s="1" a="1"/>
  <c r="AH48" i="52" s="1"/>
  <c r="BS13" i="52" a="1"/>
  <c r="BS13" i="52" s="1"/>
  <c r="BN15" i="52" a="1"/>
  <c r="BN15" i="52" s="1"/>
  <c r="BO15" i="52" s="1" a="1"/>
  <c r="BO15" i="52" s="1"/>
  <c r="BY15" i="52" s="1" a="1"/>
  <c r="BY15" i="52" s="1"/>
  <c r="BZ15" i="52" s="1" a="1"/>
  <c r="BZ15" i="52" s="1"/>
  <c r="CA15" i="52" s="1" a="1"/>
  <c r="CA15" i="52" s="1"/>
  <c r="AV61" i="52" a="1"/>
  <c r="AV61" i="52" s="1"/>
  <c r="AW61" i="52" s="1" a="1"/>
  <c r="AW61" i="52" s="1"/>
  <c r="BG61" i="52" s="1" a="1"/>
  <c r="BG61" i="52" s="1"/>
  <c r="BH61" i="52" s="1" a="1"/>
  <c r="BH61" i="52" s="1"/>
  <c r="BI61" i="52" s="1" a="1"/>
  <c r="BI61" i="52" s="1"/>
  <c r="BA49" i="52" a="1"/>
  <c r="BA49" i="52" s="1"/>
  <c r="CW19" i="52" a="1"/>
  <c r="CW19" i="52" s="1"/>
  <c r="DX19" i="52" s="1" a="1"/>
  <c r="DX19" i="52" s="1"/>
  <c r="CT19" i="52" a="1"/>
  <c r="CT19" i="52" s="1"/>
  <c r="DU19" i="52" s="1" a="1"/>
  <c r="DU19" i="52" s="1"/>
  <c r="CP19" i="52" a="1"/>
  <c r="CP19" i="52" s="1"/>
  <c r="DQ19" i="52" s="1" a="1"/>
  <c r="DQ19" i="52" s="1"/>
  <c r="AD14" i="52" a="1"/>
  <c r="AD14" i="52" s="1"/>
  <c r="AE14" i="52" s="1" a="1"/>
  <c r="AE14" i="52" s="1"/>
  <c r="AO14" i="52" s="1" a="1"/>
  <c r="AO14" i="52" s="1"/>
  <c r="AP14" i="52" s="1" a="1"/>
  <c r="AP14" i="52" s="1"/>
  <c r="AQ14" i="52" s="1" a="1"/>
  <c r="AQ14" i="52" s="1"/>
  <c r="AI15" i="52" a="1"/>
  <c r="AI15" i="52" s="1"/>
  <c r="CV62" i="52" a="1"/>
  <c r="CV62" i="52" s="1"/>
  <c r="DW62" i="52" s="1" a="1"/>
  <c r="DW62" i="52" s="1"/>
  <c r="CQ51" i="52" a="1"/>
  <c r="CQ51" i="52" s="1"/>
  <c r="DR51" i="52" s="1" a="1"/>
  <c r="DR51" i="52" s="1"/>
  <c r="DB57" i="52" a="1"/>
  <c r="DB57" i="52" s="1"/>
  <c r="EC57" i="52" s="1" a="1"/>
  <c r="EC57" i="52" s="1"/>
  <c r="CS44" i="52" a="1"/>
  <c r="CS44" i="52" s="1"/>
  <c r="DT44" i="52" s="1" a="1"/>
  <c r="DT44" i="52" s="1"/>
  <c r="CP59" i="52" a="1"/>
  <c r="CP59" i="52" s="1"/>
  <c r="DQ59" i="52" s="1" a="1"/>
  <c r="DQ59" i="52" s="1"/>
  <c r="BW36" i="52" a="1"/>
  <c r="BW36" i="52" s="1"/>
  <c r="BX36" i="52" s="1" a="1"/>
  <c r="BX36" i="52" s="1"/>
  <c r="CQ39" i="52" a="1"/>
  <c r="CQ39" i="52" s="1"/>
  <c r="DR39" i="52" s="1" a="1"/>
  <c r="DR39" i="52" s="1"/>
  <c r="CV33" i="52" a="1"/>
  <c r="CV33" i="52" s="1"/>
  <c r="DW33" i="52" s="1" a="1"/>
  <c r="DW33" i="52" s="1"/>
  <c r="DB20" i="52" a="1"/>
  <c r="DB20" i="52" s="1"/>
  <c r="EC20" i="52" s="1" a="1"/>
  <c r="EC20" i="52" s="1"/>
  <c r="AN17" i="52" a="1"/>
  <c r="AN17" i="52" s="1"/>
  <c r="AX42" i="52" a="1"/>
  <c r="AX42" i="52" s="1"/>
  <c r="AY42" i="52" s="1" a="1"/>
  <c r="AY42" i="52" s="1"/>
  <c r="AZ42" i="52" s="1" a="1"/>
  <c r="AZ42" i="52" s="1"/>
  <c r="BB42" i="52" a="1"/>
  <c r="BB42" i="52" s="1"/>
  <c r="CW32" i="52" a="1"/>
  <c r="CW32" i="52" s="1"/>
  <c r="DX32" i="52" s="1" a="1"/>
  <c r="DX32" i="52" s="1"/>
  <c r="CT32" i="52" a="1"/>
  <c r="CT32" i="52" s="1"/>
  <c r="DU32" i="52" s="1" a="1"/>
  <c r="DU32" i="52" s="1"/>
  <c r="CP32" i="52" a="1"/>
  <c r="CP32" i="52" s="1"/>
  <c r="DQ32" i="52" s="1" a="1"/>
  <c r="DQ32" i="52" s="1"/>
  <c r="AF27" i="52" a="1"/>
  <c r="AF27" i="52" s="1"/>
  <c r="AG27" i="52" s="1" a="1"/>
  <c r="AG27" i="52" s="1"/>
  <c r="AH27" i="52" s="1" a="1"/>
  <c r="AH27" i="52" s="1"/>
  <c r="BF48" i="52" a="1"/>
  <c r="BF48" i="52" s="1"/>
  <c r="CW39" i="52" a="1"/>
  <c r="CW39" i="52" s="1"/>
  <c r="DX39" i="52" s="1" a="1"/>
  <c r="DX39" i="52" s="1"/>
  <c r="CP39" i="52" a="1"/>
  <c r="CP39" i="52" s="1"/>
  <c r="DQ39" i="52" s="1" a="1"/>
  <c r="DQ39" i="52" s="1"/>
  <c r="CT39" i="52" a="1"/>
  <c r="CT39" i="52" s="1"/>
  <c r="DU39" i="52" s="1" a="1"/>
  <c r="DU39" i="52" s="1"/>
  <c r="AV53" i="52" a="1"/>
  <c r="AV53" i="52" s="1"/>
  <c r="AW53" i="52" s="1" a="1"/>
  <c r="AW53" i="52" s="1"/>
  <c r="BG53" i="52" s="1" a="1"/>
  <c r="BG53" i="52" s="1"/>
  <c r="BH53" i="52" s="1" a="1"/>
  <c r="BH53" i="52" s="1"/>
  <c r="BI53" i="52" s="1" a="1"/>
  <c r="BI53" i="52" s="1"/>
  <c r="BA57" i="52" a="1"/>
  <c r="BA57" i="52" s="1"/>
  <c r="BN64" i="52" a="1"/>
  <c r="BN64" i="52" s="1"/>
  <c r="BO64" i="52" s="1" a="1"/>
  <c r="BO64" i="52" s="1"/>
  <c r="BY64" i="52" s="1" a="1"/>
  <c r="BY64" i="52" s="1"/>
  <c r="BS55" i="52" a="1"/>
  <c r="BS55" i="52" s="1"/>
  <c r="AV27" i="52" a="1"/>
  <c r="AV27" i="52" s="1"/>
  <c r="AW27" i="52" s="1" a="1"/>
  <c r="AW27" i="52" s="1"/>
  <c r="BG31" i="52" s="1" a="1"/>
  <c r="BG31" i="52" s="1"/>
  <c r="BA31" i="52" a="1"/>
  <c r="BA31" i="52" s="1"/>
  <c r="CW28" i="52" a="1"/>
  <c r="CW28" i="52" s="1"/>
  <c r="DX28" i="52" s="1" a="1"/>
  <c r="DX28" i="52" s="1"/>
  <c r="CT28" i="52" a="1"/>
  <c r="CT28" i="52" s="1"/>
  <c r="DU28" i="52" s="1" a="1"/>
  <c r="DU28" i="52" s="1"/>
  <c r="CP28" i="52" a="1"/>
  <c r="CP28" i="52" s="1"/>
  <c r="DQ28" i="52" s="1" a="1"/>
  <c r="DQ28" i="52" s="1"/>
  <c r="BW61" i="52" a="1"/>
  <c r="BW61" i="52" s="1"/>
  <c r="BX61" i="52" s="1" a="1"/>
  <c r="BX61" i="52" s="1"/>
  <c r="BW60" i="52" a="1"/>
  <c r="BW60" i="52" s="1"/>
  <c r="BX60" i="52" s="1" a="1"/>
  <c r="BX60" i="52" s="1"/>
  <c r="BN35" i="52" a="1"/>
  <c r="BN35" i="52" s="1"/>
  <c r="BO35" i="52" s="1" a="1"/>
  <c r="BO35" i="52" s="1"/>
  <c r="BY35" i="52" s="1" a="1"/>
  <c r="BY35" i="52" s="1"/>
  <c r="BS36" i="52" a="1"/>
  <c r="BS36" i="52" s="1"/>
  <c r="BN34" i="52" a="1"/>
  <c r="BN34" i="52" s="1"/>
  <c r="BO34" i="52" s="1" a="1"/>
  <c r="BO34" i="52" s="1"/>
  <c r="BY34" i="52" s="1" a="1"/>
  <c r="BY34" i="52" s="1"/>
  <c r="BN63" i="52" a="1"/>
  <c r="BN63" i="52" s="1"/>
  <c r="BO63" i="52" s="1" a="1"/>
  <c r="BO63" i="52" s="1"/>
  <c r="BY63" i="52" s="1" a="1"/>
  <c r="BY63" i="52" s="1"/>
  <c r="BZ63" i="52" s="1" a="1"/>
  <c r="BZ63" i="52" s="1"/>
  <c r="CA63" i="52" s="1" a="1"/>
  <c r="CA63" i="52" s="1"/>
  <c r="BS54" i="52" a="1"/>
  <c r="BS54" i="52" s="1"/>
  <c r="CQ20" i="52" a="1"/>
  <c r="CQ20" i="52" s="1"/>
  <c r="DR20" i="52" s="1" a="1"/>
  <c r="DR20" i="52" s="1"/>
  <c r="CV24" i="52" a="1"/>
  <c r="CV24" i="52" s="1"/>
  <c r="DW24" i="52" s="1" a="1"/>
  <c r="DW24" i="52" s="1"/>
  <c r="DB39" i="52" a="1"/>
  <c r="DB39" i="52" s="1"/>
  <c r="EC39" i="52" s="1" a="1"/>
  <c r="EC39" i="52" s="1"/>
  <c r="CV13" i="52" a="1"/>
  <c r="CV13" i="52" s="1"/>
  <c r="DW13" i="52" s="1" a="1"/>
  <c r="DW13" i="52" s="1"/>
  <c r="CP15" i="52" a="1"/>
  <c r="CP15" i="52" s="1"/>
  <c r="DQ15" i="52" s="1" a="1"/>
  <c r="DQ15" i="52" s="1"/>
  <c r="CQ15" i="52" a="1"/>
  <c r="CQ15" i="52" s="1"/>
  <c r="DR15" i="52" s="1" a="1"/>
  <c r="DR15" i="52" s="1"/>
  <c r="DB12" i="52" a="1"/>
  <c r="DB12" i="52" s="1"/>
  <c r="EC12" i="52" s="1" a="1"/>
  <c r="EC12" i="52" s="1"/>
  <c r="BN44" i="52" a="1"/>
  <c r="BN44" i="52" s="1"/>
  <c r="BO44" i="52" s="1" a="1"/>
  <c r="BO44" i="52" s="1"/>
  <c r="BY47" i="52" s="1" a="1"/>
  <c r="BY47" i="52" s="1"/>
  <c r="BS47" i="52" a="1"/>
  <c r="BS47" i="52" s="1"/>
  <c r="AV29" i="52" a="1"/>
  <c r="AV29" i="52" s="1"/>
  <c r="AW29" i="52" s="1" a="1"/>
  <c r="AW29" i="52" s="1"/>
  <c r="BG29" i="52" s="1" a="1"/>
  <c r="BG29" i="52" s="1"/>
  <c r="BA33" i="52" a="1"/>
  <c r="BA33" i="52" s="1"/>
  <c r="AX20" i="52" a="1"/>
  <c r="AX20" i="52" s="1"/>
  <c r="AY20" i="52" s="1" a="1"/>
  <c r="AY20" i="52" s="1"/>
  <c r="AZ20" i="52" s="1" a="1"/>
  <c r="AZ20" i="52" s="1"/>
  <c r="BB19" i="52" a="1"/>
  <c r="BB19" i="52" s="1"/>
  <c r="BC19" i="52" s="1" a="1"/>
  <c r="BC19" i="52" s="1"/>
  <c r="CQ33" i="52" a="1"/>
  <c r="CQ33" i="52" s="1"/>
  <c r="DR33" i="52" s="1" a="1"/>
  <c r="DR33" i="52" s="1"/>
  <c r="CV28" i="52" a="1"/>
  <c r="CV28" i="52" s="1"/>
  <c r="DW28" i="52" s="1" a="1"/>
  <c r="DW28" i="52" s="1"/>
  <c r="CS26" i="52" a="1"/>
  <c r="CS26" i="52" s="1"/>
  <c r="DT26" i="52" s="1" a="1"/>
  <c r="DT26" i="52" s="1"/>
  <c r="CP25" i="52" a="1"/>
  <c r="CP25" i="52" s="1"/>
  <c r="DQ25" i="52" s="1" a="1"/>
  <c r="DQ25" i="52" s="1"/>
  <c r="BE57" i="52" a="1"/>
  <c r="BE57" i="52" s="1"/>
  <c r="BF57" i="52" s="1" a="1"/>
  <c r="BF57" i="52" s="1"/>
  <c r="BE53" i="52" a="1"/>
  <c r="BE53" i="52" s="1"/>
  <c r="BF53" i="52" s="1" a="1"/>
  <c r="BF53" i="52" s="1"/>
  <c r="AD34" i="52" a="1"/>
  <c r="AD34" i="52" s="1"/>
  <c r="AE34" i="52" s="1" a="1"/>
  <c r="AE34" i="52" s="1"/>
  <c r="AO20" i="52" s="1" a="1"/>
  <c r="AO20" i="52" s="1"/>
  <c r="AP20" i="52" s="1" a="1"/>
  <c r="AP20" i="52" s="1"/>
  <c r="AQ20" i="52" s="1" a="1"/>
  <c r="AQ20" i="52" s="1"/>
  <c r="AI20" i="52" a="1"/>
  <c r="AI20" i="52" s="1"/>
  <c r="AW56" i="52" a="1"/>
  <c r="AW56" i="52" s="1"/>
  <c r="BG56" i="52" s="1" a="1"/>
  <c r="BG56" i="52" s="1"/>
  <c r="AJ25" i="52" a="1"/>
  <c r="AJ25" i="52" s="1"/>
  <c r="AK25" i="52" s="1" a="1"/>
  <c r="AK25" i="52" s="1"/>
  <c r="AF25" i="52" a="1"/>
  <c r="AF25" i="52" s="1"/>
  <c r="AG25" i="52" s="1" a="1"/>
  <c r="AG25" i="52" s="1"/>
  <c r="AH25" i="52" s="1" a="1"/>
  <c r="AH25" i="52" s="1"/>
  <c r="AX34" i="52" a="1"/>
  <c r="AX34" i="52" s="1"/>
  <c r="AY34" i="52" s="1" a="1"/>
  <c r="AY34" i="52" s="1"/>
  <c r="AZ34" i="52" s="1" a="1"/>
  <c r="AZ34" i="52" s="1"/>
  <c r="BB22" i="52" a="1"/>
  <c r="BB22" i="52" s="1"/>
  <c r="AX22" i="52" a="1"/>
  <c r="AX22" i="52" s="1"/>
  <c r="AY22" i="52" s="1" a="1"/>
  <c r="AY22" i="52" s="1"/>
  <c r="AZ22" i="52" s="1" a="1"/>
  <c r="AZ22" i="52" s="1"/>
  <c r="BB26" i="52" a="1"/>
  <c r="BB26" i="52" s="1"/>
  <c r="BC26" i="52" s="1" a="1"/>
  <c r="BC26" i="52" s="1"/>
  <c r="BB16" i="52" a="1"/>
  <c r="BB16" i="52" s="1"/>
  <c r="BC16" i="52" s="1" a="1"/>
  <c r="BC16" i="52" s="1"/>
  <c r="AX16" i="52" a="1"/>
  <c r="AX16" i="52" s="1"/>
  <c r="CZ37" i="52" a="1"/>
  <c r="CZ37" i="52" s="1"/>
  <c r="EA37" i="52" s="1" a="1"/>
  <c r="EA37" i="52" s="1"/>
  <c r="CR37" i="52" a="1"/>
  <c r="CR37" i="52" s="1"/>
  <c r="DS37" i="52" s="1" a="1"/>
  <c r="DS37" i="52" s="1"/>
  <c r="CS37" i="52" a="1"/>
  <c r="CS37" i="52" s="1"/>
  <c r="DT37" i="52" s="1" a="1"/>
  <c r="DT37" i="52" s="1"/>
  <c r="BT29" i="52" a="1"/>
  <c r="BT29" i="52" s="1"/>
  <c r="BU29" i="52" s="1" a="1"/>
  <c r="BU29" i="52" s="1"/>
  <c r="BP29" i="52" a="1"/>
  <c r="BP29" i="52" s="1"/>
  <c r="BQ29" i="52" s="1" a="1"/>
  <c r="BQ29" i="52" s="1"/>
  <c r="BR29" i="52" s="1" a="1"/>
  <c r="BR29" i="52" s="1"/>
  <c r="AX43" i="52" a="1"/>
  <c r="AX43" i="52" s="1"/>
  <c r="AY43" i="52" s="1" a="1"/>
  <c r="AY43" i="52" s="1"/>
  <c r="AZ43" i="52" s="1" a="1"/>
  <c r="AZ43" i="52" s="1"/>
  <c r="CP31" i="52" a="1"/>
  <c r="CP31" i="52" s="1"/>
  <c r="DQ31" i="52" s="1" a="1"/>
  <c r="DQ31" i="52" s="1"/>
  <c r="CW31" i="52" a="1"/>
  <c r="CW31" i="52" s="1"/>
  <c r="DX31" i="52" s="1" a="1"/>
  <c r="DX31" i="52" s="1"/>
  <c r="CT31" i="52" a="1"/>
  <c r="CT31" i="52" s="1"/>
  <c r="DU31" i="52" s="1" a="1"/>
  <c r="DU31" i="52" s="1"/>
  <c r="BZ21" i="52" a="1"/>
  <c r="BZ21" i="52" s="1"/>
  <c r="CA21" i="52" s="1" a="1"/>
  <c r="CA21" i="52" s="1"/>
  <c r="BZ24" i="52" a="1"/>
  <c r="BZ24" i="52" s="1"/>
  <c r="CA24" i="52" s="1" a="1"/>
  <c r="CA24" i="52" s="1"/>
  <c r="BH19" i="52" a="1"/>
  <c r="BH19" i="52" s="1"/>
  <c r="CZ35" i="52" a="1"/>
  <c r="CZ35" i="52" s="1"/>
  <c r="EA35" i="52" s="1" a="1"/>
  <c r="EA35" i="52" s="1"/>
  <c r="CR35" i="52" a="1"/>
  <c r="CR35" i="52" s="1"/>
  <c r="DS35" i="52" s="1" a="1"/>
  <c r="DS35" i="52" s="1"/>
  <c r="CS35" i="52" a="1"/>
  <c r="CS35" i="52" s="1"/>
  <c r="DT35" i="52" s="1" a="1"/>
  <c r="DT35" i="52" s="1"/>
  <c r="AD57" i="52" a="1"/>
  <c r="AD57" i="52" s="1"/>
  <c r="AE57" i="52" s="1" a="1"/>
  <c r="AE57" i="52" s="1"/>
  <c r="AO56" i="52" s="1" a="1"/>
  <c r="AO56" i="52" s="1"/>
  <c r="AP56" i="52" s="1" a="1"/>
  <c r="AP56" i="52" s="1"/>
  <c r="AQ56" i="52" s="1" a="1"/>
  <c r="AQ56" i="52" s="1"/>
  <c r="AI56" i="52" a="1"/>
  <c r="AI56" i="52" s="1"/>
  <c r="AM12" i="52" a="1"/>
  <c r="AM12" i="52" s="1"/>
  <c r="AN12" i="52" s="1" a="1"/>
  <c r="AN12" i="52" s="1"/>
  <c r="AV62" i="52" a="1"/>
  <c r="AV62" i="52" s="1"/>
  <c r="AW62" i="52" s="1" a="1"/>
  <c r="AW62" i="52" s="1"/>
  <c r="BG62" i="52" s="1" a="1"/>
  <c r="BG62" i="52" s="1"/>
  <c r="BH63" i="52" s="1" a="1"/>
  <c r="BH63" i="52" s="1"/>
  <c r="BA63" i="52" a="1"/>
  <c r="BA63" i="52" s="1"/>
  <c r="AF64" i="52" a="1"/>
  <c r="AF64" i="52" s="1"/>
  <c r="CW55" i="52" a="1"/>
  <c r="CW55" i="52" s="1"/>
  <c r="DX55" i="52" s="1" a="1"/>
  <c r="DX55" i="52" s="1"/>
  <c r="CP55" i="52" a="1"/>
  <c r="CP55" i="52" s="1"/>
  <c r="DQ55" i="52" s="1" a="1"/>
  <c r="DQ55" i="52" s="1"/>
  <c r="CT55" i="52" a="1"/>
  <c r="CT55" i="52" s="1"/>
  <c r="DU55" i="52" s="1" a="1"/>
  <c r="DU55" i="52" s="1"/>
  <c r="AX60" i="52" a="1"/>
  <c r="AX60" i="52" s="1"/>
  <c r="AY60" i="52" s="1" a="1"/>
  <c r="AY60" i="52" s="1"/>
  <c r="AZ60" i="52" s="1" a="1"/>
  <c r="AZ60" i="52" s="1"/>
  <c r="BB60" i="52" a="1"/>
  <c r="BB60" i="52" s="1"/>
  <c r="BC60" i="52" s="1" a="1"/>
  <c r="BC60" i="52" s="1"/>
  <c r="BP33" i="52" a="1"/>
  <c r="BP33" i="52" s="1"/>
  <c r="BQ33" i="52" s="1" a="1"/>
  <c r="BQ33" i="52" s="1"/>
  <c r="BR33" i="52" s="1" a="1"/>
  <c r="BR33" i="52" s="1"/>
  <c r="AV55" i="52" a="1"/>
  <c r="AV55" i="52" s="1"/>
  <c r="AW55" i="52" s="1" a="1"/>
  <c r="AW55" i="52" s="1"/>
  <c r="BG55" i="52" s="1" a="1"/>
  <c r="BG55" i="52" s="1"/>
  <c r="BH55" i="52" s="1" a="1"/>
  <c r="BH55" i="52" s="1"/>
  <c r="BI55" i="52" s="1" a="1"/>
  <c r="BI55" i="52" s="1"/>
  <c r="BA59" i="52" a="1"/>
  <c r="BA59" i="52" s="1"/>
  <c r="BB47" i="52" s="1" a="1"/>
  <c r="BB47" i="52" s="1"/>
  <c r="BC47" i="52" s="1" a="1"/>
  <c r="BC47" i="52" s="1"/>
  <c r="CQ26" i="52" a="1"/>
  <c r="CQ26" i="52" s="1"/>
  <c r="DR26" i="52" s="1" a="1"/>
  <c r="DR26" i="52" s="1"/>
  <c r="CP34" i="52" a="1"/>
  <c r="CP34" i="52" s="1"/>
  <c r="DQ34" i="52" s="1" a="1"/>
  <c r="DQ34" i="52" s="1"/>
  <c r="CV41" i="52" a="1"/>
  <c r="CV41" i="52" s="1"/>
  <c r="DW41" i="52" s="1" a="1"/>
  <c r="DW41" i="52" s="1"/>
  <c r="CS19" i="52" a="1"/>
  <c r="CS19" i="52" s="1"/>
  <c r="DT19" i="52" s="1" a="1"/>
  <c r="DT19" i="52" s="1"/>
  <c r="BH22" i="52" a="1"/>
  <c r="BH22" i="52" s="1"/>
  <c r="BN43" i="52" a="1"/>
  <c r="BN43" i="52" s="1"/>
  <c r="BO43" i="52" s="1" a="1"/>
  <c r="BO43" i="52" s="1"/>
  <c r="BY43" i="52" s="1" a="1"/>
  <c r="BY43" i="52" s="1"/>
  <c r="BZ43" i="52" s="1" a="1"/>
  <c r="BZ43" i="52" s="1"/>
  <c r="CA43" i="52" s="1" a="1"/>
  <c r="CA43" i="52" s="1"/>
  <c r="BS46" i="52" a="1"/>
  <c r="BS46" i="52" s="1"/>
  <c r="AF59" i="52" a="1"/>
  <c r="AF59" i="52" s="1"/>
  <c r="AG59" i="52" s="1" a="1"/>
  <c r="AG59" i="52" s="1"/>
  <c r="AH59" i="52" s="1" a="1"/>
  <c r="AH59" i="52" s="1"/>
  <c r="AJ59" i="52" a="1"/>
  <c r="AJ59" i="52" s="1"/>
  <c r="AK59" i="52" s="1" a="1"/>
  <c r="AK59" i="52" s="1"/>
  <c r="AD17" i="52" a="1"/>
  <c r="AD17" i="52" s="1"/>
  <c r="AE17" i="52" s="1" a="1"/>
  <c r="AE17" i="52" s="1"/>
  <c r="AO17" i="52" s="1" a="1"/>
  <c r="AO17" i="52" s="1"/>
  <c r="AP17" i="52" s="1" a="1"/>
  <c r="AP17" i="52" s="1"/>
  <c r="AQ17" i="52" s="1" a="1"/>
  <c r="AQ17" i="52" s="1"/>
  <c r="AI12" i="52" a="1"/>
  <c r="AI12" i="52" s="1"/>
  <c r="AV37" i="52" a="1"/>
  <c r="AV37" i="52" s="1"/>
  <c r="AW37" i="52" s="1" a="1"/>
  <c r="AW37" i="52" s="1"/>
  <c r="BG37" i="52" s="1" a="1"/>
  <c r="BG37" i="52" s="1"/>
  <c r="BA25" i="52" a="1"/>
  <c r="BA25" i="52" s="1"/>
  <c r="AJ60" i="52" a="1"/>
  <c r="AJ60" i="52" s="1"/>
  <c r="AF60" i="52" a="1"/>
  <c r="AF60" i="52" s="1"/>
  <c r="BB14" i="52" a="1"/>
  <c r="BB14" i="52" s="1"/>
  <c r="BC14" i="52" s="1" a="1"/>
  <c r="BC14" i="52" s="1"/>
  <c r="AX14" i="52" a="1"/>
  <c r="AX14" i="52" s="1"/>
  <c r="BB13" i="52" a="1"/>
  <c r="BB13" i="52" s="1"/>
  <c r="BC13" i="52" s="1" a="1"/>
  <c r="BC13" i="52" s="1"/>
  <c r="CT41" i="52" a="1"/>
  <c r="CT41" i="52" s="1"/>
  <c r="DU41" i="52" s="1" a="1"/>
  <c r="DU41" i="52" s="1"/>
  <c r="CP41" i="52" a="1"/>
  <c r="CP41" i="52" s="1"/>
  <c r="DQ41" i="52" s="1" a="1"/>
  <c r="DQ41" i="52" s="1"/>
  <c r="CW41" i="52" a="1"/>
  <c r="CW41" i="52" s="1"/>
  <c r="DX41" i="52" s="1" a="1"/>
  <c r="DX41" i="52" s="1"/>
  <c r="AD33" i="52" a="1"/>
  <c r="AD33" i="52" s="1"/>
  <c r="AE33" i="52" s="1" a="1"/>
  <c r="AE33" i="52" s="1"/>
  <c r="AO32" i="52" s="1" a="1"/>
  <c r="AO32" i="52" s="1"/>
  <c r="AI32" i="52" a="1"/>
  <c r="AI32" i="52" s="1"/>
  <c r="BA30" i="52" a="1"/>
  <c r="BA30" i="52" s="1"/>
  <c r="BB34" i="52" s="1" a="1"/>
  <c r="BB34" i="52" s="1"/>
  <c r="BC34" i="52" s="1" a="1"/>
  <c r="BC34" i="52" s="1"/>
  <c r="AV26" i="52" a="1"/>
  <c r="AV26" i="52" s="1"/>
  <c r="AW26" i="52" s="1" a="1"/>
  <c r="AW26" i="52" s="1"/>
  <c r="BG30" i="52" s="1" a="1"/>
  <c r="BG30" i="52" s="1"/>
  <c r="BH30" i="52" s="1" a="1"/>
  <c r="BH30" i="52" s="1"/>
  <c r="BI30" i="52" s="1" a="1"/>
  <c r="BI30" i="52" s="1"/>
  <c r="BS15" i="52" a="1"/>
  <c r="BS15" i="52" s="1"/>
  <c r="BN16" i="52" a="1"/>
  <c r="BN16" i="52" s="1"/>
  <c r="BO16" i="52" s="1" a="1"/>
  <c r="BO16" i="52" s="1"/>
  <c r="BY16" i="52" s="1" a="1"/>
  <c r="BY16" i="52" s="1"/>
  <c r="BZ16" i="52" s="1" a="1"/>
  <c r="BZ16" i="52" s="1"/>
  <c r="CA16" i="52" s="1" a="1"/>
  <c r="CA16" i="52" s="1"/>
  <c r="BE52" i="52" a="1"/>
  <c r="BE52" i="52" s="1"/>
  <c r="BF52" i="52" s="1" a="1"/>
  <c r="BF52" i="52" s="1"/>
  <c r="CS16" i="52" a="1"/>
  <c r="CS16" i="52" s="1"/>
  <c r="DT16" i="52" s="1" a="1"/>
  <c r="DT16" i="52" s="1"/>
  <c r="BP39" i="52" a="1"/>
  <c r="BP39" i="52" s="1"/>
  <c r="BQ39" i="52" s="1" a="1"/>
  <c r="BQ39" i="52" s="1"/>
  <c r="BR39" i="52" s="1" a="1"/>
  <c r="BR39" i="52" s="1"/>
  <c r="BT39" i="52" a="1"/>
  <c r="BT39" i="52" s="1"/>
  <c r="BU39" i="52" s="1" a="1"/>
  <c r="BU39" i="52" s="1"/>
  <c r="AF42" i="52" a="1"/>
  <c r="AF42" i="52" s="1"/>
  <c r="AJ42" i="52" a="1"/>
  <c r="AJ42" i="52" s="1"/>
  <c r="AK42" i="52" s="1" a="1"/>
  <c r="AK42" i="52" s="1"/>
  <c r="AJ50" i="52" a="1"/>
  <c r="AJ50" i="52" s="1"/>
  <c r="AK50" i="52" s="1" a="1"/>
  <c r="AK50" i="52" s="1"/>
  <c r="BW55" i="52" a="1"/>
  <c r="BW55" i="52" s="1"/>
  <c r="BX55" i="52" s="1" a="1"/>
  <c r="BX55" i="52" s="1"/>
  <c r="BW64" i="52" a="1"/>
  <c r="BW64" i="52" s="1"/>
  <c r="BX64" i="52" s="1" a="1"/>
  <c r="BX64" i="52" s="1"/>
  <c r="DB25" i="52" a="1"/>
  <c r="DB25" i="52" s="1"/>
  <c r="EC25" i="52" s="1" a="1"/>
  <c r="EC25" i="52" s="1"/>
  <c r="CV18" i="52" a="1"/>
  <c r="CV18" i="52" s="1"/>
  <c r="DW18" i="52" s="1" a="1"/>
  <c r="DW18" i="52" s="1"/>
  <c r="CQ35" i="52" a="1"/>
  <c r="CQ35" i="52" s="1"/>
  <c r="DR35" i="52" s="1" a="1"/>
  <c r="DR35" i="52" s="1"/>
  <c r="AV49" i="52" a="1"/>
  <c r="AV49" i="52" s="1"/>
  <c r="AW49" i="52" s="1" a="1"/>
  <c r="AW49" i="52" s="1"/>
  <c r="BG49" i="52" s="1" a="1"/>
  <c r="BG49" i="52" s="1"/>
  <c r="BH49" i="52" s="1" a="1"/>
  <c r="BH49" i="52" s="1"/>
  <c r="BI49" i="52" s="1" a="1"/>
  <c r="BI49" i="52" s="1"/>
  <c r="BA53" i="52" a="1"/>
  <c r="BA53" i="52" s="1"/>
  <c r="AJ58" i="52" a="1"/>
  <c r="AJ58" i="52" s="1"/>
  <c r="AF58" i="52" a="1"/>
  <c r="AF58" i="52" s="1"/>
  <c r="AD21" i="52" a="1"/>
  <c r="AD21" i="52" s="1"/>
  <c r="AE21" i="52" s="1" a="1"/>
  <c r="AE21" i="52" s="1"/>
  <c r="AO21" i="52" s="1" a="1"/>
  <c r="AO21" i="52" s="1"/>
  <c r="AI29" i="52" a="1"/>
  <c r="AI29" i="52" s="1"/>
  <c r="AF26" i="52" a="1"/>
  <c r="AF26" i="52" s="1"/>
  <c r="AG26" i="52" s="1" a="1"/>
  <c r="AG26" i="52" s="1"/>
  <c r="AH26" i="52" s="1" a="1"/>
  <c r="AH26" i="52" s="1"/>
  <c r="AJ26" i="52" a="1"/>
  <c r="AJ26" i="52" s="1"/>
  <c r="AK26" i="52" s="1" a="1"/>
  <c r="AK26" i="52" s="1"/>
  <c r="AP48" i="52" a="1"/>
  <c r="AP48" i="52" s="1"/>
  <c r="BN49" i="52" a="1"/>
  <c r="BN49" i="52" s="1"/>
  <c r="BO49" i="52" s="1" a="1"/>
  <c r="BO49" i="52" s="1"/>
  <c r="BY49" i="52" s="1" a="1"/>
  <c r="BY49" i="52" s="1"/>
  <c r="BS64" i="52" a="1"/>
  <c r="BS64" i="52" s="1"/>
  <c r="BP49" i="52" a="1"/>
  <c r="BP49" i="52" s="1"/>
  <c r="BQ49" i="52" s="1" a="1"/>
  <c r="BQ49" i="52" s="1"/>
  <c r="BR49" i="52" s="1" a="1"/>
  <c r="BR49" i="52" s="1"/>
  <c r="BT49" i="52" a="1"/>
  <c r="BT49" i="52" s="1"/>
  <c r="BU49" i="52" s="1" a="1"/>
  <c r="BU49" i="52" s="1"/>
  <c r="CZ32" i="52" a="1"/>
  <c r="CZ32" i="52" s="1"/>
  <c r="EA32" i="52" s="1" a="1"/>
  <c r="EA32" i="52" s="1"/>
  <c r="CS32" i="52" a="1"/>
  <c r="CS32" i="52" s="1"/>
  <c r="DT32" i="52" s="1" a="1"/>
  <c r="DT32" i="52" s="1"/>
  <c r="CR32" i="52" a="1"/>
  <c r="CR32" i="52" s="1"/>
  <c r="DS32" i="52" s="1" a="1"/>
  <c r="DS32" i="52" s="1"/>
  <c r="C74" i="52" a="1"/>
  <c r="C74" i="52" s="1"/>
  <c r="C75" i="52" s="1" a="1"/>
  <c r="C75" i="52" s="1"/>
  <c r="AW16" i="52" a="1"/>
  <c r="AW16" i="52" s="1"/>
  <c r="BG16" i="52" s="1" a="1"/>
  <c r="BG16" i="52" s="1"/>
  <c r="BH16" i="52" s="1" a="1"/>
  <c r="BH16" i="52" s="1"/>
  <c r="BI16" i="52" s="1" a="1"/>
  <c r="BI16" i="52" s="1"/>
  <c r="BB62" i="52" a="1"/>
  <c r="BB62" i="52" s="1"/>
  <c r="BC62" i="52" s="1" a="1"/>
  <c r="BC62" i="52" s="1"/>
  <c r="AX62" i="52" a="1"/>
  <c r="AX62" i="52" s="1"/>
  <c r="AY62" i="52" s="1" a="1"/>
  <c r="AY62" i="52" s="1"/>
  <c r="AZ62" i="52" s="1" a="1"/>
  <c r="AZ62" i="52" s="1"/>
  <c r="BE33" i="52" a="1"/>
  <c r="BE33" i="52" s="1"/>
  <c r="BF33" i="52" s="1" a="1"/>
  <c r="BF33" i="52" s="1"/>
  <c r="BE29" i="52" a="1"/>
  <c r="BE29" i="52" s="1"/>
  <c r="BF29" i="52" s="1" a="1"/>
  <c r="BF29" i="52" s="1"/>
  <c r="AX12" i="52" a="1"/>
  <c r="AX12" i="52" s="1"/>
  <c r="AY12" i="52" s="1" a="1"/>
  <c r="AY12" i="52" s="1"/>
  <c r="AZ12" i="52" s="1" a="1"/>
  <c r="AZ12" i="52" s="1"/>
  <c r="BB12" i="52" a="1"/>
  <c r="BB12" i="52" s="1"/>
  <c r="BC12" i="52" s="1" a="1"/>
  <c r="BC12" i="52" s="1"/>
  <c r="AV48" i="52" a="1"/>
  <c r="AV48" i="52" s="1"/>
  <c r="AW48" i="52" s="1" a="1"/>
  <c r="AW48" i="52" s="1"/>
  <c r="BG48" i="52" s="1" a="1"/>
  <c r="BG48" i="52" s="1"/>
  <c r="BA52" i="52" a="1"/>
  <c r="BA52" i="52" s="1"/>
  <c r="CA39" i="52" a="1"/>
  <c r="CA39" i="52" s="1"/>
  <c r="CS30" i="52" a="1"/>
  <c r="CS30" i="52" s="1"/>
  <c r="DT30" i="52" s="1" a="1"/>
  <c r="DT30" i="52" s="1"/>
  <c r="BW49" i="52" a="1"/>
  <c r="BW49" i="52" s="1"/>
  <c r="BX49" i="52" s="1" a="1"/>
  <c r="BX49" i="52" s="1"/>
  <c r="BW42" i="52" a="1"/>
  <c r="BW42" i="52" s="1"/>
  <c r="BX42" i="52" s="1" a="1"/>
  <c r="BX42" i="52" s="1"/>
  <c r="BP25" i="52" a="1"/>
  <c r="BP25" i="52" s="1"/>
  <c r="BQ25" i="52" s="1" a="1"/>
  <c r="BQ25" i="52" s="1"/>
  <c r="BR25" i="52" s="1" a="1"/>
  <c r="BR25" i="52" s="1"/>
  <c r="BT25" i="52" a="1"/>
  <c r="BT25" i="52" s="1"/>
  <c r="BU25" i="52" s="1" a="1"/>
  <c r="BU25" i="52" s="1"/>
  <c r="AV50" i="52" a="1"/>
  <c r="AV50" i="52" s="1"/>
  <c r="AW50" i="52" s="1" a="1"/>
  <c r="AW50" i="52" s="1"/>
  <c r="BG54" i="52" s="1" a="1"/>
  <c r="BG54" i="52" s="1"/>
  <c r="BA54" i="52" a="1"/>
  <c r="BA54" i="52" s="1"/>
  <c r="BB58" i="52" s="1" a="1"/>
  <c r="BB58" i="52" s="1"/>
  <c r="AE18" i="52" a="1"/>
  <c r="AE18" i="52" s="1"/>
  <c r="AO18" i="52" s="1" a="1"/>
  <c r="AO18" i="52" s="1"/>
  <c r="AP18" i="52" s="1" a="1"/>
  <c r="AP18" i="52" s="1"/>
  <c r="AF49" i="52" a="1"/>
  <c r="AF49" i="52" s="1"/>
  <c r="AG49" i="52" s="1" a="1"/>
  <c r="AG49" i="52" s="1"/>
  <c r="AH49" i="52" s="1" a="1"/>
  <c r="AH49" i="52" s="1"/>
  <c r="AJ49" i="52" a="1"/>
  <c r="AJ49" i="52" s="1"/>
  <c r="AK49" i="52" s="1" a="1"/>
  <c r="AK49" i="52" s="1"/>
  <c r="BP21" i="52" a="1"/>
  <c r="BP21" i="52" s="1"/>
  <c r="BQ21" i="52" s="1" a="1"/>
  <c r="BQ21" i="52" s="1"/>
  <c r="BR21" i="52" s="1" a="1"/>
  <c r="BR21" i="52" s="1"/>
  <c r="BT24" i="52" a="1"/>
  <c r="BT24" i="52" s="1"/>
  <c r="DB54" i="52" a="1"/>
  <c r="DB54" i="52" s="1"/>
  <c r="EC54" i="52" s="1" a="1"/>
  <c r="EC54" i="52" s="1"/>
  <c r="CV63" i="52" a="1"/>
  <c r="CV63" i="52" s="1"/>
  <c r="DW63" i="52" s="1" a="1"/>
  <c r="DW63" i="52" s="1"/>
  <c r="CQ52" i="52" a="1"/>
  <c r="CQ52" i="52" s="1"/>
  <c r="DR52" i="52" s="1" a="1"/>
  <c r="DR52" i="52" s="1"/>
  <c r="CP60" i="52" a="1"/>
  <c r="CP60" i="52" s="1"/>
  <c r="DQ60" i="52" s="1" a="1"/>
  <c r="DQ60" i="52" s="1"/>
  <c r="CT52" i="52" a="1"/>
  <c r="CT52" i="52" s="1"/>
  <c r="DU52" i="52" s="1" a="1"/>
  <c r="DU52" i="52" s="1"/>
  <c r="CW52" i="52" a="1"/>
  <c r="CW52" i="52" s="1"/>
  <c r="DX52" i="52" s="1" a="1"/>
  <c r="DX52" i="52" s="1"/>
  <c r="CP52" i="52" a="1"/>
  <c r="CP52" i="52" s="1"/>
  <c r="DQ52" i="52" s="1" a="1"/>
  <c r="DQ52" i="52" s="1"/>
  <c r="AV33" i="52" a="1"/>
  <c r="AV33" i="52" s="1"/>
  <c r="AW33" i="52" s="1" a="1"/>
  <c r="AW33" i="52" s="1"/>
  <c r="BG33" i="52" s="1" a="1"/>
  <c r="BG33" i="52" s="1"/>
  <c r="BA37" i="52" a="1"/>
  <c r="BA37" i="52" s="1"/>
  <c r="AV35" i="52" a="1"/>
  <c r="AV35" i="52" s="1"/>
  <c r="AW35" i="52" s="1" a="1"/>
  <c r="AW35" i="52" s="1"/>
  <c r="BG23" i="52" s="1" a="1"/>
  <c r="BG23" i="52" s="1"/>
  <c r="BA23" i="52" a="1"/>
  <c r="BA23" i="52" s="1"/>
  <c r="BN42" i="52" a="1"/>
  <c r="BN42" i="52" s="1"/>
  <c r="BO42" i="52" s="1" a="1"/>
  <c r="BO42" i="52" s="1"/>
  <c r="BY42" i="52" s="1" a="1"/>
  <c r="BY42" i="52" s="1"/>
  <c r="BP60" i="52" a="1"/>
  <c r="BP60" i="52" s="1"/>
  <c r="BQ60" i="52" s="1" a="1"/>
  <c r="BQ60" i="52" s="1"/>
  <c r="BR60" i="52" s="1" a="1"/>
  <c r="BR60" i="52" s="1"/>
  <c r="BT60" i="52" a="1"/>
  <c r="BT60" i="52" s="1"/>
  <c r="BU60" i="52" s="1" a="1"/>
  <c r="BU60" i="52" s="1"/>
  <c r="AV52" i="52" a="1"/>
  <c r="AV52" i="52" s="1"/>
  <c r="AW52" i="52" s="1" a="1"/>
  <c r="AW52" i="52" s="1"/>
  <c r="BG52" i="52" s="1" a="1"/>
  <c r="BG52" i="52" s="1"/>
  <c r="BA56" i="52" a="1"/>
  <c r="BA56" i="52" s="1"/>
  <c r="AF30" i="52" a="1"/>
  <c r="AF30" i="52" s="1"/>
  <c r="AG30" i="52" s="1" a="1"/>
  <c r="AG30" i="52" s="1"/>
  <c r="AH30" i="52" s="1" a="1"/>
  <c r="AH30" i="52" s="1"/>
  <c r="AJ33" i="52" a="1"/>
  <c r="AJ33" i="52" s="1"/>
  <c r="AV65" i="52" a="1"/>
  <c r="AV65" i="52" s="1"/>
  <c r="AW65" i="52" s="1" a="1"/>
  <c r="AW65" i="52" s="1"/>
  <c r="BG65" i="52" s="1" a="1"/>
  <c r="BG65" i="52" s="1"/>
  <c r="BT48" i="52" a="1"/>
  <c r="BT48" i="52" s="1"/>
  <c r="BP48" i="52" a="1"/>
  <c r="BP48" i="52" s="1"/>
  <c r="BQ48" i="52" s="1" a="1"/>
  <c r="BQ48" i="52" s="1"/>
  <c r="AF37" i="52" a="1"/>
  <c r="AF37" i="52" s="1"/>
  <c r="AG37" i="52" s="1" a="1"/>
  <c r="AG37" i="52" s="1"/>
  <c r="AH37" i="52" s="1" a="1"/>
  <c r="AH37" i="52" s="1"/>
  <c r="CW38" i="52" a="1"/>
  <c r="CW38" i="52" s="1"/>
  <c r="DX38" i="52" s="1" a="1"/>
  <c r="DX38" i="52" s="1"/>
  <c r="CT38" i="52" a="1"/>
  <c r="CT38" i="52" s="1"/>
  <c r="DU38" i="52" s="1" a="1"/>
  <c r="DU38" i="52" s="1"/>
  <c r="CP38" i="52" a="1"/>
  <c r="CP38" i="52" s="1"/>
  <c r="DQ38" i="52" s="1" a="1"/>
  <c r="DQ38" i="52" s="1"/>
  <c r="CT51" i="52" a="1"/>
  <c r="CT51" i="52" s="1"/>
  <c r="DU51" i="52" s="1" a="1"/>
  <c r="DU51" i="52" s="1"/>
  <c r="CP51" i="52" a="1"/>
  <c r="CP51" i="52" s="1"/>
  <c r="DQ51" i="52" s="1" a="1"/>
  <c r="DQ51" i="52" s="1"/>
  <c r="CW51" i="52" a="1"/>
  <c r="CW51" i="52" s="1"/>
  <c r="DX51" i="52" s="1" a="1"/>
  <c r="DX51" i="52" s="1"/>
  <c r="AM22" i="52" a="1"/>
  <c r="AM22" i="52" s="1"/>
  <c r="AN22" i="52" s="1" a="1"/>
  <c r="AN22" i="52" s="1"/>
  <c r="AM25" i="52" a="1"/>
  <c r="AM25" i="52" s="1"/>
  <c r="AN25" i="52" s="1" a="1"/>
  <c r="AN25" i="52" s="1"/>
  <c r="BB51" i="52" a="1"/>
  <c r="BB51" i="52" s="1"/>
  <c r="AX51" i="52" a="1"/>
  <c r="AX51" i="52" s="1"/>
  <c r="CW56" i="52" a="1"/>
  <c r="CW56" i="52" s="1"/>
  <c r="DX56" i="52" s="1" a="1"/>
  <c r="DX56" i="52" s="1"/>
  <c r="CT56" i="52" a="1"/>
  <c r="CT56" i="52" s="1"/>
  <c r="DU56" i="52" s="1" a="1"/>
  <c r="DU56" i="52" s="1"/>
  <c r="CP56" i="52" a="1"/>
  <c r="CP56" i="52" s="1"/>
  <c r="DQ56" i="52" s="1" a="1"/>
  <c r="DQ56" i="52" s="1"/>
  <c r="CR43" i="52" a="1"/>
  <c r="CR43" i="52" s="1"/>
  <c r="DS43" i="52" s="1" a="1"/>
  <c r="DS43" i="52" s="1"/>
  <c r="CZ43" i="52" a="1"/>
  <c r="CZ43" i="52" s="1"/>
  <c r="EA43" i="52" s="1" a="1"/>
  <c r="EA43" i="52" s="1"/>
  <c r="CS43" i="52" a="1"/>
  <c r="CS43" i="52" s="1"/>
  <c r="DT43" i="52" s="1" a="1"/>
  <c r="DT43" i="52" s="1"/>
  <c r="AW36" i="52" a="1"/>
  <c r="AW36" i="52" s="1"/>
  <c r="BG36" i="52" s="1" a="1"/>
  <c r="BG36" i="52" s="1"/>
  <c r="BH36" i="52" s="1" a="1"/>
  <c r="BH36" i="52" s="1"/>
  <c r="BN18" i="52" a="1"/>
  <c r="BN18" i="52" s="1"/>
  <c r="BO18" i="52" s="1" a="1"/>
  <c r="BO18" i="52" s="1"/>
  <c r="BY18" i="52" s="1" a="1"/>
  <c r="BY18" i="52" s="1"/>
  <c r="BZ28" i="52" a="1"/>
  <c r="BZ28" i="52" s="1"/>
  <c r="CA28" i="52" s="1" a="1"/>
  <c r="CA28" i="52" s="1"/>
  <c r="BZ27" i="52" a="1"/>
  <c r="BZ27" i="52" s="1"/>
  <c r="CA27" i="52" s="1" a="1"/>
  <c r="CA27" i="52" s="1"/>
  <c r="BT26" i="52" a="1"/>
  <c r="BT26" i="52" s="1"/>
  <c r="BU26" i="52" s="1" a="1"/>
  <c r="BU26" i="52" s="1"/>
  <c r="BP26" i="52" a="1"/>
  <c r="BP26" i="52" s="1"/>
  <c r="BQ26" i="52" s="1" a="1"/>
  <c r="BQ26" i="52" s="1"/>
  <c r="BR26" i="52" s="1" a="1"/>
  <c r="BR26" i="52" s="1"/>
  <c r="CP33" i="52" a="1"/>
  <c r="CP33" i="52" s="1"/>
  <c r="DQ33" i="52" s="1" a="1"/>
  <c r="DQ33" i="52" s="1"/>
  <c r="CV34" i="52" a="1"/>
  <c r="CV34" i="52" s="1"/>
  <c r="DW34" i="52" s="1" a="1"/>
  <c r="DW34" i="52" s="1"/>
  <c r="CQ25" i="52" a="1"/>
  <c r="CQ25" i="52" s="1"/>
  <c r="DR25" i="52" s="1" a="1"/>
  <c r="DR25" i="52" s="1"/>
  <c r="AD41" i="52" a="1"/>
  <c r="AD41" i="52" s="1"/>
  <c r="AE41" i="52" s="1" a="1"/>
  <c r="AE41" i="52" s="1"/>
  <c r="AO41" i="52" s="1" a="1"/>
  <c r="AO41" i="52" s="1"/>
  <c r="AI35" i="52" a="1"/>
  <c r="AI35" i="52" s="1"/>
  <c r="AD29" i="52" a="1"/>
  <c r="AD29" i="52" s="1"/>
  <c r="AE29" i="52" s="1" a="1"/>
  <c r="AE29" i="52" s="1"/>
  <c r="AO29" i="52" s="1" a="1"/>
  <c r="AO29" i="52" s="1"/>
  <c r="AM44" i="52" a="1"/>
  <c r="AM44" i="52" s="1"/>
  <c r="AN44" i="52" s="1" a="1"/>
  <c r="AN44" i="52" s="1"/>
  <c r="AM58" i="52" a="1"/>
  <c r="AM58" i="52" s="1"/>
  <c r="AN58" i="52" s="1" a="1"/>
  <c r="AN58" i="52" s="1"/>
  <c r="DB56" i="52" a="1"/>
  <c r="DB56" i="52" s="1"/>
  <c r="EC56" i="52" s="1" a="1"/>
  <c r="EC56" i="52" s="1"/>
  <c r="CV65" i="52" a="1"/>
  <c r="CV65" i="52" s="1"/>
  <c r="DW65" i="52" s="1" a="1"/>
  <c r="DW65" i="52" s="1"/>
  <c r="CQ50" i="52" a="1"/>
  <c r="CQ50" i="52" s="1"/>
  <c r="DR50" i="52" s="1" a="1"/>
  <c r="DR50" i="52" s="1"/>
  <c r="CP58" i="52" a="1"/>
  <c r="CP58" i="52" s="1"/>
  <c r="DQ58" i="52" s="1" a="1"/>
  <c r="DQ58" i="52" s="1"/>
  <c r="CZ52" i="52" a="1"/>
  <c r="CZ52" i="52" s="1"/>
  <c r="EA52" i="52" s="1" a="1"/>
  <c r="EA52" i="52" s="1"/>
  <c r="CS52" i="52" a="1"/>
  <c r="CS52" i="52" s="1"/>
  <c r="DT52" i="52" s="1" a="1"/>
  <c r="DT52" i="52" s="1"/>
  <c r="CR52" i="52" a="1"/>
  <c r="CR52" i="52" s="1"/>
  <c r="DS52" i="52" s="1" a="1"/>
  <c r="DS52" i="52" s="1"/>
  <c r="CZ22" i="52" a="1"/>
  <c r="CZ22" i="52" s="1"/>
  <c r="EA22" i="52" s="1" a="1"/>
  <c r="EA22" i="52" s="1"/>
  <c r="CS22" i="52" a="1"/>
  <c r="CS22" i="52" s="1"/>
  <c r="DT22" i="52" s="1" a="1"/>
  <c r="DT22" i="52" s="1"/>
  <c r="CR22" i="52" a="1"/>
  <c r="CR22" i="52" s="1"/>
  <c r="DS22" i="52" s="1" a="1"/>
  <c r="DS22" i="52" s="1"/>
  <c r="BN22" i="52" a="1"/>
  <c r="BN22" i="52" s="1"/>
  <c r="BO22" i="52" s="1" a="1"/>
  <c r="BO22" i="52" s="1"/>
  <c r="BY22" i="52" s="1" a="1"/>
  <c r="BY22" i="52" s="1"/>
  <c r="BS41" i="52" a="1"/>
  <c r="BS41" i="52" s="1"/>
  <c r="AJ34" i="52" a="1"/>
  <c r="AJ34" i="52" s="1"/>
  <c r="AF34" i="52" a="1"/>
  <c r="AF34" i="52" s="1"/>
  <c r="AG34" i="52" s="1" a="1"/>
  <c r="AG34" i="52" s="1"/>
  <c r="AH34" i="52" s="1" a="1"/>
  <c r="AH34" i="52" s="1"/>
  <c r="BZ30" i="52" a="1"/>
  <c r="BZ30" i="52" s="1"/>
  <c r="CA30" i="52" s="1" a="1"/>
  <c r="CA30" i="52" s="1"/>
  <c r="BF25" i="52" a="1"/>
  <c r="BF25" i="52" s="1"/>
  <c r="CS45" i="52" a="1"/>
  <c r="CS45" i="52" s="1"/>
  <c r="DT45" i="52" s="1" a="1"/>
  <c r="DT45" i="52" s="1"/>
  <c r="BE38" i="52" a="1"/>
  <c r="BE38" i="52" s="1"/>
  <c r="BF38" i="52" s="1" a="1"/>
  <c r="BF38" i="52" s="1"/>
  <c r="BE41" i="52" a="1"/>
  <c r="BE41" i="52" s="1"/>
  <c r="BF41" i="52" s="1" a="1"/>
  <c r="BF41" i="52" s="1"/>
  <c r="AD38" i="52" a="1"/>
  <c r="AD38" i="52" s="1"/>
  <c r="AE38" i="52" s="1" a="1"/>
  <c r="AE38" i="52" s="1"/>
  <c r="AO38" i="52" s="1" a="1"/>
  <c r="AO38" i="52" s="1"/>
  <c r="AI36" i="52" a="1"/>
  <c r="AI36" i="52" s="1"/>
  <c r="CZ41" i="52" a="1"/>
  <c r="CZ41" i="52" s="1"/>
  <c r="EA41" i="52" s="1" a="1"/>
  <c r="EA41" i="52" s="1"/>
  <c r="CR41" i="52" a="1"/>
  <c r="CR41" i="52" s="1"/>
  <c r="DS41" i="52" s="1" a="1"/>
  <c r="DS41" i="52" s="1"/>
  <c r="CS41" i="52" a="1"/>
  <c r="CS41" i="52" s="1"/>
  <c r="DT41" i="52" s="1" a="1"/>
  <c r="DT41" i="52" s="1"/>
  <c r="CV29" i="52" a="1"/>
  <c r="CV29" i="52" s="1"/>
  <c r="DW29" i="52" s="1" a="1"/>
  <c r="DW29" i="52" s="1"/>
  <c r="CQ30" i="52" a="1"/>
  <c r="CQ30" i="52" s="1"/>
  <c r="DR30" i="52" s="1" a="1"/>
  <c r="DR30" i="52" s="1"/>
  <c r="CP22" i="52" a="1"/>
  <c r="CP22" i="52" s="1"/>
  <c r="DQ22" i="52" s="1" a="1"/>
  <c r="DQ22" i="52" s="1"/>
  <c r="AP30" i="52" a="1"/>
  <c r="AP30" i="52" s="1"/>
  <c r="CQ40" i="52" a="1"/>
  <c r="CQ40" i="52" s="1"/>
  <c r="DR40" i="52" s="1" a="1"/>
  <c r="DR40" i="52" s="1"/>
  <c r="CV30" i="52" a="1"/>
  <c r="CV30" i="52" s="1"/>
  <c r="DW30" i="52" s="1" a="1"/>
  <c r="DW30" i="52" s="1"/>
  <c r="DB21" i="52" a="1"/>
  <c r="DB21" i="52" s="1"/>
  <c r="EC21" i="52" s="1" a="1"/>
  <c r="EC21" i="52" s="1"/>
  <c r="CW27" i="52" a="1"/>
  <c r="CW27" i="52" s="1"/>
  <c r="DX27" i="52" s="1" a="1"/>
  <c r="DX27" i="52" s="1"/>
  <c r="CP27" i="52" a="1"/>
  <c r="CP27" i="52" s="1"/>
  <c r="DQ27" i="52" s="1" a="1"/>
  <c r="DQ27" i="52" s="1"/>
  <c r="CT27" i="52" a="1"/>
  <c r="CT27" i="52" s="1"/>
  <c r="DU27" i="52" s="1" a="1"/>
  <c r="DU27" i="52" s="1"/>
  <c r="BB15" i="52" a="1"/>
  <c r="BB15" i="52" s="1"/>
  <c r="BC15" i="52" s="1" a="1"/>
  <c r="BC15" i="52" s="1"/>
  <c r="AX15" i="52" a="1"/>
  <c r="AX15" i="52" s="1"/>
  <c r="AY15" i="52" s="1" a="1"/>
  <c r="AY15" i="52" s="1"/>
  <c r="AZ15" i="52" s="1" a="1"/>
  <c r="AZ15" i="52" s="1"/>
  <c r="AF45" i="52" a="1"/>
  <c r="AF45" i="52" s="1"/>
  <c r="AG45" i="52" s="1" a="1"/>
  <c r="AG45" i="52" s="1"/>
  <c r="AH45" i="52" s="1" a="1"/>
  <c r="AH45" i="52" s="1"/>
  <c r="AJ45" i="52" a="1"/>
  <c r="AJ45" i="52" s="1"/>
  <c r="AK45" i="52" s="1" a="1"/>
  <c r="AK45" i="52" s="1"/>
  <c r="AD53" i="52" a="1"/>
  <c r="AD53" i="52" s="1"/>
  <c r="AE53" i="52" s="1" a="1"/>
  <c r="AE53" i="52" s="1"/>
  <c r="AO53" i="52" s="1" a="1"/>
  <c r="AO53" i="52" s="1"/>
  <c r="AI65" i="52" a="1"/>
  <c r="AI65" i="52" s="1"/>
  <c r="AD45" i="52" a="1"/>
  <c r="AD45" i="52" s="1"/>
  <c r="AE45" i="52" s="1" a="1"/>
  <c r="AE45" i="52" s="1"/>
  <c r="AO45" i="52" s="1" a="1"/>
  <c r="AO45" i="52" s="1"/>
  <c r="AP45" i="52" s="1" a="1"/>
  <c r="AP45" i="52" s="1"/>
  <c r="BP58" i="52" a="1"/>
  <c r="BP58" i="52" s="1"/>
  <c r="BQ58" i="52" s="1" a="1"/>
  <c r="BQ58" i="52" s="1"/>
  <c r="BR58" i="52" s="1" a="1"/>
  <c r="BR58" i="52" s="1"/>
  <c r="BT58" i="52" a="1"/>
  <c r="BT58" i="52" s="1"/>
  <c r="BU58" i="52" s="1" a="1"/>
  <c r="BU58" i="52" s="1"/>
  <c r="AX47" i="52" a="1"/>
  <c r="AX47" i="52" s="1"/>
  <c r="BX25" i="52" a="1"/>
  <c r="BX25" i="52" s="1"/>
  <c r="CZ27" i="52" a="1"/>
  <c r="CZ27" i="52" s="1"/>
  <c r="EA27" i="52" s="1" a="1"/>
  <c r="EA27" i="52" s="1"/>
  <c r="CR27" i="52" a="1"/>
  <c r="CR27" i="52" s="1"/>
  <c r="DS27" i="52" s="1" a="1"/>
  <c r="DS27" i="52" s="1"/>
  <c r="CS27" i="52" a="1"/>
  <c r="CS27" i="52" s="1"/>
  <c r="DT27" i="52" s="1" a="1"/>
  <c r="DT27" i="52" s="1"/>
  <c r="AV24" i="52" a="1"/>
  <c r="AV24" i="52" s="1"/>
  <c r="AW24" i="52" s="1" a="1"/>
  <c r="AW24" i="52" s="1"/>
  <c r="BG24" i="52" s="1" a="1"/>
  <c r="BG24" i="52" s="1"/>
  <c r="CP57" i="52" a="1"/>
  <c r="CP57" i="52" s="1"/>
  <c r="DQ57" i="52" s="1" a="1"/>
  <c r="DQ57" i="52" s="1"/>
  <c r="CT57" i="52" a="1"/>
  <c r="CT57" i="52" s="1"/>
  <c r="DU57" i="52" s="1" a="1"/>
  <c r="DU57" i="52" s="1"/>
  <c r="CW57" i="52" a="1"/>
  <c r="CW57" i="52" s="1"/>
  <c r="DX57" i="52" s="1" a="1"/>
  <c r="DX57" i="52" s="1"/>
  <c r="AX36" i="52" a="1"/>
  <c r="AX36" i="52" s="1"/>
  <c r="AY36" i="52" s="1" a="1"/>
  <c r="AY36" i="52" s="1"/>
  <c r="AZ36" i="52" s="1" a="1"/>
  <c r="AZ36" i="52" s="1"/>
  <c r="BB36" i="52" a="1"/>
  <c r="BB36" i="52" s="1"/>
  <c r="BC36" i="52" s="1" a="1"/>
  <c r="BC36" i="52" s="1"/>
  <c r="AD56" i="52" a="1"/>
  <c r="AD56" i="52" s="1"/>
  <c r="AE56" i="52" s="1" a="1"/>
  <c r="AE56" i="52" s="1"/>
  <c r="AO55" i="52" s="1" a="1"/>
  <c r="AO55" i="52" s="1"/>
  <c r="AQ57" i="52" s="1" a="1"/>
  <c r="AQ57" i="52" s="1"/>
  <c r="AI55" i="52" a="1"/>
  <c r="AI55" i="52" s="1"/>
  <c r="CZ36" i="52" a="1"/>
  <c r="CZ36" i="52" s="1"/>
  <c r="EA36" i="52" s="1" a="1"/>
  <c r="EA36" i="52" s="1"/>
  <c r="CS36" i="52" a="1"/>
  <c r="CS36" i="52" s="1"/>
  <c r="DT36" i="52" s="1" a="1"/>
  <c r="DT36" i="52" s="1"/>
  <c r="CR36" i="52" a="1"/>
  <c r="CR36" i="52" s="1"/>
  <c r="DS36" i="52" s="1" a="1"/>
  <c r="DS36" i="52" s="1"/>
  <c r="AF14" i="52" a="1"/>
  <c r="AF14" i="52" s="1"/>
  <c r="AJ13" i="52" a="1"/>
  <c r="AJ13" i="52" s="1"/>
  <c r="AK13" i="52" s="1" a="1"/>
  <c r="AK13" i="52" s="1"/>
  <c r="AF13" i="52" a="1"/>
  <c r="AF13" i="52" s="1"/>
  <c r="AG13" i="52" s="1" a="1"/>
  <c r="AG13" i="52" s="1"/>
  <c r="AH13" i="52" s="1" a="1"/>
  <c r="AH13" i="52" s="1"/>
  <c r="DB28" i="52" a="1"/>
  <c r="DB28" i="52" s="1"/>
  <c r="EC28" i="52" s="1" a="1"/>
  <c r="EC28" i="52" s="1"/>
  <c r="AD35" i="52" a="1"/>
  <c r="AD35" i="52" s="1"/>
  <c r="AE35" i="52" s="1" a="1"/>
  <c r="AE35" i="52" s="1"/>
  <c r="AO35" i="52" s="1" a="1"/>
  <c r="AO35" i="52" s="1"/>
  <c r="AI21" i="52" a="1"/>
  <c r="AI21" i="52" s="1"/>
  <c r="BN55" i="52" a="1"/>
  <c r="BN55" i="52" s="1"/>
  <c r="BO55" i="52" s="1" a="1"/>
  <c r="BO55" i="52" s="1"/>
  <c r="BY55" i="52" s="1" a="1"/>
  <c r="BY55" i="52" s="1"/>
  <c r="BZ55" i="52" s="1" a="1"/>
  <c r="BZ55" i="52" s="1"/>
  <c r="CA55" i="52" s="1" a="1"/>
  <c r="CA55" i="52" s="1"/>
  <c r="BS42" i="52" a="1"/>
  <c r="BS42" i="52" s="1"/>
  <c r="AF18" i="52" a="1"/>
  <c r="AF18" i="52" s="1"/>
  <c r="AG18" i="52" s="1" a="1"/>
  <c r="AG18" i="52" s="1"/>
  <c r="AH18" i="52" s="1" a="1"/>
  <c r="AH18" i="52" s="1"/>
  <c r="AJ18" i="52" a="1"/>
  <c r="AJ18" i="52" s="1"/>
  <c r="AK18" i="52" s="1" a="1"/>
  <c r="AK18" i="52" s="1"/>
  <c r="DB14" i="52" a="1"/>
  <c r="DB14" i="52" s="1"/>
  <c r="EC14" i="52" s="1" a="1"/>
  <c r="EC14" i="52" s="1"/>
  <c r="CV14" i="52" a="1"/>
  <c r="CV14" i="52" s="1"/>
  <c r="DW14" i="52" s="1" a="1"/>
  <c r="DW14" i="52" s="1"/>
  <c r="CS14" i="52" a="1"/>
  <c r="CS14" i="52" s="1"/>
  <c r="DT14" i="52" s="1" a="1"/>
  <c r="DT14" i="52" s="1"/>
  <c r="CQ13" i="52" a="1"/>
  <c r="CQ13" i="52" s="1"/>
  <c r="DR13" i="52" s="1" a="1"/>
  <c r="DR13" i="52" s="1"/>
  <c r="CP16" i="52" a="1"/>
  <c r="CP16" i="52" s="1"/>
  <c r="DQ16" i="52" s="1" a="1"/>
  <c r="DQ16" i="52" s="1"/>
  <c r="AF24" i="52" a="1"/>
  <c r="AF24" i="52" s="1"/>
  <c r="AG24" i="52" s="1" a="1"/>
  <c r="AG24" i="52" s="1"/>
  <c r="AH24" i="52" s="1" a="1"/>
  <c r="AH24" i="52" s="1"/>
  <c r="AJ24" i="52" a="1"/>
  <c r="AJ24" i="52" s="1"/>
  <c r="AK24" i="52" s="1" a="1"/>
  <c r="AK24" i="52" s="1"/>
  <c r="BP18" i="52" a="1"/>
  <c r="BP18" i="52" s="1"/>
  <c r="BQ18" i="52" s="1" a="1"/>
  <c r="BQ18" i="52" s="1"/>
  <c r="BR18" i="52" s="1" a="1"/>
  <c r="BR18" i="52" s="1"/>
  <c r="BT18" i="52" a="1"/>
  <c r="BT18" i="52" s="1"/>
  <c r="BU18" i="52" s="1" a="1"/>
  <c r="BU18" i="52" s="1"/>
  <c r="CV64" i="52" a="1"/>
  <c r="CV64" i="52" s="1"/>
  <c r="DW64" i="52" s="1" a="1"/>
  <c r="DW64" i="52" s="1"/>
  <c r="DB55" i="52" a="1"/>
  <c r="DB55" i="52" s="1"/>
  <c r="EC55" i="52" s="1" a="1"/>
  <c r="EC55" i="52" s="1"/>
  <c r="CS42" i="52" a="1"/>
  <c r="CS42" i="52" s="1"/>
  <c r="DT42" i="52" s="1" a="1"/>
  <c r="DT42" i="52" s="1"/>
  <c r="CQ53" i="52" a="1"/>
  <c r="CQ53" i="52" s="1"/>
  <c r="DR53" i="52" s="1" a="1"/>
  <c r="DR53" i="52" s="1"/>
  <c r="BN51" i="52" a="1"/>
  <c r="BN51" i="52" s="1"/>
  <c r="BO51" i="52" s="1" a="1"/>
  <c r="BO51" i="52" s="1"/>
  <c r="BY50" i="52" s="1" a="1"/>
  <c r="BY50" i="52" s="1"/>
  <c r="BS50" i="52" a="1"/>
  <c r="BS50" i="52" s="1"/>
  <c r="BN52" i="52" a="1"/>
  <c r="BN52" i="52" s="1"/>
  <c r="BO52" i="52" s="1" a="1"/>
  <c r="BO52" i="52" s="1"/>
  <c r="BY51" i="52" s="1" a="1"/>
  <c r="BY51" i="52" s="1"/>
  <c r="BZ51" i="52" s="1" a="1"/>
  <c r="BZ51" i="52" s="1"/>
  <c r="BS51" i="52" a="1"/>
  <c r="BS51" i="52" s="1"/>
  <c r="BN57" i="52" a="1"/>
  <c r="BN57" i="52" s="1"/>
  <c r="BO57" i="52" s="1" a="1"/>
  <c r="BO57" i="52" s="1"/>
  <c r="BY44" i="52" s="1" a="1"/>
  <c r="BY44" i="52" s="1"/>
  <c r="BZ44" i="52" s="1" a="1"/>
  <c r="BZ44" i="52" s="1"/>
  <c r="CA44" i="52" s="1" a="1"/>
  <c r="CA44" i="52" s="1"/>
  <c r="BS44" i="52" a="1"/>
  <c r="BS44" i="52" s="1"/>
  <c r="BW35" i="52" a="1"/>
  <c r="BW35" i="52" s="1"/>
  <c r="BX35" i="52" s="1" a="1"/>
  <c r="BX35" i="52" s="1"/>
  <c r="BW34" i="52" a="1"/>
  <c r="BW34" i="52" s="1"/>
  <c r="BX34" i="52" s="1" a="1"/>
  <c r="BX34" i="52" s="1"/>
  <c r="CS61" i="52" a="1"/>
  <c r="CS61" i="52" s="1"/>
  <c r="DT61" i="52" s="1" a="1"/>
  <c r="DT61" i="52" s="1"/>
  <c r="CV59" i="52" a="1"/>
  <c r="CV59" i="52" s="1"/>
  <c r="DW59" i="52" s="1" a="1"/>
  <c r="DW59" i="52" s="1"/>
  <c r="CQ46" i="52" a="1"/>
  <c r="CQ46" i="52" s="1"/>
  <c r="DR46" i="52" s="1" a="1"/>
  <c r="DR46" i="52" s="1"/>
  <c r="CP54" i="52" a="1"/>
  <c r="CP54" i="52" s="1"/>
  <c r="DQ54" i="52" s="1" a="1"/>
  <c r="DQ54" i="52" s="1"/>
  <c r="AX28" i="52" a="1"/>
  <c r="AX28" i="52" s="1"/>
  <c r="AY28" i="52" s="1" a="1"/>
  <c r="AY28" i="52" s="1"/>
  <c r="AZ28" i="52" s="1" a="1"/>
  <c r="AZ28" i="52" s="1"/>
  <c r="BB28" i="52" a="1"/>
  <c r="BB28" i="52" s="1"/>
  <c r="BC28" i="52" s="1" a="1"/>
  <c r="BC28" i="52" s="1"/>
  <c r="AF62" i="52" a="1"/>
  <c r="AF62" i="52" s="1"/>
  <c r="BH32" i="52" a="1"/>
  <c r="BH32" i="52" s="1"/>
  <c r="CW18" i="52" a="1"/>
  <c r="CW18" i="52" s="1"/>
  <c r="DX18" i="52" s="1" a="1"/>
  <c r="DX18" i="52" s="1"/>
  <c r="CP18" i="52" a="1"/>
  <c r="CP18" i="52" s="1"/>
  <c r="DQ18" i="52" s="1" a="1"/>
  <c r="DQ18" i="52" s="1"/>
  <c r="CT18" i="52" a="1"/>
  <c r="CT18" i="52" s="1"/>
  <c r="DU18" i="52" s="1" a="1"/>
  <c r="DU18" i="52" s="1"/>
  <c r="AF57" i="52" a="1"/>
  <c r="AF57" i="52" s="1"/>
  <c r="AG57" i="52" s="1" a="1"/>
  <c r="AG57" i="52" s="1"/>
  <c r="AH57" i="52" s="1" a="1"/>
  <c r="AH57" i="52" s="1"/>
  <c r="AJ57" i="52" a="1"/>
  <c r="AJ57" i="52" s="1"/>
  <c r="BN23" i="52" a="1"/>
  <c r="BN23" i="52" s="1"/>
  <c r="BO23" i="52" s="1" a="1"/>
  <c r="BO23" i="52" s="1"/>
  <c r="BY38" i="52" s="1" a="1"/>
  <c r="BY38" i="52" s="1"/>
  <c r="BS38" i="52" a="1"/>
  <c r="BS38" i="52" s="1"/>
  <c r="BT33" i="52" s="1" a="1"/>
  <c r="BT33" i="52" s="1"/>
  <c r="AV31" i="52" a="1"/>
  <c r="AV31" i="52" s="1"/>
  <c r="AW31" i="52" s="1" a="1"/>
  <c r="AW31" i="52" s="1"/>
  <c r="BG35" i="52" s="1" a="1"/>
  <c r="BG35" i="52" s="1"/>
  <c r="BA35" i="52" a="1"/>
  <c r="BA35" i="52" s="1"/>
  <c r="BN12" i="52" a="1"/>
  <c r="BN12" i="52" s="1"/>
  <c r="BO12" i="52" s="1" a="1"/>
  <c r="BO12" i="52" s="1"/>
  <c r="BY12" i="52" s="1" a="1"/>
  <c r="BY12" i="52" s="1"/>
  <c r="BZ12" i="52" s="1" a="1"/>
  <c r="BZ12" i="52" s="1"/>
  <c r="CA12" i="52" s="1" a="1"/>
  <c r="CA12" i="52" s="1"/>
  <c r="BS16" i="52" a="1"/>
  <c r="BS16" i="52" s="1"/>
  <c r="AD27" i="52" a="1"/>
  <c r="AD27" i="52" s="1"/>
  <c r="AE27" i="52" s="1" a="1"/>
  <c r="AE27" i="52" s="1"/>
  <c r="AO39" i="52" s="1" a="1"/>
  <c r="AO39" i="52" s="1"/>
  <c r="AP39" i="52" s="1" a="1"/>
  <c r="AP39" i="52" s="1"/>
  <c r="AI39" i="52" a="1"/>
  <c r="AI39" i="52" s="1"/>
  <c r="AJ37" i="52" s="1" a="1"/>
  <c r="AJ37" i="52" s="1"/>
  <c r="AK37" i="52" s="1" a="1"/>
  <c r="AK37" i="52" s="1"/>
  <c r="BN60" i="52" a="1"/>
  <c r="BN60" i="52" s="1"/>
  <c r="BO60" i="52" s="1" a="1"/>
  <c r="BO60" i="52" s="1"/>
  <c r="BY60" i="52" s="1" a="1"/>
  <c r="BY60" i="52" s="1"/>
  <c r="BZ60" i="52" s="1" a="1"/>
  <c r="BZ60" i="52" s="1"/>
  <c r="BS61" i="52" a="1"/>
  <c r="BS61" i="52" s="1"/>
  <c r="DB18" i="52" a="1"/>
  <c r="DB18" i="52" s="1"/>
  <c r="EC18" i="52" s="1" a="1"/>
  <c r="EC18" i="52" s="1"/>
  <c r="CV31" i="52" a="1"/>
  <c r="CV31" i="52" s="1"/>
  <c r="DW31" i="52" s="1" a="1"/>
  <c r="DW31" i="52" s="1"/>
  <c r="CS25" i="52" a="1"/>
  <c r="CS25" i="52" s="1"/>
  <c r="DT25" i="52" s="1" a="1"/>
  <c r="DT25" i="52" s="1"/>
  <c r="CQ41" i="52" a="1"/>
  <c r="CQ41" i="52" s="1"/>
  <c r="DR41" i="52" s="1" a="1"/>
  <c r="DR41" i="52" s="1"/>
  <c r="CZ28" i="52" a="1"/>
  <c r="CZ28" i="52" s="1"/>
  <c r="EA28" i="52" s="1" a="1"/>
  <c r="EA28" i="52" s="1"/>
  <c r="CS28" i="52" a="1"/>
  <c r="CS28" i="52" s="1"/>
  <c r="DT28" i="52" s="1" a="1"/>
  <c r="DT28" i="52" s="1"/>
  <c r="CR28" i="52" a="1"/>
  <c r="CR28" i="52" s="1"/>
  <c r="DS28" i="52" s="1" a="1"/>
  <c r="DS28" i="52" s="1"/>
  <c r="BF65" i="52" a="1"/>
  <c r="BF65" i="52" s="1"/>
  <c r="AV60" i="52" a="1"/>
  <c r="AV60" i="52" s="1"/>
  <c r="AW60" i="52" s="1" a="1"/>
  <c r="AW60" i="52" s="1"/>
  <c r="BG60" i="52" s="1" a="1"/>
  <c r="BG60" i="52" s="1"/>
  <c r="BH60" i="52" s="1" a="1"/>
  <c r="BH60" i="52" s="1"/>
  <c r="AM36" i="52" a="1"/>
  <c r="AM36" i="52" s="1"/>
  <c r="AN36" i="52" s="1" a="1"/>
  <c r="AN36" i="52" s="1"/>
  <c r="AM38" i="52" a="1"/>
  <c r="AM38" i="52" s="1"/>
  <c r="AN38" i="52" s="1" a="1"/>
  <c r="AN38" i="52" s="1"/>
  <c r="CS60" i="52" a="1"/>
  <c r="CS60" i="52" s="1"/>
  <c r="DT60" i="52" s="1" a="1"/>
  <c r="DT60" i="52" s="1"/>
  <c r="CZ60" i="52" a="1"/>
  <c r="CZ60" i="52" s="1"/>
  <c r="EA60" i="52" s="1" a="1"/>
  <c r="EA60" i="52" s="1"/>
  <c r="CR60" i="52" a="1"/>
  <c r="CR60" i="52" s="1"/>
  <c r="DS60" i="52" s="1" a="1"/>
  <c r="DS60" i="52" s="1"/>
  <c r="BP56" i="52" a="1"/>
  <c r="BP56" i="52" s="1"/>
  <c r="BO31" i="52" a="1"/>
  <c r="BO31" i="52" s="1"/>
  <c r="BY31" i="52" s="1" a="1"/>
  <c r="BY31" i="52" s="1"/>
  <c r="BN19" i="52" a="1"/>
  <c r="BN19" i="52" s="1"/>
  <c r="BO19" i="52" s="1" a="1"/>
  <c r="BO19" i="52" s="1"/>
  <c r="BY19" i="52" s="1" a="1"/>
  <c r="BY19" i="52" s="1"/>
  <c r="BZ19" i="52" s="1" a="1"/>
  <c r="BZ19" i="52" s="1"/>
  <c r="BS22" i="52" a="1"/>
  <c r="BS22" i="52" s="1"/>
  <c r="AD63" i="52" a="1"/>
  <c r="AD63" i="52" s="1"/>
  <c r="AE63" i="52" s="1" a="1"/>
  <c r="AE63" i="52" s="1"/>
  <c r="AO61" i="52" s="1" a="1"/>
  <c r="AO61" i="52" s="1"/>
  <c r="AI61" i="52" a="1"/>
  <c r="AI61" i="52" s="1"/>
  <c r="DB24" i="52" a="1"/>
  <c r="DB24" i="52" s="1"/>
  <c r="EC24" i="52" s="1" a="1"/>
  <c r="EC24" i="52" s="1"/>
  <c r="CV21" i="52" a="1"/>
  <c r="CV21" i="52" s="1"/>
  <c r="DW21" i="52" s="1" a="1"/>
  <c r="DW21" i="52" s="1"/>
  <c r="CQ34" i="52" a="1"/>
  <c r="CQ34" i="52" s="1"/>
  <c r="DR34" i="52" s="1" a="1"/>
  <c r="DR34" i="52" s="1"/>
  <c r="CP26" i="52" a="1"/>
  <c r="CP26" i="52" s="1"/>
  <c r="DQ26" i="52" s="1" a="1"/>
  <c r="DQ26" i="52" s="1"/>
  <c r="AG58" i="52" l="1" a="1"/>
  <c r="AG58" i="52" s="1"/>
  <c r="BT20" i="52" a="1"/>
  <c r="BT20" i="52" s="1"/>
  <c r="CA51" i="52" a="1"/>
  <c r="CA51" i="52" s="1"/>
  <c r="BT21" i="52" a="1"/>
  <c r="BT21" i="52" s="1"/>
  <c r="BU21" i="52" s="1" a="1"/>
  <c r="BU21" i="52" s="1"/>
  <c r="BT52" i="52" a="1"/>
  <c r="BT52" i="52" s="1"/>
  <c r="AQ24" i="52" a="1"/>
  <c r="AQ24" i="52" s="1"/>
  <c r="AP59" i="52" a="1"/>
  <c r="AP59" i="52" s="1"/>
  <c r="BH31" i="52" a="1"/>
  <c r="BH31" i="52" s="1"/>
  <c r="BI19" i="52" a="1"/>
  <c r="BI19" i="52" s="1"/>
  <c r="AP46" i="52" a="1"/>
  <c r="AP46" i="52" s="1"/>
  <c r="AQ46" i="52" s="1" a="1"/>
  <c r="AQ46" i="52" s="1"/>
  <c r="AQ63" i="52" a="1"/>
  <c r="AQ63" i="52" s="1"/>
  <c r="BH18" i="52" a="1"/>
  <c r="BH18" i="52" s="1"/>
  <c r="BI18" i="52" s="1" a="1"/>
  <c r="BI18" i="52" s="1"/>
  <c r="BU24" i="52" a="1"/>
  <c r="BU24" i="52" s="1"/>
  <c r="BT43" i="52" a="1"/>
  <c r="BT43" i="52" s="1"/>
  <c r="BU43" i="52" s="1" a="1"/>
  <c r="BU43" i="52" s="1"/>
  <c r="BH20" i="52" a="1"/>
  <c r="BH20" i="52" s="1"/>
  <c r="BI20" i="52" s="1" a="1"/>
  <c r="BI20" i="52" s="1"/>
  <c r="AY16" i="52" a="1"/>
  <c r="AY16" i="52" s="1"/>
  <c r="AZ16" i="52" s="1" a="1"/>
  <c r="AZ16" i="52" s="1"/>
  <c r="BH35" i="52" a="1"/>
  <c r="BH35" i="52" s="1"/>
  <c r="BI35" i="52" s="1" a="1"/>
  <c r="BI35" i="52" s="1"/>
  <c r="AK33" i="52" a="1"/>
  <c r="AK33" i="52" s="1"/>
  <c r="CA29" i="52" a="1"/>
  <c r="CA29" i="52" s="1"/>
  <c r="BP30" i="52" a="1"/>
  <c r="BP30" i="52" s="1"/>
  <c r="BQ30" i="52" s="1" a="1"/>
  <c r="BQ30" i="52" s="1"/>
  <c r="BR30" i="52" s="1" a="1"/>
  <c r="BR30" i="52" s="1"/>
  <c r="AQ48" i="52" a="1"/>
  <c r="AQ48" i="52" s="1"/>
  <c r="AF51" i="52" a="1"/>
  <c r="AF51" i="52" s="1"/>
  <c r="AG51" i="52" s="1" a="1"/>
  <c r="AG51" i="52" s="1"/>
  <c r="AH51" i="52" s="1" a="1"/>
  <c r="AH51" i="52" s="1"/>
  <c r="BH38" i="52" a="1"/>
  <c r="BH38" i="52" s="1"/>
  <c r="BI38" i="52" s="1" a="1"/>
  <c r="BI38" i="52" s="1"/>
  <c r="BI60" i="52" a="1"/>
  <c r="BI60" i="52" s="1"/>
  <c r="AJ30" i="52" a="1"/>
  <c r="AJ30" i="52" s="1"/>
  <c r="AK30" i="52" s="1" a="1"/>
  <c r="AK30" i="52" s="1"/>
  <c r="AP35" i="52" a="1"/>
  <c r="AP35" i="52" s="1"/>
  <c r="BU56" i="52" a="1"/>
  <c r="BU56" i="52" s="1"/>
  <c r="BZ23" i="52" a="1"/>
  <c r="BZ23" i="52" s="1"/>
  <c r="CA23" i="52" s="1" a="1"/>
  <c r="CA23" i="52" s="1"/>
  <c r="BT57" i="52" a="1"/>
  <c r="BT57" i="52" s="1"/>
  <c r="BH39" i="52" a="1"/>
  <c r="BH39" i="52" s="1"/>
  <c r="BI39" i="52" s="1" a="1"/>
  <c r="BI39" i="52" s="1"/>
  <c r="CA52" i="52" a="1"/>
  <c r="CA52" i="52" s="1"/>
  <c r="AH58" i="52" a="1"/>
  <c r="AH58" i="52" s="1"/>
  <c r="AJ52" i="52" a="1"/>
  <c r="AJ52" i="52" s="1"/>
  <c r="AK52" i="52" s="1" a="1"/>
  <c r="AK52" i="52" s="1"/>
  <c r="BU33" i="52" a="1"/>
  <c r="BU33" i="52" s="1"/>
  <c r="BI36" i="52" a="1"/>
  <c r="BI36" i="52" s="1"/>
  <c r="AK58" i="52" a="1"/>
  <c r="AK58" i="52" s="1"/>
  <c r="BZ38" i="52" a="1"/>
  <c r="BZ38" i="52" s="1"/>
  <c r="CA38" i="52" s="1" a="1"/>
  <c r="CA38" i="52" s="1"/>
  <c r="BC58" i="52" a="1"/>
  <c r="BC58" i="52" s="1"/>
  <c r="AQ33" i="52" a="1"/>
  <c r="AQ33" i="52" s="1"/>
  <c r="AP38" i="52" a="1"/>
  <c r="AP38" i="52" s="1"/>
  <c r="BH54" i="52" a="1"/>
  <c r="BH54" i="52" s="1"/>
  <c r="BI54" i="52" s="1" a="1"/>
  <c r="BI54" i="52" s="1"/>
  <c r="AJ38" i="52" a="1"/>
  <c r="AJ38" i="52" s="1"/>
  <c r="AK38" i="52" s="1" a="1"/>
  <c r="AK38" i="52" s="1"/>
  <c r="BT27" i="52" a="1"/>
  <c r="BT27" i="52" s="1"/>
  <c r="BU27" i="52" s="1" a="1"/>
  <c r="BU27" i="52" s="1"/>
  <c r="BP28" i="52" a="1"/>
  <c r="BP28" i="52" s="1"/>
  <c r="BQ28" i="52" s="1" a="1"/>
  <c r="BQ28" i="52" s="1"/>
  <c r="BR28" i="52" s="1" a="1"/>
  <c r="BR28" i="52" s="1"/>
  <c r="AG64" i="52" a="1"/>
  <c r="AG64" i="52" s="1"/>
  <c r="AK34" i="52" a="1"/>
  <c r="AK34" i="52" s="1"/>
  <c r="AJ64" i="52" a="1"/>
  <c r="AJ64" i="52" s="1"/>
  <c r="AK64" i="52" s="1" a="1"/>
  <c r="AK64" i="52" s="1"/>
  <c r="BZ35" i="52" a="1"/>
  <c r="BZ35" i="52" s="1"/>
  <c r="CA35" i="52" s="1" a="1"/>
  <c r="CA35" i="52" s="1"/>
  <c r="I78" i="52" a="1"/>
  <c r="I78" i="52" s="1"/>
  <c r="I79" i="52" s="1" a="1"/>
  <c r="I79" i="52" s="1"/>
  <c r="I80" i="52" s="1" a="1"/>
  <c r="I80" i="52" s="1"/>
  <c r="I81" i="52" s="1" a="1"/>
  <c r="I81" i="52" s="1"/>
  <c r="I82" i="52" s="1" a="1"/>
  <c r="I82" i="52" s="1"/>
  <c r="I83" i="52" s="1" a="1"/>
  <c r="I83" i="52" s="1"/>
  <c r="I84" i="52" s="1" a="1"/>
  <c r="I84" i="52" s="1"/>
  <c r="I85" i="52" s="1" a="1"/>
  <c r="I85" i="52" s="1"/>
  <c r="I86" i="52" s="1" a="1"/>
  <c r="I86" i="52" s="1"/>
  <c r="I87" i="52" s="1" a="1"/>
  <c r="I87" i="52" s="1"/>
  <c r="I88" i="52" s="1" a="1"/>
  <c r="I88" i="52" s="1"/>
  <c r="I89" i="52" s="1" a="1"/>
  <c r="I89" i="52" s="1"/>
  <c r="I90" i="52" s="1" a="1"/>
  <c r="I90" i="52" s="1"/>
  <c r="I91" i="52" s="1" a="1"/>
  <c r="I91" i="52" s="1"/>
  <c r="I92" i="52" s="1" a="1"/>
  <c r="I92" i="52" s="1"/>
  <c r="I93" i="52" s="1" a="1"/>
  <c r="I93" i="52" s="1"/>
  <c r="I94" i="52" s="1" a="1"/>
  <c r="I94" i="52" s="1"/>
  <c r="I95" i="52" s="1" a="1"/>
  <c r="I95" i="52" s="1"/>
  <c r="I96" i="52" s="1" a="1"/>
  <c r="I96" i="52" s="1"/>
  <c r="AX19" i="52" a="1"/>
  <c r="AX19" i="52" s="1"/>
  <c r="AY19" i="52" s="1" a="1"/>
  <c r="AY19" i="52" s="1"/>
  <c r="AZ19" i="52" s="1" a="1"/>
  <c r="AZ19" i="52" s="1"/>
  <c r="BB18" i="52" a="1"/>
  <c r="BB18" i="52" s="1"/>
  <c r="BC18" i="52" s="1" a="1"/>
  <c r="BC18" i="52" s="1"/>
  <c r="BC51" i="52" a="1"/>
  <c r="BC51" i="52" s="1"/>
  <c r="BC43" i="52" a="1"/>
  <c r="BC43" i="52" s="1"/>
  <c r="BB38" i="52" a="1"/>
  <c r="BB38" i="52" s="1"/>
  <c r="BC38" i="52" s="1" a="1"/>
  <c r="BC38" i="52" s="1"/>
  <c r="AX38" i="52" a="1"/>
  <c r="AX38" i="52" s="1"/>
  <c r="AY38" i="52" s="1" a="1"/>
  <c r="AY38" i="52" s="1"/>
  <c r="AZ38" i="52" s="1" a="1"/>
  <c r="AZ38" i="52" s="1"/>
  <c r="AP19" i="52" a="1"/>
  <c r="AP19" i="52" s="1"/>
  <c r="AQ19" i="52" s="1" a="1"/>
  <c r="AQ19" i="52" s="1"/>
  <c r="BH44" i="52" a="1"/>
  <c r="BH44" i="52" s="1"/>
  <c r="BI44" i="52" s="1" a="1"/>
  <c r="BI44" i="52" s="1"/>
  <c r="BB39" i="52" a="1"/>
  <c r="BB39" i="52" s="1"/>
  <c r="BC39" i="52" s="1" a="1"/>
  <c r="BC39" i="52" s="1"/>
  <c r="AX39" i="52" a="1"/>
  <c r="AX39" i="52" s="1"/>
  <c r="AY39" i="52" s="1" a="1"/>
  <c r="AY39" i="52" s="1"/>
  <c r="AZ39" i="52" s="1" a="1"/>
  <c r="AZ39" i="52" s="1"/>
  <c r="CA19" i="52" a="1"/>
  <c r="CA19" i="52" s="1"/>
  <c r="BZ41" i="52" a="1"/>
  <c r="BZ41" i="52" s="1"/>
  <c r="CA41" i="52" s="1" a="1"/>
  <c r="CA41" i="52" s="1"/>
  <c r="BH64" i="52" a="1"/>
  <c r="BH64" i="52" s="1"/>
  <c r="AJ62" i="52" a="1"/>
  <c r="AJ62" i="52" s="1"/>
  <c r="AK62" i="52" s="1" a="1"/>
  <c r="AK62" i="52" s="1"/>
  <c r="AK60" i="52" a="1"/>
  <c r="AK60" i="52" s="1"/>
  <c r="BI32" i="52" a="1"/>
  <c r="BI32" i="52" s="1"/>
  <c r="BZ31" i="52" a="1"/>
  <c r="BZ31" i="52" s="1"/>
  <c r="CA31" i="52" s="1" a="1"/>
  <c r="CA31" i="52" s="1"/>
  <c r="AG62" i="52" a="1"/>
  <c r="AG62" i="52" s="1"/>
  <c r="AH62" i="52" s="1" a="1"/>
  <c r="AH62" i="52" s="1"/>
  <c r="AJ16" i="52" a="1"/>
  <c r="AJ16" i="52" s="1"/>
  <c r="AK16" i="52" s="1" a="1"/>
  <c r="AK16" i="52" s="1"/>
  <c r="C76" i="52" s="1" a="1"/>
  <c r="C76" i="52" s="1"/>
  <c r="C77" i="52" s="1" a="1"/>
  <c r="C77" i="52" s="1"/>
  <c r="C78" i="52" s="1" a="1"/>
  <c r="C78" i="52" s="1"/>
  <c r="C79" i="52" s="1" a="1"/>
  <c r="C79" i="52" s="1"/>
  <c r="C80" i="52" s="1" a="1"/>
  <c r="C80" i="52" s="1"/>
  <c r="C81" i="52" s="1" a="1"/>
  <c r="C81" i="52" s="1"/>
  <c r="C82" i="52" s="1" a="1"/>
  <c r="C82" i="52" s="1"/>
  <c r="C83" i="52" s="1" a="1"/>
  <c r="C83" i="52" s="1"/>
  <c r="C84" i="52" s="1" a="1"/>
  <c r="C84" i="52" s="1"/>
  <c r="C85" i="52" s="1" a="1"/>
  <c r="C85" i="52" s="1"/>
  <c r="C86" i="52" s="1" a="1"/>
  <c r="C86" i="52" s="1"/>
  <c r="C87" i="52" s="1" a="1"/>
  <c r="C87" i="52" s="1"/>
  <c r="C88" i="52" s="1" a="1"/>
  <c r="C88" i="52" s="1"/>
  <c r="C89" i="52" s="1" a="1"/>
  <c r="C89" i="52" s="1"/>
  <c r="C90" i="52" s="1" a="1"/>
  <c r="C90" i="52" s="1"/>
  <c r="AF16" i="52" a="1"/>
  <c r="AF16" i="52" s="1"/>
  <c r="AG16" i="52" s="1" a="1"/>
  <c r="AG16" i="52" s="1"/>
  <c r="AH16" i="52" s="1" a="1"/>
  <c r="AH16" i="52" s="1"/>
  <c r="AQ39" i="52" a="1"/>
  <c r="AQ39" i="52" s="1"/>
  <c r="AQ35" i="52" a="1"/>
  <c r="AQ35" i="52" s="1"/>
  <c r="AP41" i="52" a="1"/>
  <c r="AP41" i="52" s="1"/>
  <c r="CA58" i="52" a="1"/>
  <c r="CA58" i="52" s="1"/>
  <c r="AP36" i="52" a="1"/>
  <c r="AP36" i="52" s="1"/>
  <c r="AQ36" i="52" s="1" a="1"/>
  <c r="AQ36" i="52" s="1"/>
  <c r="BZ61" i="52" a="1"/>
  <c r="BZ61" i="52" s="1"/>
  <c r="CA61" i="52" s="1" a="1"/>
  <c r="CA61" i="52" s="1"/>
  <c r="BH29" i="52" a="1"/>
  <c r="BH29" i="52" s="1"/>
  <c r="BI29" i="52" s="1" a="1"/>
  <c r="BI29" i="52" s="1"/>
  <c r="BZ34" i="52" a="1"/>
  <c r="BZ34" i="52" s="1"/>
  <c r="CA34" i="52" s="1" a="1"/>
  <c r="CA34" i="52" s="1"/>
  <c r="AQ45" i="52" a="1"/>
  <c r="AQ45" i="52" s="1"/>
  <c r="BB45" i="52" a="1"/>
  <c r="BB45" i="52" s="1"/>
  <c r="BC45" i="52" s="1" a="1"/>
  <c r="BC45" i="52" s="1"/>
  <c r="AQ59" i="52" a="1"/>
  <c r="AQ59" i="52" s="1"/>
  <c r="AQ30" i="52" a="1"/>
  <c r="AQ30" i="52" s="1"/>
  <c r="BT31" i="52" a="1"/>
  <c r="BT31" i="52" s="1"/>
  <c r="BU31" i="52" s="1" a="1"/>
  <c r="BU31" i="52" s="1"/>
  <c r="BP31" i="52" a="1"/>
  <c r="BP31" i="52" s="1"/>
  <c r="BQ31" i="52" s="1" a="1"/>
  <c r="BQ31" i="52" s="1"/>
  <c r="BR31" i="52" s="1" a="1"/>
  <c r="BR31" i="52" s="1"/>
  <c r="BH43" i="52" a="1"/>
  <c r="BH43" i="52" s="1"/>
  <c r="BI43" i="52" s="1" a="1"/>
  <c r="BI43" i="52" s="1"/>
  <c r="AK57" i="52" a="1"/>
  <c r="AK57" i="52" s="1"/>
  <c r="AX65" i="52" a="1"/>
  <c r="AX65" i="52" s="1"/>
  <c r="AY65" i="52" s="1" a="1"/>
  <c r="AY65" i="52" s="1"/>
  <c r="AZ65" i="52" s="1" a="1"/>
  <c r="AZ65" i="52" s="1"/>
  <c r="BB65" i="52" a="1"/>
  <c r="BB65" i="52" s="1"/>
  <c r="BC65" i="52" s="1" a="1"/>
  <c r="BC65" i="52" s="1"/>
  <c r="AP22" i="52" a="1"/>
  <c r="AP22" i="52" s="1"/>
  <c r="AQ22" i="52" s="1" a="1"/>
  <c r="AQ22" i="52" s="1"/>
  <c r="AJ19" i="52" a="1"/>
  <c r="AJ19" i="52" s="1"/>
  <c r="AF19" i="52" a="1"/>
  <c r="AF19" i="52" s="1"/>
  <c r="AG19" i="52" s="1" a="1"/>
  <c r="AG19" i="52" s="1"/>
  <c r="AH19" i="52" s="1" a="1"/>
  <c r="AH19" i="52" s="1"/>
  <c r="BI42" i="52" a="1"/>
  <c r="BI42" i="52" s="1"/>
  <c r="AP37" i="52" a="1"/>
  <c r="AP37" i="52" s="1"/>
  <c r="AQ37" i="52" s="1" a="1"/>
  <c r="AQ37" i="52" s="1"/>
  <c r="BH37" i="52" a="1"/>
  <c r="BH37" i="52" s="1"/>
  <c r="BI37" i="52" s="1" a="1"/>
  <c r="BI37" i="52" s="1"/>
  <c r="BI31" i="52" a="1"/>
  <c r="BI31" i="52" s="1"/>
  <c r="AJ22" i="52" a="1"/>
  <c r="AJ22" i="52" s="1"/>
  <c r="AK22" i="52" s="1" a="1"/>
  <c r="AK22" i="52" s="1"/>
  <c r="AF22" i="52" a="1"/>
  <c r="AF22" i="52" s="1"/>
  <c r="AG22" i="52" s="1" a="1"/>
  <c r="AG22" i="52" s="1"/>
  <c r="AH22" i="52" s="1" a="1"/>
  <c r="AH22" i="52" s="1"/>
  <c r="AP23" i="52" a="1"/>
  <c r="AP23" i="52" s="1"/>
  <c r="AQ23" i="52" s="1" a="1"/>
  <c r="AQ23" i="52" s="1"/>
  <c r="BH56" i="52" a="1"/>
  <c r="BH56" i="52" s="1"/>
  <c r="BI56" i="52" s="1" a="1"/>
  <c r="BI56" i="52" s="1"/>
  <c r="F76" i="52" a="1"/>
  <c r="F76" i="52" s="1"/>
  <c r="F77" i="52" s="1" a="1"/>
  <c r="F77" i="52" s="1"/>
  <c r="F78" i="52" s="1" a="1"/>
  <c r="F78" i="52" s="1"/>
  <c r="F79" i="52" s="1" a="1"/>
  <c r="F79" i="52" s="1"/>
  <c r="F80" i="52" s="1" a="1"/>
  <c r="F80" i="52" s="1"/>
  <c r="F81" i="52" s="1" a="1"/>
  <c r="F81" i="52" s="1"/>
  <c r="F82" i="52" s="1" a="1"/>
  <c r="F82" i="52" s="1"/>
  <c r="F83" i="52" s="1" a="1"/>
  <c r="F83" i="52" s="1"/>
  <c r="F84" i="52" s="1" a="1"/>
  <c r="F84" i="52" s="1"/>
  <c r="F85" i="52" s="1" a="1"/>
  <c r="F85" i="52" s="1"/>
  <c r="F86" i="52" s="1" a="1"/>
  <c r="F86" i="52" s="1"/>
  <c r="F87" i="52" s="1" a="1"/>
  <c r="F87" i="52" s="1"/>
  <c r="F88" i="52" s="1" a="1"/>
  <c r="F88" i="52" s="1"/>
  <c r="F89" i="52" s="1" a="1"/>
  <c r="F89" i="52" s="1"/>
  <c r="F90" i="52" s="1" a="1"/>
  <c r="F90" i="52" s="1"/>
  <c r="F91" i="52" s="1" a="1"/>
  <c r="F91" i="52" s="1"/>
  <c r="F92" i="52" s="1" a="1"/>
  <c r="F92" i="52" s="1"/>
  <c r="F93" i="52" s="1" a="1"/>
  <c r="F93" i="52" s="1"/>
  <c r="F94" i="52" s="1" a="1"/>
  <c r="F94" i="52" s="1"/>
  <c r="F95" i="52" s="1" a="1"/>
  <c r="F95" i="52" s="1"/>
  <c r="F96" i="52" s="1" a="1"/>
  <c r="F96" i="52" s="1"/>
  <c r="AJ63" i="52" a="1"/>
  <c r="AJ63" i="52" s="1"/>
  <c r="AK63" i="52" s="1" a="1"/>
  <c r="AK63" i="52" s="1"/>
  <c r="AF63" i="52" a="1"/>
  <c r="AF63" i="52" s="1"/>
  <c r="AG63" i="52" s="1" a="1"/>
  <c r="AG63" i="52" s="1"/>
  <c r="AH63" i="52" s="1" a="1"/>
  <c r="AH63" i="52" s="1"/>
  <c r="BI63" i="52" a="1"/>
  <c r="BI63" i="52" s="1"/>
  <c r="BC42" i="52" a="1"/>
  <c r="BC42" i="52" s="1"/>
  <c r="BZ25" i="52" a="1"/>
  <c r="BZ25" i="52" s="1"/>
  <c r="CA25" i="52" s="1" a="1"/>
  <c r="CA25" i="52" s="1"/>
  <c r="AX44" i="52" a="1"/>
  <c r="AX44" i="52" s="1"/>
  <c r="AY44" i="52" s="1" a="1"/>
  <c r="AY44" i="52" s="1"/>
  <c r="AZ44" i="52" s="1" a="1"/>
  <c r="AZ44" i="52" s="1"/>
  <c r="BB44" i="52" a="1"/>
  <c r="BB44" i="52" s="1"/>
  <c r="BC44" i="52" s="1" a="1"/>
  <c r="BC44" i="52" s="1"/>
  <c r="BB41" i="52" a="1"/>
  <c r="BB41" i="52" s="1"/>
  <c r="BC41" i="52" s="1" a="1"/>
  <c r="BC41" i="52" s="1"/>
  <c r="AX41" i="52" a="1"/>
  <c r="AX41" i="52" s="1"/>
  <c r="AY41" i="52" s="1" a="1"/>
  <c r="AY41" i="52" s="1"/>
  <c r="AZ41" i="52" s="1" a="1"/>
  <c r="AZ41" i="52" s="1"/>
  <c r="BH65" i="52" a="1"/>
  <c r="BH65" i="52" s="1"/>
  <c r="BI65" i="52" s="1" a="1"/>
  <c r="BI65" i="52" s="1"/>
  <c r="BC22" i="52" a="1"/>
  <c r="BC22" i="52" s="1"/>
  <c r="BB21" i="52" a="1"/>
  <c r="BB21" i="52" s="1"/>
  <c r="BC21" i="52" s="1" a="1"/>
  <c r="BC21" i="52" s="1"/>
  <c r="AX21" i="52" a="1"/>
  <c r="AX21" i="52" s="1"/>
  <c r="AY21" i="52" s="1" a="1"/>
  <c r="AY21" i="52" s="1"/>
  <c r="AZ21" i="52" s="1" a="1"/>
  <c r="AZ21" i="52" s="1"/>
  <c r="BH41" i="52" a="1"/>
  <c r="BH41" i="52" s="1"/>
  <c r="BI41" i="52" s="1" a="1"/>
  <c r="BI41" i="52" s="1"/>
  <c r="BH40" i="52" a="1"/>
  <c r="BH40" i="52" s="1"/>
  <c r="BI40" i="52" s="1" a="1"/>
  <c r="BI40" i="52" s="1"/>
  <c r="AQ18" i="52" a="1"/>
  <c r="AQ18" i="52" s="1"/>
  <c r="BU52" i="52" a="1"/>
  <c r="BU52" i="52" s="1"/>
  <c r="BB64" i="52" a="1"/>
  <c r="BB64" i="52" s="1"/>
  <c r="BC64" i="52" s="1" a="1"/>
  <c r="BC64" i="52" s="1"/>
  <c r="AX64" i="52" a="1"/>
  <c r="AX64" i="52" s="1"/>
  <c r="AY64" i="52" s="1" a="1"/>
  <c r="AY64" i="52" s="1"/>
  <c r="AZ64" i="52" s="1" a="1"/>
  <c r="AZ64" i="52" s="1"/>
  <c r="AP32" i="52" a="1"/>
  <c r="AP32" i="52" s="1"/>
  <c r="AQ32" i="52" s="1" a="1"/>
  <c r="AQ32" i="52" s="1"/>
  <c r="AP31" i="52" a="1"/>
  <c r="AP31" i="52" s="1"/>
  <c r="AQ31" i="52" s="1" a="1"/>
  <c r="AQ31" i="52" s="1"/>
  <c r="BT22" i="52" a="1"/>
  <c r="BT22" i="52" s="1"/>
  <c r="BU22" i="52" s="1" a="1"/>
  <c r="BU22" i="52" s="1"/>
  <c r="BP22" i="52" a="1"/>
  <c r="BP22" i="52" s="1"/>
  <c r="BQ22" i="52" s="1" a="1"/>
  <c r="BQ22" i="52" s="1"/>
  <c r="BR22" i="52" s="1" a="1"/>
  <c r="BR22" i="52" s="1"/>
  <c r="AP55" i="52" a="1"/>
  <c r="AP55" i="52" s="1"/>
  <c r="AQ55" i="52" s="1" a="1"/>
  <c r="AQ55" i="52" s="1"/>
  <c r="AP54" i="52" a="1"/>
  <c r="AP54" i="52" s="1"/>
  <c r="AQ54" i="52" s="1" a="1"/>
  <c r="AQ54" i="52" s="1"/>
  <c r="BB52" i="52" a="1"/>
  <c r="BB52" i="52" s="1"/>
  <c r="BC52" i="52" s="1" a="1"/>
  <c r="BC52" i="52" s="1"/>
  <c r="AX52" i="52" a="1"/>
  <c r="AX52" i="52" s="1"/>
  <c r="AY52" i="52" s="1" a="1"/>
  <c r="AY52" i="52" s="1"/>
  <c r="AZ52" i="52" s="1" a="1"/>
  <c r="AZ52" i="52" s="1"/>
  <c r="AX31" i="52" a="1"/>
  <c r="AX31" i="52" s="1"/>
  <c r="AY31" i="52" s="1" a="1"/>
  <c r="AY31" i="52" s="1"/>
  <c r="AZ31" i="52" s="1" a="1"/>
  <c r="AZ31" i="52" s="1"/>
  <c r="BB31" i="52" a="1"/>
  <c r="BB31" i="52" s="1"/>
  <c r="BC31" i="52" s="1" a="1"/>
  <c r="BC31" i="52" s="1"/>
  <c r="AX56" i="52" a="1"/>
  <c r="AX56" i="52" s="1"/>
  <c r="AY56" i="52" s="1" a="1"/>
  <c r="AY56" i="52" s="1"/>
  <c r="AZ56" i="52" s="1" a="1"/>
  <c r="AZ56" i="52" s="1"/>
  <c r="BB56" i="52" a="1"/>
  <c r="BB56" i="52" s="1"/>
  <c r="BC56" i="52" s="1" a="1"/>
  <c r="BC56" i="52" s="1"/>
  <c r="BH48" i="52" a="1"/>
  <c r="BH48" i="52" s="1"/>
  <c r="BI48" i="52" s="1" a="1"/>
  <c r="BI48" i="52" s="1"/>
  <c r="BT14" i="52" a="1"/>
  <c r="BT14" i="52" s="1"/>
  <c r="BU14" i="52" s="1" a="1"/>
  <c r="BU14" i="52" s="1"/>
  <c r="BP14" i="52" a="1"/>
  <c r="BP14" i="52" s="1"/>
  <c r="BQ14" i="52" s="1" a="1"/>
  <c r="BQ14" i="52" s="1"/>
  <c r="BR14" i="52" s="1" a="1"/>
  <c r="BR14" i="52" s="1"/>
  <c r="AF39" i="52" a="1"/>
  <c r="AF39" i="52" s="1"/>
  <c r="AG39" i="52" s="1" a="1"/>
  <c r="AG39" i="52" s="1"/>
  <c r="AH39" i="52" s="1" a="1"/>
  <c r="AH39" i="52" s="1"/>
  <c r="AJ39" i="52" a="1"/>
  <c r="AJ39" i="52" s="1"/>
  <c r="AK39" i="52" s="1" a="1"/>
  <c r="AK39" i="52" s="1"/>
  <c r="BZ40" i="52" a="1"/>
  <c r="BZ40" i="52" s="1"/>
  <c r="CA40" i="52" s="1" a="1"/>
  <c r="CA40" i="52" s="1"/>
  <c r="BH52" i="52" a="1"/>
  <c r="BH52" i="52" s="1"/>
  <c r="BI52" i="52" s="1" a="1"/>
  <c r="BI52" i="52" s="1"/>
  <c r="AG50" i="52" a="1"/>
  <c r="AG50" i="52" s="1"/>
  <c r="AH50" i="52" s="1" a="1"/>
  <c r="AH50" i="52" s="1"/>
  <c r="AG42" i="52" a="1"/>
  <c r="AG42" i="52" s="1"/>
  <c r="AH42" i="52" s="1" a="1"/>
  <c r="AH42" i="52" s="1"/>
  <c r="AX59" i="52" a="1"/>
  <c r="AX59" i="52" s="1"/>
  <c r="BB59" i="52" a="1"/>
  <c r="BB59" i="52" s="1"/>
  <c r="BC59" i="52" s="1" a="1"/>
  <c r="BC59" i="52" s="1"/>
  <c r="BT47" i="52" a="1"/>
  <c r="BT47" i="52" s="1"/>
  <c r="BU47" i="52" s="1" a="1"/>
  <c r="BU47" i="52" s="1"/>
  <c r="BP47" i="52" a="1"/>
  <c r="BP47" i="52" s="1"/>
  <c r="BQ47" i="52" s="1" a="1"/>
  <c r="BQ47" i="52" s="1"/>
  <c r="BR47" i="52" s="1" a="1"/>
  <c r="BR47" i="52" s="1"/>
  <c r="BU57" i="52" a="1"/>
  <c r="BU57" i="52" s="1"/>
  <c r="BT62" i="52" a="1"/>
  <c r="BT62" i="52" s="1"/>
  <c r="BU62" i="52" s="1" a="1"/>
  <c r="BU62" i="52" s="1"/>
  <c r="BP55" i="52" a="1"/>
  <c r="BP55" i="52" s="1"/>
  <c r="BQ55" i="52" s="1" a="1"/>
  <c r="BQ55" i="52" s="1"/>
  <c r="BR55" i="52" s="1" a="1"/>
  <c r="BR55" i="52" s="1"/>
  <c r="BT55" i="52" a="1"/>
  <c r="BT55" i="52" s="1"/>
  <c r="BU55" i="52" s="1" a="1"/>
  <c r="BU55" i="52" s="1"/>
  <c r="BB49" i="52" a="1"/>
  <c r="BB49" i="52" s="1"/>
  <c r="BC49" i="52" s="1" a="1"/>
  <c r="BC49" i="52" s="1"/>
  <c r="AX49" i="52" a="1"/>
  <c r="AX49" i="52" s="1"/>
  <c r="AY49" i="52" s="1" a="1"/>
  <c r="AY49" i="52" s="1"/>
  <c r="BT34" i="52" a="1"/>
  <c r="BT34" i="52" s="1"/>
  <c r="BU34" i="52" s="1" a="1"/>
  <c r="BU34" i="52" s="1"/>
  <c r="BP34" i="52" a="1"/>
  <c r="BP34" i="52" s="1"/>
  <c r="BQ34" i="52" s="1" a="1"/>
  <c r="BQ34" i="52" s="1"/>
  <c r="BR34" i="52" s="1" a="1"/>
  <c r="BR34" i="52" s="1"/>
  <c r="AF12" i="52" a="1"/>
  <c r="AF12" i="52" s="1"/>
  <c r="AG12" i="52" s="1" a="1"/>
  <c r="AG12" i="52" s="1"/>
  <c r="AJ12" i="52" a="1"/>
  <c r="AJ12" i="52" s="1"/>
  <c r="AK12" i="52" s="1" a="1"/>
  <c r="AK12" i="52" s="1"/>
  <c r="BT40" i="52" a="1"/>
  <c r="BT40" i="52" s="1"/>
  <c r="BU40" i="52" s="1" a="1"/>
  <c r="BU40" i="52" s="1"/>
  <c r="BP40" i="52" a="1"/>
  <c r="BP40" i="52" s="1"/>
  <c r="BQ40" i="52" s="1" a="1"/>
  <c r="BQ40" i="52" s="1"/>
  <c r="BR40" i="52" s="1" a="1"/>
  <c r="BR40" i="52" s="1"/>
  <c r="AG44" i="52" a="1"/>
  <c r="AG44" i="52" s="1"/>
  <c r="AH44" i="52" s="1" a="1"/>
  <c r="AH44" i="52" s="1"/>
  <c r="AG52" i="52" a="1"/>
  <c r="AG52" i="52" s="1"/>
  <c r="AH52" i="52" s="1" a="1"/>
  <c r="AH52" i="52" s="1"/>
  <c r="CA60" i="52" a="1"/>
  <c r="CA60" i="52" s="1"/>
  <c r="BZ59" i="52" a="1"/>
  <c r="BZ59" i="52" s="1"/>
  <c r="CA59" i="52" s="1" a="1"/>
  <c r="CA59" i="52" s="1"/>
  <c r="AX54" i="52" a="1"/>
  <c r="AX54" i="52" s="1"/>
  <c r="AY54" i="52" s="1" a="1"/>
  <c r="AY54" i="52" s="1"/>
  <c r="AZ54" i="52" s="1" a="1"/>
  <c r="AZ54" i="52" s="1"/>
  <c r="BB54" i="52" a="1"/>
  <c r="BB54" i="52" s="1"/>
  <c r="BC54" i="52" s="1" a="1"/>
  <c r="BC54" i="52" s="1"/>
  <c r="BT54" i="52" a="1"/>
  <c r="BT54" i="52" s="1"/>
  <c r="BU54" i="52" s="1" a="1"/>
  <c r="BU54" i="52" s="1"/>
  <c r="BP54" i="52" a="1"/>
  <c r="BP54" i="52" s="1"/>
  <c r="BR48" i="52" s="1" a="1"/>
  <c r="BR48" i="52" s="1"/>
  <c r="BT45" i="52" a="1"/>
  <c r="BT45" i="52" s="1"/>
  <c r="BU45" i="52" s="1" a="1"/>
  <c r="BU45" i="52" s="1"/>
  <c r="AP29" i="52" a="1"/>
  <c r="AP29" i="52" s="1"/>
  <c r="AQ29" i="52" s="1" a="1"/>
  <c r="AQ29" i="52" s="1"/>
  <c r="BZ18" i="52" a="1"/>
  <c r="BZ18" i="52" s="1"/>
  <c r="CA18" i="52" s="1" a="1"/>
  <c r="CA18" i="52" s="1"/>
  <c r="AY51" i="52" a="1"/>
  <c r="AY51" i="52" s="1"/>
  <c r="AH64" i="52" a="1"/>
  <c r="AH64" i="52" s="1"/>
  <c r="BZ47" i="52" a="1"/>
  <c r="BZ47" i="52" s="1"/>
  <c r="CA47" i="52" s="1" a="1"/>
  <c r="CA47" i="52" s="1"/>
  <c r="CA57" i="52" a="1"/>
  <c r="CA57" i="52" s="1"/>
  <c r="BZ62" i="52" a="1"/>
  <c r="BZ62" i="52" s="1"/>
  <c r="CA62" i="52" s="1" a="1"/>
  <c r="CA62" i="52" s="1"/>
  <c r="BZ64" i="52" a="1"/>
  <c r="BZ64" i="52" s="1"/>
  <c r="CA64" i="52" s="1" a="1"/>
  <c r="CA64" i="52" s="1"/>
  <c r="AJ28" i="52" a="1"/>
  <c r="AJ28" i="52" s="1"/>
  <c r="AK28" i="52" s="1" a="1"/>
  <c r="AK28" i="52" s="1"/>
  <c r="AF28" i="52" a="1"/>
  <c r="AF28" i="52" s="1"/>
  <c r="AG28" i="52" s="1" a="1"/>
  <c r="AG28" i="52" s="1"/>
  <c r="AH28" i="52" s="1" a="1"/>
  <c r="AH28" i="52" s="1"/>
  <c r="CA37" i="52" a="1"/>
  <c r="CA37" i="52" s="1"/>
  <c r="AF35" i="52" a="1"/>
  <c r="AF35" i="52" s="1"/>
  <c r="AG35" i="52" s="1" a="1"/>
  <c r="AG35" i="52" s="1"/>
  <c r="AH35" i="52" s="1" a="1"/>
  <c r="AH35" i="52" s="1"/>
  <c r="AJ35" i="52" a="1"/>
  <c r="AJ35" i="52" s="1"/>
  <c r="AK35" i="52" s="1" a="1"/>
  <c r="AK35" i="52" s="1"/>
  <c r="BB53" i="52" a="1"/>
  <c r="BB53" i="52" s="1"/>
  <c r="BC53" i="52" s="1" a="1"/>
  <c r="BC53" i="52" s="1"/>
  <c r="AX53" i="52" a="1"/>
  <c r="AX53" i="52" s="1"/>
  <c r="BP46" i="52" a="1"/>
  <c r="BP46" i="52" s="1"/>
  <c r="BQ46" i="52" s="1" a="1"/>
  <c r="BQ46" i="52" s="1"/>
  <c r="BR46" i="52" s="1" a="1"/>
  <c r="BR46" i="52" s="1"/>
  <c r="BT46" i="52" a="1"/>
  <c r="BT46" i="52" s="1"/>
  <c r="BU46" i="52" s="1" a="1"/>
  <c r="BU46" i="52" s="1"/>
  <c r="CA20" i="52" a="1"/>
  <c r="CA20" i="52" s="1"/>
  <c r="BZ33" i="52" a="1"/>
  <c r="BZ33" i="52" s="1"/>
  <c r="CA33" i="52" s="1" a="1"/>
  <c r="CA33" i="52" s="1"/>
  <c r="BP36" i="52" a="1"/>
  <c r="BP36" i="52" s="1"/>
  <c r="BQ36" i="52" s="1" a="1"/>
  <c r="BQ36" i="52" s="1"/>
  <c r="BR36" i="52" s="1" a="1"/>
  <c r="BR36" i="52" s="1"/>
  <c r="BT36" i="52" a="1"/>
  <c r="BT36" i="52" s="1"/>
  <c r="BU36" i="52" s="1" a="1"/>
  <c r="BU36" i="52" s="1"/>
  <c r="AP28" i="52" a="1"/>
  <c r="AP28" i="52" s="1"/>
  <c r="AQ28" i="52" s="1" a="1"/>
  <c r="AQ28" i="52" s="1"/>
  <c r="CA32" i="52" a="1"/>
  <c r="CA32" i="52" s="1"/>
  <c r="BH46" i="52" a="1"/>
  <c r="BH46" i="52" s="1"/>
  <c r="BI46" i="52" s="1" a="1"/>
  <c r="BI46" i="52" s="1"/>
  <c r="BH50" i="52" a="1"/>
  <c r="BH50" i="52" s="1"/>
  <c r="BI50" i="52" s="1" a="1"/>
  <c r="BI50" i="52" s="1"/>
  <c r="BZ50" i="52" a="1"/>
  <c r="BZ50" i="52" s="1"/>
  <c r="CA50" i="52" s="1" a="1"/>
  <c r="CA50" i="52" s="1"/>
  <c r="BZ53" i="52" a="1"/>
  <c r="BZ53" i="52" s="1"/>
  <c r="CA53" i="52" s="1" a="1"/>
  <c r="CA53" i="52" s="1"/>
  <c r="AQ41" i="52" a="1"/>
  <c r="AQ41" i="52" s="1"/>
  <c r="BZ42" i="52" a="1"/>
  <c r="BZ42" i="52" s="1"/>
  <c r="CA42" i="52" s="1" a="1"/>
  <c r="CA42" i="52" s="1"/>
  <c r="BT64" i="52" a="1"/>
  <c r="BT64" i="52" s="1"/>
  <c r="BU64" i="52" s="1" a="1"/>
  <c r="BU64" i="52" s="1"/>
  <c r="BP64" i="52" a="1"/>
  <c r="BP64" i="52" s="1"/>
  <c r="BQ64" i="52" s="1" a="1"/>
  <c r="BQ64" i="52" s="1"/>
  <c r="BR64" i="52" s="1" a="1"/>
  <c r="BR64" i="52" s="1"/>
  <c r="BU20" i="52" a="1"/>
  <c r="BU20" i="52" s="1"/>
  <c r="AX63" i="52" a="1"/>
  <c r="AX63" i="52" s="1"/>
  <c r="AY63" i="52" s="1" a="1"/>
  <c r="AY63" i="52" s="1"/>
  <c r="AZ63" i="52" s="1" a="1"/>
  <c r="AZ63" i="52" s="1"/>
  <c r="BB63" i="52" a="1"/>
  <c r="BB63" i="52" s="1"/>
  <c r="BC63" i="52" s="1" a="1"/>
  <c r="BC63" i="52" s="1"/>
  <c r="AX57" i="52" a="1"/>
  <c r="AX57" i="52" s="1"/>
  <c r="BB57" i="52" a="1"/>
  <c r="BB57" i="52" s="1"/>
  <c r="BC57" i="52" s="1" a="1"/>
  <c r="BC57" i="52" s="1"/>
  <c r="BB61" i="52" a="1"/>
  <c r="BB61" i="52" s="1"/>
  <c r="BC61" i="52" s="1" a="1"/>
  <c r="BC61" i="52" s="1"/>
  <c r="BP13" i="52" a="1"/>
  <c r="BP13" i="52" s="1"/>
  <c r="BT13" i="52" a="1"/>
  <c r="BT13" i="52" s="1"/>
  <c r="BU13" i="52" s="1" a="1"/>
  <c r="BU13" i="52" s="1"/>
  <c r="BT12" i="52" a="1"/>
  <c r="BT12" i="52" s="1"/>
  <c r="BU12" i="52" s="1" a="1"/>
  <c r="BU12" i="52" s="1"/>
  <c r="BP65" i="52" a="1"/>
  <c r="BP65" i="52" s="1"/>
  <c r="BT65" i="52" a="1"/>
  <c r="BT65" i="52" s="1"/>
  <c r="BU65" i="52" s="1" a="1"/>
  <c r="BU65" i="52" s="1"/>
  <c r="AX32" i="52" a="1"/>
  <c r="AX32" i="52" s="1"/>
  <c r="AY32" i="52" s="1" a="1"/>
  <c r="AY32" i="52" s="1"/>
  <c r="AZ32" i="52" s="1" a="1"/>
  <c r="AZ32" i="52" s="1"/>
  <c r="BB32" i="52" a="1"/>
  <c r="BB32" i="52" s="1"/>
  <c r="BC32" i="52" s="1" a="1"/>
  <c r="BC32" i="52" s="1"/>
  <c r="AX46" i="52" a="1"/>
  <c r="AX46" i="52" s="1"/>
  <c r="AY46" i="52" s="1" a="1"/>
  <c r="AY46" i="52" s="1"/>
  <c r="AZ46" i="52" s="1" a="1"/>
  <c r="AZ46" i="52" s="1"/>
  <c r="BB46" i="52" a="1"/>
  <c r="BB46" i="52" s="1"/>
  <c r="BC46" i="52" s="1" a="1"/>
  <c r="BC46" i="52" s="1"/>
  <c r="BB50" i="52" a="1"/>
  <c r="BB50" i="52" s="1"/>
  <c r="BC50" i="52" s="1" a="1"/>
  <c r="BC50" i="52" s="1"/>
  <c r="AJ31" i="52" a="1"/>
  <c r="AJ31" i="52" s="1"/>
  <c r="AK31" i="52" s="1" a="1"/>
  <c r="AK31" i="52" s="1"/>
  <c r="AF32" i="52" a="1"/>
  <c r="AF32" i="52" s="1"/>
  <c r="AG32" i="52" s="1" a="1"/>
  <c r="AG32" i="52" s="1"/>
  <c r="AH32" i="52" s="1" a="1"/>
  <c r="AH32" i="52" s="1"/>
  <c r="AJ32" i="52" a="1"/>
  <c r="AJ32" i="52" s="1"/>
  <c r="AK32" i="52" s="1" a="1"/>
  <c r="AK32" i="52" s="1"/>
  <c r="AX23" i="52" a="1"/>
  <c r="AX23" i="52" s="1"/>
  <c r="AY23" i="52" s="1" a="1"/>
  <c r="AY23" i="52" s="1"/>
  <c r="AZ23" i="52" s="1" a="1"/>
  <c r="AZ23" i="52" s="1"/>
  <c r="BB23" i="52" a="1"/>
  <c r="BB23" i="52" s="1"/>
  <c r="BC23" i="52" s="1" a="1"/>
  <c r="BC23" i="52" s="1"/>
  <c r="BB27" i="52" a="1"/>
  <c r="BB27" i="52" s="1"/>
  <c r="BC27" i="52" s="1" a="1"/>
  <c r="BC27" i="52" s="1"/>
  <c r="BZ49" i="52" a="1"/>
  <c r="BZ49" i="52" s="1"/>
  <c r="CA49" i="52" s="1" a="1"/>
  <c r="CA49" i="52" s="1"/>
  <c r="AY14" i="52" a="1"/>
  <c r="AY14" i="52" s="1"/>
  <c r="AZ14" i="52" s="1" a="1"/>
  <c r="AZ14" i="52" s="1"/>
  <c r="AY13" i="52" a="1"/>
  <c r="AY13" i="52" s="1"/>
  <c r="AZ13" i="52" s="1" a="1"/>
  <c r="AZ13" i="52" s="1"/>
  <c r="BH62" i="52" a="1"/>
  <c r="BH62" i="52" s="1"/>
  <c r="BI62" i="52" s="1" a="1"/>
  <c r="BI62" i="52" s="1"/>
  <c r="BH28" i="52" a="1"/>
  <c r="BH28" i="52" s="1"/>
  <c r="BI28" i="52" s="1" a="1"/>
  <c r="BI28" i="52" s="1"/>
  <c r="BP37" i="52" a="1"/>
  <c r="BP37" i="52" s="1"/>
  <c r="BQ37" i="52" s="1" a="1"/>
  <c r="BQ37" i="52" s="1"/>
  <c r="BR37" i="52" s="1" a="1"/>
  <c r="BR37" i="52" s="1"/>
  <c r="BT37" i="52" a="1"/>
  <c r="BT37" i="52" s="1"/>
  <c r="BU37" i="52" s="1" a="1"/>
  <c r="BU37" i="52" s="1"/>
  <c r="BT16" i="52" a="1"/>
  <c r="BT16" i="52" s="1"/>
  <c r="BU16" i="52" s="1" a="1"/>
  <c r="BU16" i="52" s="1"/>
  <c r="BP16" i="52" a="1"/>
  <c r="BP16" i="52" s="1"/>
  <c r="BQ16" i="52" s="1" a="1"/>
  <c r="BQ16" i="52" s="1"/>
  <c r="BH23" i="52" a="1"/>
  <c r="BH23" i="52" s="1"/>
  <c r="BI23" i="52" s="1" a="1"/>
  <c r="BI23" i="52" s="1"/>
  <c r="BH27" i="52" a="1"/>
  <c r="BH27" i="52" s="1"/>
  <c r="BI27" i="52" s="1" a="1"/>
  <c r="BI27" i="52" s="1"/>
  <c r="BH58" i="52" a="1"/>
  <c r="BH58" i="52" s="1"/>
  <c r="BI58" i="52" s="1" a="1"/>
  <c r="BI58" i="52" s="1"/>
  <c r="AJ40" i="52" a="1"/>
  <c r="AJ40" i="52" s="1"/>
  <c r="AK40" i="52" s="1" a="1"/>
  <c r="AK40" i="52" s="1"/>
  <c r="BZ36" i="52" a="1"/>
  <c r="BZ36" i="52" s="1"/>
  <c r="CA36" i="52" s="1" a="1"/>
  <c r="CA36" i="52" s="1"/>
  <c r="AP26" i="52" a="1"/>
  <c r="AP26" i="52" s="1"/>
  <c r="AQ26" i="52" s="1" a="1"/>
  <c r="AQ26" i="52" s="1"/>
  <c r="AF20" i="52" a="1"/>
  <c r="AF20" i="52" s="1"/>
  <c r="AG20" i="52" s="1" a="1"/>
  <c r="AG20" i="52" s="1"/>
  <c r="AH20" i="52" s="1" a="1"/>
  <c r="AH20" i="52" s="1"/>
  <c r="AJ20" i="52" a="1"/>
  <c r="AJ20" i="52" s="1"/>
  <c r="AK20" i="52" s="1" a="1"/>
  <c r="AK20" i="52" s="1"/>
  <c r="BT61" i="52" a="1"/>
  <c r="BT61" i="52" s="1"/>
  <c r="BU61" i="52" s="1" a="1"/>
  <c r="BU61" i="52" s="1"/>
  <c r="BP61" i="52" a="1"/>
  <c r="BP61" i="52" s="1"/>
  <c r="BQ61" i="52" s="1" a="1"/>
  <c r="BQ61" i="52" s="1"/>
  <c r="BR61" i="52" s="1" a="1"/>
  <c r="BR61" i="52" s="1"/>
  <c r="BQ43" i="52" a="1"/>
  <c r="BQ43" i="52" s="1"/>
  <c r="BP51" i="52" a="1"/>
  <c r="BP51" i="52" s="1"/>
  <c r="BQ51" i="52" s="1" a="1"/>
  <c r="BQ51" i="52" s="1"/>
  <c r="BR51" i="52" s="1" a="1"/>
  <c r="BR51" i="52" s="1"/>
  <c r="BT51" i="52" a="1"/>
  <c r="BT51" i="52" s="1"/>
  <c r="BU51" i="52" s="1" a="1"/>
  <c r="BU51" i="52" s="1"/>
  <c r="BP42" i="52" a="1"/>
  <c r="BP42" i="52" s="1"/>
  <c r="BQ42" i="52" s="1" a="1"/>
  <c r="BQ42" i="52" s="1"/>
  <c r="BR42" i="52" s="1" a="1"/>
  <c r="BR42" i="52" s="1"/>
  <c r="BT42" i="52" a="1"/>
  <c r="BT42" i="52" s="1"/>
  <c r="BU42" i="52" s="1" a="1"/>
  <c r="BU42" i="52" s="1"/>
  <c r="BH24" i="52" a="1"/>
  <c r="BH24" i="52" s="1"/>
  <c r="BI24" i="52" s="1" a="1"/>
  <c r="BI24" i="52" s="1"/>
  <c r="AF65" i="52" a="1"/>
  <c r="AF65" i="52" s="1"/>
  <c r="AG65" i="52" s="1" a="1"/>
  <c r="AG65" i="52" s="1"/>
  <c r="AH65" i="52" s="1" a="1"/>
  <c r="AH65" i="52" s="1"/>
  <c r="AJ65" i="52" a="1"/>
  <c r="AJ65" i="52" s="1"/>
  <c r="AK65" i="52" s="1" a="1"/>
  <c r="AK65" i="52" s="1"/>
  <c r="BP41" i="52" a="1"/>
  <c r="BP41" i="52" s="1"/>
  <c r="BQ41" i="52" s="1" a="1"/>
  <c r="BQ41" i="52" s="1"/>
  <c r="BR41" i="52" s="1" a="1"/>
  <c r="BR41" i="52" s="1"/>
  <c r="BT41" i="52" a="1"/>
  <c r="BT41" i="52" s="1"/>
  <c r="BU41" i="52" s="1" a="1"/>
  <c r="BU41" i="52" s="1"/>
  <c r="AZ17" i="52" a="1"/>
  <c r="AZ17" i="52" s="1"/>
  <c r="BU48" i="52" a="1"/>
  <c r="BU48" i="52" s="1"/>
  <c r="BB37" i="52" a="1"/>
  <c r="BB37" i="52" s="1"/>
  <c r="BC37" i="52" s="1" a="1"/>
  <c r="BC37" i="52" s="1"/>
  <c r="AX37" i="52" a="1"/>
  <c r="AX37" i="52" s="1"/>
  <c r="AY37" i="52" s="1" a="1"/>
  <c r="AY37" i="52" s="1"/>
  <c r="AZ37" i="52" s="1" a="1"/>
  <c r="AZ37" i="52" s="1"/>
  <c r="AK19" i="52" a="1"/>
  <c r="AK19" i="52" s="1"/>
  <c r="BP15" i="52" a="1"/>
  <c r="BP15" i="52" s="1"/>
  <c r="BT15" i="52" a="1"/>
  <c r="BT15" i="52" s="1"/>
  <c r="BU15" i="52" s="1" a="1"/>
  <c r="BU15" i="52" s="1"/>
  <c r="AG60" i="52" a="1"/>
  <c r="AG60" i="52" s="1"/>
  <c r="AH60" i="52" s="1" a="1"/>
  <c r="AH60" i="52" s="1"/>
  <c r="BI22" i="52" a="1"/>
  <c r="BI22" i="52" s="1"/>
  <c r="BH34" i="52" a="1"/>
  <c r="BH34" i="52" s="1"/>
  <c r="BI34" i="52" s="1" a="1"/>
  <c r="BI34" i="52" s="1"/>
  <c r="AJ56" i="52" a="1"/>
  <c r="AJ56" i="52" s="1"/>
  <c r="AK56" i="52" s="1" a="1"/>
  <c r="AK56" i="52" s="1"/>
  <c r="AF56" i="52" a="1"/>
  <c r="AF56" i="52" s="1"/>
  <c r="AG56" i="52" s="1" a="1"/>
  <c r="AG56" i="52" s="1"/>
  <c r="AH56" i="52" s="1" a="1"/>
  <c r="AH56" i="52" s="1"/>
  <c r="AJ15" i="52" a="1"/>
  <c r="AJ15" i="52" s="1"/>
  <c r="AK15" i="52" s="1" a="1"/>
  <c r="AK15" i="52" s="1"/>
  <c r="AF15" i="52" a="1"/>
  <c r="AF15" i="52" s="1"/>
  <c r="AJ17" i="52" a="1"/>
  <c r="AJ17" i="52" s="1"/>
  <c r="AK17" i="52" s="1" a="1"/>
  <c r="AK17" i="52" s="1"/>
  <c r="BB55" i="52" a="1"/>
  <c r="BB55" i="52" s="1"/>
  <c r="BC55" i="52" s="1" a="1"/>
  <c r="BC55" i="52" s="1"/>
  <c r="AX55" i="52" a="1"/>
  <c r="AX55" i="52" s="1"/>
  <c r="AY55" i="52" s="1" a="1"/>
  <c r="AY55" i="52" s="1"/>
  <c r="AZ55" i="52" s="1" a="1"/>
  <c r="AZ55" i="52" s="1"/>
  <c r="BP17" i="52" a="1"/>
  <c r="BP17" i="52" s="1"/>
  <c r="BQ17" i="52" s="1" a="1"/>
  <c r="BQ17" i="52" s="1"/>
  <c r="BR17" i="52" s="1" a="1"/>
  <c r="BR17" i="52" s="1"/>
  <c r="BT17" i="52" a="1"/>
  <c r="BT17" i="52" s="1"/>
  <c r="BU17" i="52" s="1" a="1"/>
  <c r="BU17" i="52" s="1"/>
  <c r="BH25" i="52" a="1"/>
  <c r="BH25" i="52" s="1"/>
  <c r="BI25" i="52" s="1" a="1"/>
  <c r="BI25" i="52" s="1"/>
  <c r="AJ29" i="52" a="1"/>
  <c r="AJ29" i="52" s="1"/>
  <c r="AK29" i="52" s="1" a="1"/>
  <c r="AK29" i="52" s="1"/>
  <c r="AF29" i="52" a="1"/>
  <c r="AF29" i="52" s="1"/>
  <c r="AG29" i="52" s="1" a="1"/>
  <c r="AG29" i="52" s="1"/>
  <c r="AH29" i="52" s="1" a="1"/>
  <c r="AH29" i="52" s="1"/>
  <c r="BB33" i="52" a="1"/>
  <c r="BB33" i="52" s="1"/>
  <c r="BC33" i="52" s="1" a="1"/>
  <c r="BC33" i="52" s="1"/>
  <c r="AX33" i="52" a="1"/>
  <c r="AX33" i="52" s="1"/>
  <c r="AY33" i="52" s="1" a="1"/>
  <c r="AY33" i="52" s="1"/>
  <c r="AZ33" i="52" s="1" a="1"/>
  <c r="AZ33" i="52" s="1"/>
  <c r="BZ22" i="52" a="1"/>
  <c r="BZ22" i="52" s="1"/>
  <c r="CA22" i="52" s="1" a="1"/>
  <c r="CA22" i="52" s="1"/>
  <c r="BH33" i="52" a="1"/>
  <c r="BH33" i="52" s="1"/>
  <c r="BI33" i="52" s="1" a="1"/>
  <c r="BI33" i="52" s="1"/>
  <c r="AP61" i="52" a="1"/>
  <c r="AP61" i="52" s="1"/>
  <c r="AQ61" i="52" s="1" a="1"/>
  <c r="AQ61" i="52" s="1"/>
  <c r="AQ51" i="52" a="1"/>
  <c r="AQ51" i="52" s="1"/>
  <c r="AP43" i="52" a="1"/>
  <c r="AP43" i="52" s="1"/>
  <c r="AQ43" i="52" s="1" a="1"/>
  <c r="AQ43" i="52" s="1"/>
  <c r="AP21" i="52" a="1"/>
  <c r="AP21" i="52" s="1"/>
  <c r="AQ21" i="52" s="1" a="1"/>
  <c r="AQ21" i="52" s="1"/>
  <c r="AJ14" i="52" a="1"/>
  <c r="AJ14" i="52" s="1"/>
  <c r="AK14" i="52" s="1" a="1"/>
  <c r="AK14" i="52" s="1"/>
  <c r="BT44" i="52" a="1"/>
  <c r="BT44" i="52" s="1"/>
  <c r="BU44" i="52" s="1" a="1"/>
  <c r="BU44" i="52" s="1"/>
  <c r="BP44" i="52" a="1"/>
  <c r="BP44" i="52" s="1"/>
  <c r="BQ44" i="52" s="1" a="1"/>
  <c r="BQ44" i="52" s="1"/>
  <c r="BR44" i="52" s="1" a="1"/>
  <c r="BR44" i="52" s="1"/>
  <c r="AX35" i="52" a="1"/>
  <c r="AX35" i="52" s="1"/>
  <c r="AY35" i="52" s="1" a="1"/>
  <c r="AY35" i="52" s="1"/>
  <c r="AZ35" i="52" s="1" a="1"/>
  <c r="AZ35" i="52" s="1"/>
  <c r="BB35" i="52" a="1"/>
  <c r="BB35" i="52" s="1"/>
  <c r="BC35" i="52" s="1" a="1"/>
  <c r="BC35" i="52" s="1"/>
  <c r="AP53" i="52" a="1"/>
  <c r="AP53" i="52" s="1"/>
  <c r="AQ53" i="52" s="1" a="1"/>
  <c r="AQ53" i="52" s="1"/>
  <c r="AF36" i="52" a="1"/>
  <c r="AF36" i="52" s="1"/>
  <c r="AG36" i="52" s="1" a="1"/>
  <c r="AG36" i="52" s="1"/>
  <c r="AH36" i="52" s="1" a="1"/>
  <c r="AH36" i="52" s="1"/>
  <c r="AJ36" i="52" a="1"/>
  <c r="AJ36" i="52" s="1"/>
  <c r="AK36" i="52" s="1" a="1"/>
  <c r="AK36" i="52" s="1"/>
  <c r="AJ61" i="52" a="1"/>
  <c r="AJ61" i="52" s="1"/>
  <c r="AK61" i="52" s="1" a="1"/>
  <c r="AK61" i="52" s="1"/>
  <c r="AF61" i="52" a="1"/>
  <c r="AF61" i="52" s="1"/>
  <c r="AG61" i="52" s="1" a="1"/>
  <c r="AG61" i="52" s="1"/>
  <c r="AH61" i="52" s="1" a="1"/>
  <c r="AH61" i="52" s="1"/>
  <c r="AK51" i="52" a="1"/>
  <c r="AK51" i="52" s="1"/>
  <c r="AJ43" i="52" a="1"/>
  <c r="AJ43" i="52" s="1"/>
  <c r="AK43" i="52" s="1" a="1"/>
  <c r="AK43" i="52" s="1"/>
  <c r="BT38" i="52" a="1"/>
  <c r="BT38" i="52" s="1"/>
  <c r="BU38" i="52" s="1" a="1"/>
  <c r="BU38" i="52" s="1"/>
  <c r="BP38" i="52" a="1"/>
  <c r="BP38" i="52" s="1"/>
  <c r="BQ38" i="52" s="1" a="1"/>
  <c r="BQ38" i="52" s="1"/>
  <c r="BR38" i="52" s="1" a="1"/>
  <c r="BR38" i="52" s="1"/>
  <c r="BT50" i="52" a="1"/>
  <c r="BT50" i="52" s="1"/>
  <c r="BU50" i="52" s="1" a="1"/>
  <c r="BU50" i="52" s="1"/>
  <c r="BP50" i="52" a="1"/>
  <c r="BP50" i="52" s="1"/>
  <c r="BQ50" i="52" s="1" a="1"/>
  <c r="BQ50" i="52" s="1"/>
  <c r="BR50" i="52" s="1" a="1"/>
  <c r="BR50" i="52" s="1"/>
  <c r="BT53" i="52" a="1"/>
  <c r="BT53" i="52" s="1"/>
  <c r="BU53" i="52" s="1" a="1"/>
  <c r="BU53" i="52" s="1"/>
  <c r="AJ21" i="52" a="1"/>
  <c r="AJ21" i="52" s="1"/>
  <c r="AK21" i="52" s="1" a="1"/>
  <c r="AK21" i="52" s="1"/>
  <c r="AF21" i="52" a="1"/>
  <c r="AF21" i="52" s="1"/>
  <c r="AG21" i="52" s="1" a="1"/>
  <c r="AG21" i="52" s="1"/>
  <c r="AH21" i="52" s="1" a="1"/>
  <c r="AH21" i="52" s="1"/>
  <c r="AJ55" i="52" a="1"/>
  <c r="AJ55" i="52" s="1"/>
  <c r="AK55" i="52" s="1" a="1"/>
  <c r="AK55" i="52" s="1"/>
  <c r="AJ54" i="52" a="1"/>
  <c r="AJ54" i="52" s="1"/>
  <c r="AK54" i="52" s="1" a="1"/>
  <c r="AK54" i="52" s="1"/>
  <c r="AF55" i="52" a="1"/>
  <c r="AF55" i="52" s="1"/>
  <c r="AG55" i="52" s="1" a="1"/>
  <c r="AG55" i="52" s="1"/>
  <c r="AH55" i="52" s="1" a="1"/>
  <c r="AH55" i="52" s="1"/>
  <c r="AQ38" i="52" a="1"/>
  <c r="AQ38" i="52" s="1"/>
  <c r="AP65" i="52" a="1"/>
  <c r="AP65" i="52" s="1"/>
  <c r="AQ65" i="52" s="1" a="1"/>
  <c r="AQ65" i="52" s="1"/>
  <c r="BB30" i="52" a="1"/>
  <c r="BB30" i="52" s="1"/>
  <c r="BC30" i="52" s="1" a="1"/>
  <c r="BC30" i="52" s="1"/>
  <c r="AX30" i="52" a="1"/>
  <c r="AX30" i="52" s="1"/>
  <c r="AY30" i="52" s="1" a="1"/>
  <c r="AY30" i="52" s="1"/>
  <c r="AZ30" i="52" s="1" a="1"/>
  <c r="AZ30" i="52" s="1"/>
  <c r="BB25" i="52" a="1"/>
  <c r="BB25" i="52" s="1"/>
  <c r="BC25" i="52" s="1" a="1"/>
  <c r="BC25" i="52" s="1"/>
  <c r="AX25" i="52" a="1"/>
  <c r="AX25" i="52" s="1"/>
  <c r="AY25" i="52" s="1" a="1"/>
  <c r="AY25" i="52" s="1"/>
  <c r="AZ25" i="52" s="1" a="1"/>
  <c r="AZ25" i="52" s="1"/>
  <c r="AP40" i="52" a="1"/>
  <c r="AP40" i="52" s="1"/>
  <c r="AQ40" i="52" s="1" a="1"/>
  <c r="AQ40" i="52" s="1"/>
  <c r="BP63" i="52" a="1"/>
  <c r="BP63" i="52" s="1"/>
  <c r="BQ63" i="52" s="1" a="1"/>
  <c r="BQ63" i="52" s="1"/>
  <c r="BR63" i="52" s="1" a="1"/>
  <c r="BR63" i="52" s="1"/>
  <c r="BT63" i="52" a="1"/>
  <c r="BT63" i="52" s="1"/>
  <c r="BU63" i="52" s="1" a="1"/>
  <c r="BU63" i="52" s="1"/>
  <c r="BP23" i="52" a="1"/>
  <c r="BP23" i="52" s="1"/>
  <c r="BQ23" i="52" s="1" a="1"/>
  <c r="BQ23" i="52" s="1"/>
  <c r="BR23" i="52" s="1" a="1"/>
  <c r="BR23" i="52" s="1"/>
  <c r="BT23" i="52" a="1"/>
  <c r="BT23" i="52" s="1"/>
  <c r="BU23" i="52" s="1" a="1"/>
  <c r="BU23" i="52" s="1"/>
  <c r="BI64" i="52" a="1"/>
  <c r="BI64" i="52" s="1"/>
  <c r="BQ65" i="52" l="1" a="1"/>
  <c r="BQ65" i="52" s="1"/>
  <c r="BR65" i="52" s="1" a="1"/>
  <c r="BR65" i="52" s="1"/>
  <c r="AZ49" i="52" a="1"/>
  <c r="AZ49" i="52" s="1"/>
  <c r="BQ15" i="52" a="1"/>
  <c r="BQ15" i="52" s="1"/>
  <c r="BR15" i="52" s="1" a="1"/>
  <c r="BR15" i="52" s="1"/>
  <c r="AH12" i="52" a="1"/>
  <c r="AH12" i="52" s="1"/>
  <c r="C91" i="52" s="1" a="1"/>
  <c r="C91" i="52" s="1"/>
  <c r="C92" i="52" s="1" a="1"/>
  <c r="C92" i="52" s="1"/>
  <c r="C93" i="52" s="1" a="1"/>
  <c r="C93" i="52" s="1"/>
  <c r="C94" i="52" s="1" a="1"/>
  <c r="C94" i="52" s="1"/>
  <c r="C95" i="52" s="1" a="1"/>
  <c r="C95" i="52" s="1"/>
  <c r="C96" i="52" s="1" a="1"/>
  <c r="C96" i="52" s="1"/>
  <c r="C97" i="52" s="1" a="1"/>
  <c r="C97" i="52" s="1"/>
  <c r="C98" i="52" s="1" a="1"/>
  <c r="C98" i="52" s="1"/>
  <c r="C99" i="52" s="1" a="1"/>
  <c r="C99" i="52" s="1"/>
  <c r="C100" i="52" s="1" a="1"/>
  <c r="C100" i="52" s="1"/>
  <c r="C101" i="52" s="1" a="1"/>
  <c r="C101" i="52" s="1"/>
  <c r="C102" i="52" s="1" a="1"/>
  <c r="C102" i="52" s="1"/>
  <c r="C103" i="52" s="1" a="1"/>
  <c r="C103" i="52" s="1"/>
  <c r="C104" i="52" s="1" a="1"/>
  <c r="C104" i="52" s="1"/>
  <c r="C105" i="52" s="1" a="1"/>
  <c r="C105" i="52" s="1"/>
  <c r="C106" i="52" s="1" a="1"/>
  <c r="C106" i="52" s="1"/>
  <c r="C107" i="52" s="1" a="1"/>
  <c r="C107" i="52" s="1"/>
  <c r="C108" i="52" s="1" a="1"/>
  <c r="C108" i="52" s="1"/>
  <c r="C109" i="52" s="1" a="1"/>
  <c r="C109" i="52" s="1"/>
  <c r="C110" i="52" s="1" a="1"/>
  <c r="C110" i="52" s="1"/>
  <c r="C111" i="52" s="1" a="1"/>
  <c r="C111" i="52" s="1"/>
  <c r="C112" i="52" s="1" a="1"/>
  <c r="C112" i="52" s="1"/>
  <c r="C113" i="52" s="1" a="1"/>
  <c r="C113" i="52" s="1"/>
  <c r="C114" i="52" s="1" a="1"/>
  <c r="C114" i="52" s="1"/>
  <c r="C115" i="52" s="1" a="1"/>
  <c r="C115" i="52" s="1"/>
  <c r="C116" i="52" s="1" a="1"/>
  <c r="C116" i="52" s="1"/>
  <c r="C117" i="52" s="1" a="1"/>
  <c r="C117" i="52" s="1"/>
  <c r="C118" i="52" s="1" a="1"/>
  <c r="C118" i="52" s="1"/>
  <c r="C119" i="52" s="1" a="1"/>
  <c r="C119" i="52" s="1"/>
  <c r="C120" i="52" s="1" a="1"/>
  <c r="C120" i="52" s="1"/>
  <c r="C121" i="52" s="1" a="1"/>
  <c r="C121" i="52" s="1"/>
  <c r="C122" i="52" s="1" a="1"/>
  <c r="C122" i="52" s="1"/>
  <c r="C123" i="52" s="1" a="1"/>
  <c r="C123" i="52" s="1"/>
  <c r="C124" i="52" s="1" a="1"/>
  <c r="C124" i="52" s="1"/>
  <c r="C125" i="52" s="1" a="1"/>
  <c r="C125" i="52" s="1"/>
  <c r="AY59" i="52" a="1"/>
  <c r="AY59" i="52" s="1"/>
  <c r="AZ59" i="52" s="1" a="1"/>
  <c r="AZ59" i="52" s="1"/>
  <c r="BR43" i="52" a="1"/>
  <c r="BR43" i="52" s="1"/>
  <c r="BR16" i="52" a="1"/>
  <c r="BR16" i="52" s="1"/>
  <c r="AY53" i="52" a="1"/>
  <c r="AY53" i="52" s="1"/>
  <c r="AZ53" i="52" s="1" a="1"/>
  <c r="AZ53" i="52" s="1"/>
  <c r="BQ13" i="52" a="1"/>
  <c r="BQ13" i="52" s="1"/>
  <c r="BR13" i="52" s="1" a="1"/>
  <c r="BR13" i="52" s="1"/>
  <c r="BQ12" i="52" a="1"/>
  <c r="BQ12" i="52" s="1"/>
  <c r="BR12" i="52" s="1" a="1"/>
  <c r="BR12" i="52" s="1"/>
  <c r="AZ51" i="52" a="1"/>
  <c r="AZ51" i="52" s="1"/>
  <c r="BQ56" i="52" a="1"/>
  <c r="BQ56" i="52" s="1"/>
  <c r="BR56" i="52" s="1" a="1"/>
  <c r="BR56" i="52" s="1"/>
  <c r="AG15" i="52" a="1"/>
  <c r="AG15" i="52" s="1"/>
  <c r="AH15" i="52" s="1" a="1"/>
  <c r="AH15" i="52" s="1"/>
  <c r="AG17" i="52" a="1"/>
  <c r="AG17" i="52" s="1"/>
  <c r="AH17" i="52" s="1" a="1"/>
  <c r="AH17" i="52" s="1"/>
  <c r="AY57" i="52" a="1"/>
  <c r="AY57" i="52" s="1"/>
  <c r="AZ57" i="52" s="1" a="1"/>
  <c r="AZ57" i="52" s="1"/>
  <c r="AY61" i="52" a="1"/>
  <c r="AY61" i="52" s="1"/>
  <c r="AZ61" i="52" s="1" a="1"/>
  <c r="AZ61" i="52" s="1"/>
  <c r="AG14" i="52" a="1"/>
  <c r="AG14" i="52" s="1"/>
  <c r="AH14" i="52" s="1" a="1"/>
  <c r="AH14" i="52" s="1"/>
  <c r="AY47" i="52" a="1"/>
  <c r="AY47" i="52" s="1"/>
  <c r="AZ47" i="52" s="1" a="1"/>
  <c r="AZ47" i="52" s="1"/>
  <c r="BQ54" i="52" a="1"/>
  <c r="BQ54" i="52" s="1"/>
  <c r="BR54" i="52" s="1" a="1"/>
  <c r="BR54" i="52" s="1"/>
  <c r="BQ45" i="52" a="1"/>
  <c r="BQ45" i="52" s="1"/>
  <c r="BR45" i="52" s="1" a="1"/>
  <c r="BR45" i="52" s="1"/>
  <c r="C126" i="52" l="1" a="1"/>
  <c r="C126" i="52" s="1"/>
  <c r="C127" i="52" s="1" a="1"/>
  <c r="C127" i="52" s="1"/>
  <c r="C128" i="52" s="1" a="1"/>
  <c r="C128" i="52" s="1"/>
  <c r="C129" i="52" s="1" a="1"/>
  <c r="C129" i="52" s="1"/>
  <c r="C130" i="52" s="1" a="1"/>
  <c r="C130" i="52" s="1"/>
  <c r="C131" i="52" s="1" a="1"/>
  <c r="C131" i="52" s="1"/>
  <c r="C132" i="52" s="1" a="1"/>
  <c r="C132" i="52" s="1"/>
  <c r="C133" i="52" s="1" a="1"/>
  <c r="C133" i="52" s="1"/>
  <c r="C134" i="52" s="1" a="1"/>
  <c r="C134" i="52" s="1"/>
  <c r="C135" i="52" s="1" a="1"/>
  <c r="C135" i="52" s="1"/>
  <c r="C136" i="52" s="1" a="1"/>
  <c r="C136" i="5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<sst xmlns="http://schemas.openxmlformats.org/spreadsheetml/2006/main" count="7967" uniqueCount="192">
  <si>
    <t>X</t>
  </si>
  <si>
    <t>X'</t>
  </si>
  <si>
    <t>X2</t>
  </si>
  <si>
    <t>Y</t>
  </si>
  <si>
    <t>Y'</t>
  </si>
  <si>
    <t>Y2</t>
  </si>
  <si>
    <t>Z</t>
  </si>
  <si>
    <t>Z'</t>
  </si>
  <si>
    <t>Z2</t>
  </si>
  <si>
    <t>Y' X'</t>
  </si>
  <si>
    <t>Y' X</t>
  </si>
  <si>
    <t>Z2 X</t>
  </si>
  <si>
    <t>Z2 X'</t>
  </si>
  <si>
    <t>T-reflection</t>
  </si>
  <si>
    <t>X T-reflection</t>
  </si>
  <si>
    <t>X' T-reflection</t>
  </si>
  <si>
    <t>X2 T-reflection</t>
  </si>
  <si>
    <t>Y T-reflection</t>
  </si>
  <si>
    <t>Y' T-reflection</t>
  </si>
  <si>
    <t>Y2 T-reflection</t>
  </si>
  <si>
    <t>Z T-reflection</t>
  </si>
  <si>
    <t>Z' T-reflection</t>
  </si>
  <si>
    <t>Z2 T-reflection</t>
  </si>
  <si>
    <t>Y' X' T-reflection</t>
  </si>
  <si>
    <t>Y' X T-reflection</t>
  </si>
  <si>
    <t>Z2 X T-reflection</t>
  </si>
  <si>
    <t>Z2 X' T-reflection</t>
  </si>
  <si>
    <t>R</t>
  </si>
  <si>
    <t>L'</t>
  </si>
  <si>
    <t>R'</t>
  </si>
  <si>
    <t>L</t>
  </si>
  <si>
    <t>R2</t>
  </si>
  <si>
    <t>L2</t>
  </si>
  <si>
    <t>a</t>
  </si>
  <si>
    <t>b</t>
  </si>
  <si>
    <t>c</t>
  </si>
  <si>
    <t>d</t>
  </si>
  <si>
    <t>A</t>
  </si>
  <si>
    <t>B</t>
  </si>
  <si>
    <t>C</t>
  </si>
  <si>
    <t>D</t>
  </si>
  <si>
    <t>orig</t>
  </si>
  <si>
    <t>H-reflection</t>
  </si>
  <si>
    <t>S-reflection</t>
  </si>
  <si>
    <t>l</t>
  </si>
  <si>
    <t>F</t>
  </si>
  <si>
    <t>r</t>
  </si>
  <si>
    <t>f</t>
  </si>
  <si>
    <t>T</t>
  </si>
  <si>
    <t>T'</t>
  </si>
  <si>
    <t>R'L</t>
  </si>
  <si>
    <t>S</t>
  </si>
  <si>
    <t>H'</t>
  </si>
  <si>
    <t>u</t>
  </si>
  <si>
    <t>U</t>
  </si>
  <si>
    <t>F'</t>
  </si>
  <si>
    <t>D'</t>
  </si>
  <si>
    <t>RL'</t>
  </si>
  <si>
    <t>S'</t>
  </si>
  <si>
    <t>H</t>
  </si>
  <si>
    <t>g</t>
  </si>
  <si>
    <t>G</t>
  </si>
  <si>
    <t>B'</t>
  </si>
  <si>
    <t>U'</t>
  </si>
  <si>
    <t>J</t>
  </si>
  <si>
    <t>F2</t>
  </si>
  <si>
    <t>D2</t>
  </si>
  <si>
    <t>j</t>
  </si>
  <si>
    <t>T2</t>
  </si>
  <si>
    <t>K</t>
  </si>
  <si>
    <t>R2L2</t>
  </si>
  <si>
    <t>S2</t>
  </si>
  <si>
    <t>H2</t>
  </si>
  <si>
    <t>n</t>
  </si>
  <si>
    <t>N</t>
  </si>
  <si>
    <t>B2</t>
  </si>
  <si>
    <t>U2</t>
  </si>
  <si>
    <t>P</t>
  </si>
  <si>
    <t>F'B</t>
  </si>
  <si>
    <t>Q</t>
  </si>
  <si>
    <t>q</t>
  </si>
  <si>
    <t>V</t>
  </si>
  <si>
    <t>FB'</t>
  </si>
  <si>
    <t>F2B2</t>
  </si>
  <si>
    <t>U'D</t>
  </si>
  <si>
    <t>UD'</t>
  </si>
  <si>
    <t>k</t>
  </si>
  <si>
    <t>p</t>
  </si>
  <si>
    <t>v</t>
  </si>
  <si>
    <t>U2D2</t>
  </si>
  <si>
    <t>I</t>
  </si>
  <si>
    <t>used to compare diff xombos of WCRs to each other. To find an equivalent WCR in ALG--YorZ--X format</t>
  </si>
  <si>
    <t>Z X</t>
  </si>
  <si>
    <t>Y X'</t>
  </si>
  <si>
    <t>Z' X</t>
  </si>
  <si>
    <t>Z' X'</t>
  </si>
  <si>
    <t>Y X</t>
  </si>
  <si>
    <t>Z X'</t>
  </si>
  <si>
    <t>Y' X2</t>
  </si>
  <si>
    <t>Y X2</t>
  </si>
  <si>
    <t>Z X2</t>
  </si>
  <si>
    <t>Z' X2</t>
  </si>
  <si>
    <t>r-lower</t>
  </si>
  <si>
    <t>r2-lower</t>
  </si>
  <si>
    <t>r'-lower</t>
  </si>
  <si>
    <t>l-lower</t>
  </si>
  <si>
    <t>l2-lower</t>
  </si>
  <si>
    <t>l'-lower</t>
  </si>
  <si>
    <t>u-lower</t>
  </si>
  <si>
    <t>u2-lower</t>
  </si>
  <si>
    <t>u'-lower</t>
  </si>
  <si>
    <t>d-lower</t>
  </si>
  <si>
    <t>d2-lower</t>
  </si>
  <si>
    <t>d'-lower</t>
  </si>
  <si>
    <t>f-lower</t>
  </si>
  <si>
    <t>f2-lower</t>
  </si>
  <si>
    <t>f'-lower</t>
  </si>
  <si>
    <t>b-lower</t>
  </si>
  <si>
    <t>b2-lower</t>
  </si>
  <si>
    <t>centers</t>
  </si>
  <si>
    <t>white</t>
  </si>
  <si>
    <t>blue</t>
  </si>
  <si>
    <t>red</t>
  </si>
  <si>
    <t>yellow</t>
  </si>
  <si>
    <t>green</t>
  </si>
  <si>
    <t>orange</t>
  </si>
  <si>
    <t>E</t>
  </si>
  <si>
    <t>M</t>
  </si>
  <si>
    <t>O</t>
  </si>
  <si>
    <t>W</t>
  </si>
  <si>
    <t>e</t>
  </si>
  <si>
    <t>h</t>
  </si>
  <si>
    <t>i</t>
  </si>
  <si>
    <t>m</t>
  </si>
  <si>
    <t>o</t>
  </si>
  <si>
    <t>s</t>
  </si>
  <si>
    <t>t</t>
  </si>
  <si>
    <t>w</t>
  </si>
  <si>
    <t>x</t>
  </si>
  <si>
    <t>b'-lower</t>
  </si>
  <si>
    <t>This third table depends only on the FIRST table</t>
  </si>
  <si>
    <t>This second table depends only on the FIRST table</t>
  </si>
  <si>
    <t>I T-reflection</t>
  </si>
  <si>
    <t>Z X T-reflection</t>
  </si>
  <si>
    <t>Y X' T-reflection</t>
  </si>
  <si>
    <t>Z' X T-reflection</t>
  </si>
  <si>
    <t>Z' X' T-reflection</t>
  </si>
  <si>
    <t>Y X T-reflection</t>
  </si>
  <si>
    <t>Z X' T-reflection</t>
  </si>
  <si>
    <t>Y' X2 T-reflection</t>
  </si>
  <si>
    <t>Y X2 T-reflection</t>
  </si>
  <si>
    <t>Z X2 T-reflection</t>
  </si>
  <si>
    <t>Z' X2 T-reflection</t>
  </si>
  <si>
    <t>This fourth table depends on the FIRST table and the THIRD table</t>
  </si>
  <si>
    <t>Alg Turns</t>
  </si>
  <si>
    <t>Reflections</t>
  </si>
  <si>
    <t>TESTING:  Type in a sticker at the top of column C, F, or I.  The result appears at bottom of column. Turn the cube per the turns listed, see if it checks out</t>
  </si>
  <si>
    <t>WCRs</t>
  </si>
  <si>
    <t>Then place the cube gently to the side, no need to turn it again. Type in various letters and see if the results match the actual cube.</t>
  </si>
  <si>
    <t>For reflections, keep track of the sticker in your head and with your pointing finger, as you turn the cube and imagine reflections, since you can't actually reflect the cube. Also, you'll need to turn the cube again if you want to check additional stickers</t>
  </si>
  <si>
    <t>Thoroughly tested.  All Works !!!</t>
  </si>
  <si>
    <t>The "Building Blocks" (Core)  table is all VALUES</t>
  </si>
  <si>
    <t>1 of 4:  "core".     Building Blocks  (trimmed - YES, tested - NO !!!!)</t>
  </si>
  <si>
    <t>3 of 4:   "rotations_24"    Stickers turned by WCRs (24).   The WCRs are listed in Alg--YorZ--X format</t>
  </si>
  <si>
    <t>4 of 4:  "reflections_24"  Stickers turned by WCRs THEN reflected in the T plane (24).   The WCRs are listed in Alg--YorZ--X format</t>
  </si>
  <si>
    <t>2 of 4:  "turns".    Stickers turned by ALGORITHM turns (64 when you include identity)</t>
  </si>
  <si>
    <t>I am copying the VALUES of these 4 tables to 4 different sheets, and re-establishing them in Table format after they get there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</si>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</sst>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i/>
      <sz val="11"/>
      <color theme="1"/>
      <name val="Calibri"/>
      <family val="2"/>
      <scheme val="minor"/>
    </font>
    <font>
      <sz val="10"/>
      <color theme="1"/>
      <name val="Arial"/>
      <family val="2"/>
    </font>
    <font>
      <b/>
      <sz val="16"/>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7" tint="0.79998168889431442"/>
        <bgColor indexed="64"/>
      </patternFill>
    </fill>
  </fills>
  <borders count="16">
    <border>
      <left/>
      <right/>
      <top/>
      <bottom/>
      <diagonal/>
    </border>
    <border>
      <left/>
      <right/>
      <top style="thin">
        <color theme="4" tint="0.39997558519241921"/>
      </top>
      <bottom style="thin">
        <color theme="4" tint="0.39997558519241921"/>
      </bottom>
      <diagonal/>
    </border>
    <border>
      <left/>
      <right/>
      <top/>
      <bottom style="thick">
        <color rgb="FF505050"/>
      </bottom>
      <diagonal/>
    </border>
    <border>
      <left/>
      <right/>
      <top/>
      <bottom style="slantDashDot">
        <color rgb="FF505050"/>
      </bottom>
      <diagonal/>
    </border>
    <border>
      <left/>
      <right/>
      <top style="thin">
        <color theme="4" tint="0.39997558519241921"/>
      </top>
      <bottom style="thick">
        <color rgb="FF505050"/>
      </bottom>
      <diagonal/>
    </border>
    <border>
      <left/>
      <right/>
      <top style="thin">
        <color theme="4" tint="0.39997558519241921"/>
      </top>
      <bottom style="slantDashDot">
        <color rgb="FF505050"/>
      </bottom>
      <diagonal/>
    </border>
    <border>
      <left style="thin">
        <color rgb="FF000000"/>
      </left>
      <right style="thin">
        <color rgb="FF000000"/>
      </right>
      <top style="thin">
        <color rgb="FF000000"/>
      </top>
      <bottom style="thin">
        <color rgb="FF000000"/>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00B050"/>
      </left>
      <right/>
      <top/>
      <bottom/>
      <diagonal/>
    </border>
    <border>
      <left/>
      <right style="thick">
        <color rgb="FF00B050"/>
      </right>
      <top/>
      <bottom/>
      <diagonal/>
    </border>
    <border>
      <left style="thick">
        <color rgb="FF00B050"/>
      </left>
      <right style="thin">
        <color rgb="FF000000"/>
      </right>
      <top style="thin">
        <color rgb="FF000000"/>
      </top>
      <bottom style="thin">
        <color rgb="FF000000"/>
      </bottom>
      <diagonal/>
    </border>
    <border>
      <left style="thick">
        <color rgb="FF00B050"/>
      </left>
      <right style="thin">
        <color rgb="FF000000"/>
      </right>
      <top style="thin">
        <color rgb="FF000000"/>
      </top>
      <bottom style="thick">
        <color rgb="FF00B050"/>
      </bottom>
      <diagonal/>
    </border>
    <border>
      <left/>
      <right/>
      <top/>
      <bottom style="thick">
        <color rgb="FF00B050"/>
      </bottom>
      <diagonal/>
    </border>
    <border>
      <left/>
      <right style="thick">
        <color rgb="FF00B050"/>
      </right>
      <top/>
      <bottom style="thick">
        <color rgb="FF00B050"/>
      </bottom>
      <diagonal/>
    </border>
  </borders>
  <cellStyleXfs count="1">
    <xf numFmtId="0" fontId="0" fillId="0" borderId="0"/>
  </cellStyleXfs>
  <cellXfs count="26">
    <xf numFmtId="0" fontId="0" fillId="0" borderId="0" xfId="0"/>
    <xf numFmtId="0" fontId="2" fillId="0" borderId="0" xfId="0" applyFont="1"/>
    <xf numFmtId="0" fontId="1" fillId="0" borderId="0" xfId="0" applyFont="1"/>
    <xf numFmtId="0" fontId="0" fillId="3" borderId="0" xfId="0" applyFill="1"/>
    <xf numFmtId="0" fontId="0" fillId="0" borderId="1" xfId="0" applyBorder="1"/>
    <xf numFmtId="0" fontId="0" fillId="0" borderId="2" xfId="0" applyBorder="1"/>
    <xf numFmtId="0" fontId="0" fillId="2" borderId="1" xfId="0" applyFill="1" applyBorder="1"/>
    <xf numFmtId="0" fontId="0" fillId="0" borderId="3" xfId="0" applyBorder="1"/>
    <xf numFmtId="0" fontId="0" fillId="0" borderId="4" xfId="0" applyBorder="1"/>
    <xf numFmtId="0" fontId="0" fillId="0" borderId="5" xfId="0" applyBorder="1"/>
    <xf numFmtId="0" fontId="3" fillId="0" borderId="6" xfId="0" applyFont="1" applyBorder="1" applyAlignment="1">
      <alignment wrapText="1" readingOrder="1"/>
    </xf>
    <xf numFmtId="0" fontId="3" fillId="0" borderId="6" xfId="0" applyFont="1" applyBorder="1" applyAlignment="1">
      <alignment readingOrder="1"/>
    </xf>
    <xf numFmtId="0" fontId="2" fillId="0" borderId="7" xfId="0" applyFont="1" applyBorder="1"/>
    <xf numFmtId="0" fontId="0" fillId="0" borderId="8" xfId="0" applyBorder="1"/>
    <xf numFmtId="0" fontId="0" fillId="0" borderId="9" xfId="0" applyBorder="1"/>
    <xf numFmtId="0" fontId="2" fillId="0" borderId="10" xfId="0" applyFont="1" applyBorder="1"/>
    <xf numFmtId="0" fontId="0" fillId="0" borderId="11" xfId="0" applyBorder="1"/>
    <xf numFmtId="0" fontId="0" fillId="0" borderId="10" xfId="0" applyBorder="1"/>
    <xf numFmtId="0" fontId="3" fillId="0" borderId="12" xfId="0" applyFont="1" applyBorder="1" applyAlignment="1">
      <alignment wrapText="1" readingOrder="1"/>
    </xf>
    <xf numFmtId="0" fontId="0" fillId="3" borderId="11" xfId="0" applyFill="1" applyBorder="1"/>
    <xf numFmtId="0" fontId="3" fillId="0" borderId="13" xfId="0" applyFont="1" applyBorder="1" applyAlignment="1">
      <alignment wrapText="1" readingOrder="1"/>
    </xf>
    <xf numFmtId="0" fontId="0" fillId="3" borderId="14" xfId="0" applyFill="1" applyBorder="1"/>
    <xf numFmtId="0" fontId="0" fillId="0" borderId="14" xfId="0" applyBorder="1"/>
    <xf numFmtId="0" fontId="0" fillId="0" borderId="15" xfId="0" applyBorder="1"/>
    <xf numFmtId="0" fontId="0" fillId="4" borderId="0" xfId="0" applyFill="1" applyAlignment="1">
      <alignment horizontal="center" vertical="center"/>
    </xf>
    <xf numFmtId="0" fontId="4" fillId="0" borderId="0" xfId="0" applyFont="1"/>
  </cellXfs>
  <cellStyles count="1">
    <cellStyle name="Normal" xfId="0" builtinId="0"/>
  </cellStyles>
  <dxfs count="1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style="thin">
          <color theme="4" tint="0.39997558519241921"/>
        </bottom>
        <vertical/>
        <horizontal/>
      </border>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style="thin">
          <color theme="4" tint="0.39997558519241921"/>
        </bottom>
        <vertical/>
        <horizontal/>
      </border>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none">
          <fgColor indexed="64"/>
          <bgColor indexed="65"/>
        </patternFill>
      </fill>
    </dxf>
    <dxf>
      <numFmt numFmtId="0" formatCode="General"/>
    </dxf>
    <dxf>
      <numFmt numFmtId="0" formatCode="General"/>
    </dxf>
    <dxf>
      <numFmt numFmtId="0" formatCode="General"/>
    </dxf>
  </dxfs>
  <tableStyles count="0" defaultTableStyle="TableStyleMedium2" defaultPivotStyle="PivotStyleMedium9"/>
  <colors>
    <mruColors>
      <color rgb="FF949494"/>
      <color rgb="FF56E8C6"/>
      <color rgb="FFF36DE9"/>
      <color rgb="FF00D2C7"/>
      <color rgb="FF20E8ED"/>
      <color rgb="FFE85A6D"/>
      <color rgb="FFFF90C7"/>
      <color rgb="FF2B2B2B"/>
      <color rgb="FF7C4A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11DD483-3B0D-6F46-AAD5-56D8117ED13A}" name="Table29" displayName="Table29" ref="B11:L65" totalsRowShown="0">
  <autoFilter ref="B11:L65" xr:uid="{011DD483-3B0D-6F46-AAD5-56D8117ED13A}"/>
  <tableColumns count="11">
    <tableColumn id="1" xr3:uid="{BECF42C2-B58D-4C40-89B9-4850F4F78E77}" name="orig"/>
    <tableColumn id="2" xr3:uid="{E197A54D-9A3B-BF4F-99A2-92A5AC3BF86A}" name="I" dataDxfId="121"/>
    <tableColumn id="3" xr3:uid="{9B38FFE9-183C-2F47-B328-B31D5AEF4390}" name="X"/>
    <tableColumn id="4" xr3:uid="{B939762A-3215-8849-B0E3-D626C1A7571B}" name="Y"/>
    <tableColumn id="5" xr3:uid="{A185D11A-1340-0E48-8D3E-7483078E2929}" name="Z"/>
    <tableColumn id="6" xr3:uid="{91E9E1C6-A17D-4248-A3E1-EE1D9F2D7F18}" name="T-reflection"/>
    <tableColumn id="7" xr3:uid="{72E1C15E-F0B7-2C49-B2D4-4D89964AC498}" name="H-reflection" dataDxfId="120"/>
    <tableColumn id="8" xr3:uid="{93CA208F-3144-154D-A8A6-246EAB44A8EF}" name="S-reflection" dataDxfId="119"/>
    <tableColumn id="9" xr3:uid="{BEA7E283-7AAA-F749-9510-2050E5D8EAFF}" name="R"/>
    <tableColumn id="10" xr3:uid="{43C15D7D-901F-6F4D-B449-36CB9B1CD565}" name="U"/>
    <tableColumn id="11" xr3:uid="{17A86974-7683-FC4A-81DF-FCAA66165999}" name="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FA31CCB-3A16-AE4D-B369-993FE4D32731}" name="Table27" displayName="Table27" ref="O11:CA65" totalsRowShown="0" headerRowDxfId="118" dataDxfId="117">
  <autoFilter ref="O11:CA65" xr:uid="{2FA31CCB-3A16-AE4D-B369-993FE4D32731}"/>
  <tableColumns count="65">
    <tableColumn id="1" xr3:uid="{B39BAA4A-14CD-B04C-9F15-86859BC60635}" name="orig" dataDxfId="116"/>
    <tableColumn id="2" xr3:uid="{E250F5F3-A085-2D45-810C-FDEA45D548E1}" name="I" dataDxfId="115">
      <calculatedColumnFormula>Table27[[#This Row],[orig]]</calculatedColumnFormula>
    </tableColumn>
    <tableColumn id="3" xr3:uid="{8DD1E09F-1945-814E-A287-9033339415B3}" name="X" dataDxfId="114">
      <calculatedColumnFormula>Table29[[#This Row],[X]]</calculatedColumnFormula>
    </tableColumn>
    <tableColumn id="4" xr3:uid="{C19F583A-A1C9-DB40-9168-FC2F469973E0}" name="X2" dataDxfId="113">
      <calculatedColumnFormula array="1">_xlfn.XLOOKUP(TRUE, EXACT(Table27[[#This Row],[X]], Table27[orig]), Table27[X])</calculatedColumnFormula>
    </tableColumn>
    <tableColumn id="5" xr3:uid="{E64A14FB-6C4D-5541-A225-D85CB97E7CDD}" name="X'" dataDxfId="112">
      <calculatedColumnFormula array="1">_xlfn.XLOOKUP(TRUE, EXACT(Table27[[#This Row],[X2]], Table27[orig]), Table27[X])</calculatedColumnFormula>
    </tableColumn>
    <tableColumn id="6" xr3:uid="{CDB3CFC6-27F5-544D-913D-4D67605A61DC}" name="Y" dataDxfId="111">
      <calculatedColumnFormula>Table29[[#This Row],[Y]]</calculatedColumnFormula>
    </tableColumn>
    <tableColumn id="7" xr3:uid="{D78EC91D-B7F2-9840-94D3-BF76B5647261}" name="Y2" dataDxfId="110">
      <calculatedColumnFormula array="1">_xlfn.XLOOKUP(TRUE, EXACT(Table27[[#This Row],[Y]], Table27[orig]), Table27[Y])</calculatedColumnFormula>
    </tableColumn>
    <tableColumn id="8" xr3:uid="{32344B91-6AF1-8E49-B9E0-55223A9A439B}" name="Y'" dataDxfId="109">
      <calculatedColumnFormula array="1">_xlfn.XLOOKUP(TRUE, EXACT(Table27[[#This Row],[Y2]], Table27[orig]), Table27[Y])</calculatedColumnFormula>
    </tableColumn>
    <tableColumn id="9" xr3:uid="{9027E91A-8FB2-5247-A54A-B43E874025EE}" name="Z" dataDxfId="108">
      <calculatedColumnFormula>Table29[[#This Row],[Z]]</calculatedColumnFormula>
    </tableColumn>
    <tableColumn id="10" xr3:uid="{2354E07A-55B1-EC44-B173-9BD6022F11DD}" name="Z2" dataDxfId="107">
      <calculatedColumnFormula array="1">_xlfn.XLOOKUP(TRUE, EXACT(Table27[[#This Row],[Z]], Table27[orig]), Table27[Z])</calculatedColumnFormula>
    </tableColumn>
    <tableColumn id="11" xr3:uid="{A16E2896-1F2D-344B-9E81-5AC217034CB8}" name="Z'" dataDxfId="106">
      <calculatedColumnFormula array="1">_xlfn.XLOOKUP(TRUE, EXACT(Table27[[#This Row],[Z2]], Table27[orig]), Table27[Z])</calculatedColumnFormula>
    </tableColumn>
    <tableColumn id="12" xr3:uid="{7C79441C-55F0-8949-A1BD-9AF75C4B0517}" name="R" dataDxfId="105">
      <calculatedColumnFormula>Table29[[#This Row],[R]]</calculatedColumnFormula>
    </tableColumn>
    <tableColumn id="13" xr3:uid="{F2375C3B-8639-7941-98F4-E7F9B9C8D905}" name="R2" dataDxfId="104">
      <calculatedColumnFormula array="1">_xlfn.XLOOKUP(TRUE, EXACT(Table27[[#This Row],[R]], Table27[orig]), Table27[R])</calculatedColumnFormula>
    </tableColumn>
    <tableColumn id="14" xr3:uid="{27BD7C1E-6318-6948-8745-AD8DE7490369}" name="R'" dataDxfId="103">
      <calculatedColumnFormula array="1">_xlfn.XLOOKUP(TRUE, EXACT(Table27[[#This Row],[R2]], Table27[orig]), Table27[R])</calculatedColumnFormula>
    </tableColumn>
    <tableColumn id="15" xr3:uid="{3342CDC9-5A95-C348-BA5F-AFF5C374E852}" name="L" dataDxfId="102">
      <calculatedColumnFormula array="1">_xlfn.XLOOKUP(TRUE, EXACT(_xlfn.XLOOKUP(TRUE, EXACT(Table27[[#This Row],[Y2]], Table27[orig]), Table27[R]), Table27[orig]), Table27[Y2])</calculatedColumnFormula>
    </tableColumn>
    <tableColumn id="16" xr3:uid="{661459CF-0F58-0340-93BD-84647D8631D9}" name="L2" dataDxfId="101">
      <calculatedColumnFormula array="1">_xlfn.XLOOKUP(TRUE, EXACT(Table27[[#This Row],[L]], Table27[orig]), Table27[L])</calculatedColumnFormula>
    </tableColumn>
    <tableColumn id="17" xr3:uid="{83FE2E89-3936-334D-8835-F0F2F425683B}" name="L'" dataDxfId="100">
      <calculatedColumnFormula array="1">_xlfn.XLOOKUP(TRUE, EXACT(Table27[[#This Row],[L2]], Table27[orig]), Table27[L])</calculatedColumnFormula>
    </tableColumn>
    <tableColumn id="18" xr3:uid="{0D86BCAF-96A8-0048-87CC-1E6F446502D4}" name="T" dataDxfId="99">
      <calculatedColumnFormula array="1">_xlfn.XLOOKUP(TRUE, EXACT(Table27[[#This Row],[r-lower]], Table27[orig]), Table27[R''])</calculatedColumnFormula>
    </tableColumn>
    <tableColumn id="19" xr3:uid="{3B8F83B0-1862-3646-9E36-406E9CF2A32E}" name="T2" dataDxfId="98">
      <calculatedColumnFormula array="1">_xlfn.XLOOKUP(TRUE, EXACT(Table27[[#This Row],[T]], Table27[orig]), Table27[T])</calculatedColumnFormula>
    </tableColumn>
    <tableColumn id="20" xr3:uid="{467CC925-FF4D-6043-B06F-80077F6A48B9}" name="T'" dataDxfId="97">
      <calculatedColumnFormula array="1">_xlfn.XLOOKUP(TRUE, EXACT(Table27[[#This Row],[T2]], Table27[orig]), Table27[T])</calculatedColumnFormula>
    </tableColumn>
    <tableColumn id="21" xr3:uid="{68FBA045-747C-074E-A1D7-15E6A949468E}" name="r-lower" dataDxfId="96">
      <calculatedColumnFormula array="1">_xlfn.XLOOKUP(TRUE, EXACT(Table27[[#This Row],[X]], Table27[orig]), Table27[L])</calculatedColumnFormula>
    </tableColumn>
    <tableColumn id="22" xr3:uid="{FE0CE9FA-D201-B945-87AB-5806B6DDD289}" name="r2-lower" dataDxfId="95">
      <calculatedColumnFormula array="1">_xlfn.XLOOKUP(TRUE, EXACT(Table27[[#This Row],[r-lower]], Table27[orig]), Table27[r-lower])</calculatedColumnFormula>
    </tableColumn>
    <tableColumn id="23" xr3:uid="{80E7B903-7C2F-4B4B-B873-E545FC543795}" name="r'-lower" dataDxfId="94">
      <calculatedColumnFormula array="1">_xlfn.XLOOKUP(TRUE, EXACT(Table27[[#This Row],[r2-lower]], Table27[orig]), Table27[r-lower])</calculatedColumnFormula>
    </tableColumn>
    <tableColumn id="24" xr3:uid="{6025EE9F-A213-7747-91C1-FA0A1207415A}" name="l-lower" dataDxfId="93">
      <calculatedColumnFormula array="1">_xlfn.XLOOKUP(TRUE, EXACT(Table27[[#This Row],[X'']], Table27[orig]), Table27[R])</calculatedColumnFormula>
    </tableColumn>
    <tableColumn id="25" xr3:uid="{E8C4ADF4-B8C0-6242-97AC-61E19ACCCEB7}" name="l2-lower" dataDxfId="92">
      <calculatedColumnFormula array="1">_xlfn.XLOOKUP(TRUE, EXACT(Table27[[#This Row],[l-lower]], Table27[orig]), Table27[l-lower])</calculatedColumnFormula>
    </tableColumn>
    <tableColumn id="26" xr3:uid="{9ADA967F-3B3C-1649-95BB-D34A99B88F22}" name="l'-lower" dataDxfId="91">
      <calculatedColumnFormula array="1">_xlfn.XLOOKUP(TRUE, EXACT(Table27[[#This Row],[l2-lower]], Table27[orig]), Table27[l-lower])</calculatedColumnFormula>
    </tableColumn>
    <tableColumn id="27" xr3:uid="{933D9492-6995-6E45-8AB1-4BDC675A9C3A}" name="RL'" dataDxfId="90">
      <calculatedColumnFormula array="1">_xlfn.XLOOKUP(TRUE, EXACT(Table27[[#This Row],[R]], Table27[orig]), Table27[L''])</calculatedColumnFormula>
    </tableColumn>
    <tableColumn id="28" xr3:uid="{6CA8F20A-5EE5-B64B-8027-EFC3C3B1C9C6}" name="R2L2" dataDxfId="89">
      <calculatedColumnFormula array="1">_xlfn.XLOOKUP(TRUE, EXACT(Table27[[#This Row],[RL'']], Table27[orig]), Table27[RL''])</calculatedColumnFormula>
    </tableColumn>
    <tableColumn id="29" xr3:uid="{89A7E867-3423-364F-832A-039AF29EFBC3}" name="R'L" dataDxfId="88">
      <calculatedColumnFormula array="1">_xlfn.XLOOKUP(TRUE, EXACT(Table27[[#This Row],[R2L2]], Table27[orig]), Table27[RL''])</calculatedColumnFormula>
    </tableColumn>
    <tableColumn id="30" xr3:uid="{ACA6CE4D-6A2E-B343-BA91-D4D071C26138}" name="U" dataDxfId="87">
      <calculatedColumnFormula>Table29[[#This Row],[U]]</calculatedColumnFormula>
    </tableColumn>
    <tableColumn id="31" xr3:uid="{F2E47DA7-2E9F-E549-994B-DFD9865657B2}" name="U2" dataDxfId="86">
      <calculatedColumnFormula array="1">_xlfn.XLOOKUP(TRUE, EXACT(Table27[[#This Row],[U]], Table27[orig]), Table27[U])</calculatedColumnFormula>
    </tableColumn>
    <tableColumn id="32" xr3:uid="{EB6D006D-1759-A642-85F2-4826DC711B41}" name="U'" dataDxfId="85">
      <calculatedColumnFormula array="1">_xlfn.XLOOKUP(TRUE, EXACT(Table27[[#This Row],[U2]], Table27[orig]), Table27[U])</calculatedColumnFormula>
    </tableColumn>
    <tableColumn id="33" xr3:uid="{D309EDC1-CC21-5044-930B-E486F032D16B}" name="D" dataDxfId="84">
      <calculatedColumnFormula array="1">_xlfn.XLOOKUP(TRUE, EXACT(_xlfn.XLOOKUP(TRUE, EXACT(Table27[[#This Row],[Z2]], Table27[orig]), Table27[U]), Table27[orig]), Table27[Z2])</calculatedColumnFormula>
    </tableColumn>
    <tableColumn id="34" xr3:uid="{8E98DBFA-9108-7C43-9579-BB562857837F}" name="D2" dataDxfId="83">
      <calculatedColumnFormula array="1">_xlfn.XLOOKUP(TRUE, EXACT(Table27[[#This Row],[D]], Table27[orig]), Table27[D])</calculatedColumnFormula>
    </tableColumn>
    <tableColumn id="35" xr3:uid="{83BA5455-6D47-C643-9F40-64C690B54D80}" name="D'" dataDxfId="82">
      <calculatedColumnFormula array="1">_xlfn.XLOOKUP(TRUE, EXACT(Table27[[#This Row],[D2]], Table27[orig]), Table27[D])</calculatedColumnFormula>
    </tableColumn>
    <tableColumn id="36" xr3:uid="{E34B3F0B-7095-5949-94B1-38F9603F64B8}" name="H" dataDxfId="81">
      <calculatedColumnFormula array="1">_xlfn.XLOOKUP(TRUE, EXACT(Table27[[#This Row],[u-lower]], Table27[orig]), Table27[U''])</calculatedColumnFormula>
    </tableColumn>
    <tableColumn id="37" xr3:uid="{6D0FF1F1-619D-EA49-9527-97F430721BF7}" name="H2" dataDxfId="80">
      <calculatedColumnFormula array="1">_xlfn.XLOOKUP(TRUE, EXACT(Table27[[#This Row],[H]], Table27[orig]), Table27[H])</calculatedColumnFormula>
    </tableColumn>
    <tableColumn id="38" xr3:uid="{452CB507-0BB2-2843-A900-3D2B4337D33B}" name="H'" dataDxfId="79">
      <calculatedColumnFormula array="1">_xlfn.XLOOKUP(TRUE, EXACT(Table27[[#This Row],[H2]], Table27[orig]), Table27[H])</calculatedColumnFormula>
    </tableColumn>
    <tableColumn id="39" xr3:uid="{5CB1D910-449B-EC4F-B3F6-521187101A26}" name="u-lower" dataDxfId="78">
      <calculatedColumnFormula array="1">_xlfn.XLOOKUP(TRUE, EXACT(Table27[[#This Row],[Y]], Table27[orig]), Table27[D])</calculatedColumnFormula>
    </tableColumn>
    <tableColumn id="40" xr3:uid="{E5E387B0-E4FB-104E-A5FA-C11EB31C6CC5}" name="u2-lower" dataDxfId="77">
      <calculatedColumnFormula array="1">_xlfn.XLOOKUP(TRUE, EXACT(Table27[[#This Row],[u-lower]], Table27[orig]), Table27[u-lower])</calculatedColumnFormula>
    </tableColumn>
    <tableColumn id="41" xr3:uid="{05A9DA05-4ABE-3040-9A00-3244BBE5765B}" name="u'-lower" dataDxfId="76">
      <calculatedColumnFormula array="1">_xlfn.XLOOKUP(TRUE, EXACT(Table27[[#This Row],[u2-lower]], Table27[orig]), Table27[u-lower])</calculatedColumnFormula>
    </tableColumn>
    <tableColumn id="42" xr3:uid="{A85710C6-C5F1-9649-BAB7-18A25137C5D4}" name="d-lower" dataDxfId="75">
      <calculatedColumnFormula array="1">_xlfn.XLOOKUP(TRUE, EXACT(Table27[[#This Row],[Y'']], Table27[orig]), Table27[U])</calculatedColumnFormula>
    </tableColumn>
    <tableColumn id="43" xr3:uid="{27B38605-F6CE-EC44-8130-35711C8CE6BB}" name="d2-lower" dataDxfId="74">
      <calculatedColumnFormula array="1">_xlfn.XLOOKUP(TRUE, EXACT(Table27[[#This Row],[d-lower]], Table27[orig]), Table27[d-lower])</calculatedColumnFormula>
    </tableColumn>
    <tableColumn id="44" xr3:uid="{E669CD1E-3AF8-D24E-B1E1-79A028308A8F}" name="d'-lower" dataDxfId="73">
      <calculatedColumnFormula array="1">_xlfn.XLOOKUP(TRUE, EXACT(Table27[[#This Row],[d2-lower]], Table27[orig]), Table27[d-lower])</calculatedColumnFormula>
    </tableColumn>
    <tableColumn id="45" xr3:uid="{B4F79432-6C1D-7845-9B73-DB336E8E794D}" name="UD'" dataDxfId="72">
      <calculatedColumnFormula array="1">_xlfn.XLOOKUP(TRUE, EXACT(Table27[[#This Row],[U]], Table27[orig]), Table27[D''])</calculatedColumnFormula>
    </tableColumn>
    <tableColumn id="46" xr3:uid="{5AF6A7D6-2E10-3244-8368-7D71666F1513}" name="U2D2" dataDxfId="71">
      <calculatedColumnFormula array="1">_xlfn.XLOOKUP(TRUE, EXACT(Table27[[#This Row],[UD'']], Table27[orig]), Table27[UD''])</calculatedColumnFormula>
    </tableColumn>
    <tableColumn id="47" xr3:uid="{9792036E-A763-7F46-AFE6-714B7F27CEA7}" name="U'D" dataDxfId="70">
      <calculatedColumnFormula array="1">_xlfn.XLOOKUP(TRUE, EXACT(Table27[[#This Row],[U2D2]], Table27[orig]), Table27[UD''])</calculatedColumnFormula>
    </tableColumn>
    <tableColumn id="48" xr3:uid="{237E9083-F787-B848-839C-A1957A0BF3F1}" name="F" dataDxfId="69">
      <calculatedColumnFormula>Table29[[#This Row],[F]]</calculatedColumnFormula>
    </tableColumn>
    <tableColumn id="49" xr3:uid="{DC48B446-D924-EB4F-B8F2-98633BCB7689}" name="F2" dataDxfId="68">
      <calculatedColumnFormula array="1">_xlfn.XLOOKUP(TRUE, EXACT(Table27[[#This Row],[F]], Table27[orig]), Table27[F])</calculatedColumnFormula>
    </tableColumn>
    <tableColumn id="50" xr3:uid="{A319718A-EF1C-C146-A3FA-6A7302918CAC}" name="F'" dataDxfId="67">
      <calculatedColumnFormula array="1">_xlfn.XLOOKUP(TRUE, EXACT(Table27[[#This Row],[F2]], Table27[orig]), Table27[F])</calculatedColumnFormula>
    </tableColumn>
    <tableColumn id="51" xr3:uid="{CD9CF85B-A612-784F-9DC8-A312AD419E9A}" name="B" dataDxfId="66">
      <calculatedColumnFormula array="1">_xlfn.XLOOKUP(TRUE, EXACT(_xlfn.XLOOKUP(TRUE, EXACT(Table27[[#This Row],[X2]], Table27[orig]), Table27[F]), Table27[orig]), Table27[X2])</calculatedColumnFormula>
    </tableColumn>
    <tableColumn id="52" xr3:uid="{45482187-1772-CA40-9019-107EAAE5D02F}" name="B2" dataDxfId="65">
      <calculatedColumnFormula array="1">_xlfn.XLOOKUP(TRUE, EXACT(Table27[[#This Row],[B]], Table27[orig]), Table27[B])</calculatedColumnFormula>
    </tableColumn>
    <tableColumn id="53" xr3:uid="{049ED28D-CDEC-634C-94F7-97D862567A25}" name="B'" dataDxfId="64">
      <calculatedColumnFormula array="1">_xlfn.XLOOKUP(TRUE, EXACT(Table27[[#This Row],[B2]], Table27[orig]), Table27[B])</calculatedColumnFormula>
    </tableColumn>
    <tableColumn id="54" xr3:uid="{F59A1335-CA20-8042-B155-BBA6D5A170C0}" name="S" dataDxfId="63">
      <calculatedColumnFormula array="1">_xlfn.XLOOKUP(TRUE, EXACT(Table27[[#This Row],[f-lower]], Table27[orig]), Table27[F''])</calculatedColumnFormula>
    </tableColumn>
    <tableColumn id="55" xr3:uid="{606ED66E-FA16-E044-86C4-F89890220A5F}" name="S2" dataDxfId="62">
      <calculatedColumnFormula array="1">_xlfn.XLOOKUP(TRUE, EXACT(Table27[[#This Row],[S]], Table27[orig]), Table27[S])</calculatedColumnFormula>
    </tableColumn>
    <tableColumn id="56" xr3:uid="{F6D071DB-2958-5849-802E-91DD48633726}" name="S'" dataDxfId="61">
      <calculatedColumnFormula array="1">_xlfn.XLOOKUP(TRUE, EXACT(Table27[[#This Row],[S2]], Table27[orig]), Table27[S])</calculatedColumnFormula>
    </tableColumn>
    <tableColumn id="57" xr3:uid="{6FEA0913-F0E7-404A-BE82-C9A910D39584}" name="f-lower" dataDxfId="60">
      <calculatedColumnFormula array="1">_xlfn.XLOOKUP(TRUE, EXACT(Table27[[#This Row],[Z]], Table27[orig]), Table27[B])</calculatedColumnFormula>
    </tableColumn>
    <tableColumn id="58" xr3:uid="{40EE4CB1-9160-9E42-B994-C91BEDFCA499}" name="f2-lower" dataDxfId="59">
      <calculatedColumnFormula array="1">_xlfn.XLOOKUP(TRUE, EXACT(Table27[[#This Row],[f-lower]], Table27[orig]), Table27[f-lower])</calculatedColumnFormula>
    </tableColumn>
    <tableColumn id="59" xr3:uid="{80957F9D-7260-E746-92DB-A82C5664A082}" name="f'-lower" dataDxfId="58">
      <calculatedColumnFormula array="1">_xlfn.XLOOKUP(TRUE, EXACT(Table27[[#This Row],[f2-lower]], Table27[orig]), Table27[f-lower])</calculatedColumnFormula>
    </tableColumn>
    <tableColumn id="60" xr3:uid="{D6BAA640-BB74-4343-B22B-73EF9B8538E6}" name="b-lower" dataDxfId="57">
      <calculatedColumnFormula array="1">_xlfn.XLOOKUP(TRUE, EXACT(Table27[[#This Row],[Z'']], Table27[orig]), Table27[F])</calculatedColumnFormula>
    </tableColumn>
    <tableColumn id="61" xr3:uid="{33D03950-6ECF-6F4C-A6C1-7BB8D0126884}" name="b2-lower" dataDxfId="56">
      <calculatedColumnFormula array="1">_xlfn.XLOOKUP(TRUE, EXACT(Table27[[#This Row],[b-lower]], Table27[orig]), Table27[b-lower])</calculatedColumnFormula>
    </tableColumn>
    <tableColumn id="62" xr3:uid="{84FE7FE3-1F44-4445-9299-2C24DBF18965}" name="b'-lower" dataDxfId="55">
      <calculatedColumnFormula array="1">_xlfn.XLOOKUP(TRUE, EXACT(Table27[[#This Row],[b2-lower]], Table27[orig]), Table27[b-lower])</calculatedColumnFormula>
    </tableColumn>
    <tableColumn id="63" xr3:uid="{7CCF87E0-1454-D14B-809E-BD48A4D2E8E2}" name="FB'" dataDxfId="54">
      <calculatedColumnFormula array="1">_xlfn.XLOOKUP(TRUE, EXACT(Table27[[#This Row],[F]], Table27[orig]), Table27[B''])</calculatedColumnFormula>
    </tableColumn>
    <tableColumn id="64" xr3:uid="{49501A8C-65F4-5C40-8DEB-BC862F95A706}" name="F2B2" dataDxfId="53">
      <calculatedColumnFormula array="1">_xlfn.XLOOKUP(TRUE, EXACT(Table27[[#This Row],[FB'']], Table27[orig]), Table27[FB''])</calculatedColumnFormula>
    </tableColumn>
    <tableColumn id="65" xr3:uid="{9E085258-FA77-654C-B35A-F01F7FEEA7F6}" name="F'B" dataDxfId="52">
      <calculatedColumnFormula array="1">_xlfn.XLOOKUP(TRUE, EXACT(Table27[[#This Row],[F2B2]], Table27[orig]), Table27[FB''])</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A707730-89B7-3A40-823E-02605F6C422A}" name="Table28" displayName="Table28" ref="CD11:DB65" totalsRowShown="0" headerRowDxfId="51" dataDxfId="50">
  <autoFilter ref="CD11:DB65" xr:uid="{BA707730-89B7-3A40-823E-02605F6C422A}"/>
  <tableColumns count="25">
    <tableColumn id="1" xr3:uid="{18778FCA-E57B-1446-8006-AF4D31362507}" name="orig" dataDxfId="49"/>
    <tableColumn id="2" xr3:uid="{C3A49AD8-A928-3749-BB4C-B77F6C9D834E}" name="I" dataDxfId="48">
      <calculatedColumnFormula>Table28[[#This Row],[orig]]</calculatedColumnFormula>
    </tableColumn>
    <tableColumn id="3" xr3:uid="{E8E05FD0-C4A9-E847-9ECA-9101538DD87C}" name="X" dataDxfId="47">
      <calculatedColumnFormula>Table29[[#This Row],[X]]</calculatedColumnFormula>
    </tableColumn>
    <tableColumn id="4" xr3:uid="{57C4A0D7-2484-6E41-BD19-E3798F8A9FC3}" name="X2" dataDxfId="46">
      <calculatedColumnFormula array="1">_xlfn.XLOOKUP(TRUE, EXACT(Table28[[#This Row],[X]], Table28[orig]), Table28[X])</calculatedColumnFormula>
    </tableColumn>
    <tableColumn id="5" xr3:uid="{D38D9B28-B50A-BE4D-A784-0A044BA540B1}" name="X'" dataDxfId="45">
      <calculatedColumnFormula array="1">_xlfn.XLOOKUP(TRUE, EXACT(Table28[[#This Row],[X2]], Table28[orig]), Table28[X])</calculatedColumnFormula>
    </tableColumn>
    <tableColumn id="6" xr3:uid="{EFA517A4-286B-1743-A7C5-6B2AF484A5E5}" name="Y" dataDxfId="44">
      <calculatedColumnFormula>Table29[[#This Row],[Y]]</calculatedColumnFormula>
    </tableColumn>
    <tableColumn id="7" xr3:uid="{7C378C96-54D9-A64A-9293-422370CA9B09}" name="Y2" dataDxfId="43">
      <calculatedColumnFormula array="1">_xlfn.XLOOKUP(TRUE, EXACT(Table28[[#This Row],[Y]], Table28[orig]), Table28[Y])</calculatedColumnFormula>
    </tableColumn>
    <tableColumn id="8" xr3:uid="{AC092CFC-0F6D-2544-976B-8A47772D1468}" name="Y'" dataDxfId="42">
      <calculatedColumnFormula array="1">_xlfn.XLOOKUP(TRUE, EXACT(Table28[[#This Row],[Y2]], Table28[orig]), Table28[Y])</calculatedColumnFormula>
    </tableColumn>
    <tableColumn id="9" xr3:uid="{058DBD96-6AC9-AE40-A13F-A0413020719A}" name="Z" dataDxfId="41">
      <calculatedColumnFormula>Table29[[#This Row],[Z]]</calculatedColumnFormula>
    </tableColumn>
    <tableColumn id="10" xr3:uid="{8E7503E9-F488-0F42-9F15-8C7F88E2C330}" name="Z2" dataDxfId="40">
      <calculatedColumnFormula array="1">_xlfn.XLOOKUP(TRUE, EXACT(Table28[[#This Row],[Z]], Table28[orig]), Table28[Z])</calculatedColumnFormula>
    </tableColumn>
    <tableColumn id="11" xr3:uid="{102A6381-5AB6-2E46-B98B-395BC26BFD68}" name="Z'" dataDxfId="39">
      <calculatedColumnFormula array="1">_xlfn.XLOOKUP(TRUE, EXACT(Table28[[#This Row],[Z2]], Table28[orig]), Table28[Z])</calculatedColumnFormula>
    </tableColumn>
    <tableColumn id="12" xr3:uid="{39B21BF2-834F-B84A-B2AB-35F24BE5CE61}" name="Z X" dataDxfId="38">
      <calculatedColumnFormula array="1">_xlfn.XLOOKUP(TRUE, EXACT(Table28[[#This Row],[Z]], Table28[orig]), Table28[X])</calculatedColumnFormula>
    </tableColumn>
    <tableColumn id="13" xr3:uid="{EA4C6DB5-7D41-5042-8D41-F95E38F1BFC9}" name="Y' X'" dataDxfId="37">
      <calculatedColumnFormula array="1">_xlfn.XLOOKUP(TRUE, EXACT(Table28[[#This Row],[Y'']], Table28[orig]), Table28[X''])</calculatedColumnFormula>
    </tableColumn>
    <tableColumn id="14" xr3:uid="{3F574FE6-3471-664C-8FDA-F041877515D7}" name="Y X'" dataDxfId="36">
      <calculatedColumnFormula array="1">_xlfn.XLOOKUP(TRUE, EXACT(Table28[[#This Row],[Y]], Table28[orig]), Table28[X''])</calculatedColumnFormula>
    </tableColumn>
    <tableColumn id="15" xr3:uid="{A224183C-50D9-0742-985B-BD95AB2041B5}" name="Z' X" dataDxfId="35">
      <calculatedColumnFormula array="1">_xlfn.XLOOKUP(TRUE, EXACT(Table28[[#This Row],[Z'']], Table28[orig]), Table28[X])</calculatedColumnFormula>
    </tableColumn>
    <tableColumn id="16" xr3:uid="{51CE3047-864F-9D46-98E2-7E282AF45FAE}" name="Z' X'" dataDxfId="34">
      <calculatedColumnFormula array="1">_xlfn.XLOOKUP(TRUE, EXACT(Table28[[#This Row],[Z'']], Table28[orig]), Table28[X''])</calculatedColumnFormula>
    </tableColumn>
    <tableColumn id="17" xr3:uid="{12475F09-6CD9-A641-8543-B8368D20B37E}" name="Y' X" dataDxfId="33">
      <calculatedColumnFormula array="1">_xlfn.XLOOKUP(TRUE, EXACT(Table28[[#This Row],[Y'']], Table28[orig]), Table28[X])</calculatedColumnFormula>
    </tableColumn>
    <tableColumn id="18" xr3:uid="{328EFE67-D440-814A-AD1F-23F28CD70B56}" name="Y X" dataDxfId="32">
      <calculatedColumnFormula array="1">_xlfn.XLOOKUP(TRUE, EXACT(Table28[[#This Row],[Y]], Table28[orig]), Table28[X])</calculatedColumnFormula>
    </tableColumn>
    <tableColumn id="19" xr3:uid="{E231C049-314F-444F-A96F-EADBC37DAC99}" name="Z X'" dataDxfId="31">
      <calculatedColumnFormula array="1">_xlfn.XLOOKUP(TRUE, EXACT(Table28[[#This Row],[Z]], Table28[orig]), Table28[X''])</calculatedColumnFormula>
    </tableColumn>
    <tableColumn id="20" xr3:uid="{DF35F00F-DDEA-B74F-AD1B-CE6581C1C5B8}" name="Y' X2" dataDxfId="30">
      <calculatedColumnFormula array="1">_xlfn.XLOOKUP(TRUE, EXACT(Table28[[#This Row],[Y'']], Table28[orig]), Table28[X2])</calculatedColumnFormula>
    </tableColumn>
    <tableColumn id="21" xr3:uid="{B6A75FF0-4102-8049-9AA5-CAF1360014EE}" name="Y X2" dataDxfId="29">
      <calculatedColumnFormula array="1">_xlfn.XLOOKUP(TRUE, EXACT(Table28[[#This Row],[Y]], Table28[orig]), Table28[X2])</calculatedColumnFormula>
    </tableColumn>
    <tableColumn id="22" xr3:uid="{E89F49DD-D70F-084C-B61B-9C3748ECA973}" name="Z X2" dataDxfId="28">
      <calculatedColumnFormula array="1">_xlfn.XLOOKUP(TRUE, EXACT(Table28[[#This Row],[Z]], Table28[orig]), Table28[X2])</calculatedColumnFormula>
    </tableColumn>
    <tableColumn id="23" xr3:uid="{033E92FF-E733-FC4B-870B-3014E6F77232}" name="Z' X2" dataDxfId="27">
      <calculatedColumnFormula array="1">_xlfn.XLOOKUP(TRUE, EXACT(Table28[[#This Row],[Z'']], Table28[orig]), Table28[X2])</calculatedColumnFormula>
    </tableColumn>
    <tableColumn id="24" xr3:uid="{612BB73E-9A67-F54D-BD83-959D9D03E7C4}" name="Z2 X" dataDxfId="26">
      <calculatedColumnFormula array="1">_xlfn.XLOOKUP(TRUE, EXACT(Table28[[#This Row],[Z2]], Table28[orig]), Table28[X])</calculatedColumnFormula>
    </tableColumn>
    <tableColumn id="25" xr3:uid="{176042A6-491E-BB4C-8E39-5BE9652EC9D4}" name="Z2 X'" dataDxfId="25">
      <calculatedColumnFormula array="1">_xlfn.XLOOKUP(TRUE, EXACT(Table28[[#This Row],[Z2]], Table28[orig]), Table28[X''])</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B715DF0-376E-DD4B-B522-2C19390959CF}" name="Table30" displayName="Table30" ref="DE11:EC65" totalsRowShown="0">
  <autoFilter ref="DE11:EC65" xr:uid="{1B715DF0-376E-DD4B-B522-2C19390959CF}"/>
  <tableColumns count="25">
    <tableColumn id="1" xr3:uid="{754B088F-1A1E-9E4D-883C-7A75387CF99E}" name="orig" dataDxfId="24"/>
    <tableColumn id="2" xr3:uid="{22AEB969-2E5D-D24D-B409-F2F439A132DC}" name="I T-reflection" dataDxfId="23">
      <calculatedColumnFormula array="1">_xlfn.XLOOKUP(TRUE, EXACT(Table28[[#This Row],[I]], Table29[orig]), Table29[T-reflection])</calculatedColumnFormula>
    </tableColumn>
    <tableColumn id="3" xr3:uid="{A75E14CB-1A19-6243-9B58-972B15ED7AD6}" name="X T-reflection" dataDxfId="22">
      <calculatedColumnFormula array="1">_xlfn.XLOOKUP(TRUE, EXACT(Table28[[#This Row],[X]], Table29[orig]), Table29[T-reflection])</calculatedColumnFormula>
    </tableColumn>
    <tableColumn id="4" xr3:uid="{8AB7DF20-1262-B04B-A268-5E0EFCFF072B}" name="X2 T-reflection" dataDxfId="21">
      <calculatedColumnFormula array="1">_xlfn.XLOOKUP(TRUE, EXACT(Table28[[#This Row],[X2]], Table29[orig]), Table29[T-reflection])</calculatedColumnFormula>
    </tableColumn>
    <tableColumn id="5" xr3:uid="{1E9DA406-C3BB-D246-9664-62680BD0FD58}" name="X' T-reflection" dataDxfId="20">
      <calculatedColumnFormula array="1">_xlfn.XLOOKUP(TRUE, EXACT(Table28[[#This Row],[X'']], Table29[orig]), Table29[T-reflection])</calculatedColumnFormula>
    </tableColumn>
    <tableColumn id="6" xr3:uid="{4E8B54D0-4F53-9740-BB49-1BB2EF4B51F2}" name="Y T-reflection" dataDxfId="19">
      <calculatedColumnFormula array="1">_xlfn.XLOOKUP(TRUE, EXACT(Table28[[#This Row],[Y]], Table29[orig]), Table29[T-reflection])</calculatedColumnFormula>
    </tableColumn>
    <tableColumn id="7" xr3:uid="{A5FA48FC-A051-FE46-AE45-57587F76FF6B}" name="Y2 T-reflection" dataDxfId="18">
      <calculatedColumnFormula array="1">_xlfn.XLOOKUP(TRUE, EXACT(Table28[[#This Row],[Y2]], Table29[orig]), Table29[T-reflection])</calculatedColumnFormula>
    </tableColumn>
    <tableColumn id="8" xr3:uid="{9CBA5ABD-9BD2-9947-80AC-42A761336629}" name="Y' T-reflection" dataDxfId="17">
      <calculatedColumnFormula array="1">_xlfn.XLOOKUP(TRUE, EXACT(Table28[[#This Row],[Y'']], Table29[orig]), Table29[T-reflection])</calculatedColumnFormula>
    </tableColumn>
    <tableColumn id="9" xr3:uid="{02A3584E-EA46-5044-916D-FAC57A806B6E}" name="Z T-reflection" dataDxfId="16">
      <calculatedColumnFormula array="1">_xlfn.XLOOKUP(TRUE, EXACT(Table28[[#This Row],[Z]], Table29[orig]), Table29[T-reflection])</calculatedColumnFormula>
    </tableColumn>
    <tableColumn id="10" xr3:uid="{962EC5C1-8561-9949-898A-BBC1E849133D}" name="Z2 T-reflection" dataDxfId="15">
      <calculatedColumnFormula array="1">_xlfn.XLOOKUP(TRUE, EXACT(Table28[[#This Row],[Z2]], Table29[orig]), Table29[T-reflection])</calculatedColumnFormula>
    </tableColumn>
    <tableColumn id="11" xr3:uid="{869D557D-A31F-F948-BA74-56B27AFA67C5}" name="Z' T-reflection" dataDxfId="14">
      <calculatedColumnFormula array="1">_xlfn.XLOOKUP(TRUE, EXACT(Table28[[#This Row],[Z'']], Table29[orig]), Table29[T-reflection])</calculatedColumnFormula>
    </tableColumn>
    <tableColumn id="12" xr3:uid="{AAF870E4-FF4A-8048-BD5F-A5A6DA258471}" name="Z X T-reflection" dataDxfId="13">
      <calculatedColumnFormula array="1">_xlfn.XLOOKUP(TRUE, EXACT(Table28[[#This Row],[Z X]], Table29[orig]), Table29[T-reflection])</calculatedColumnFormula>
    </tableColumn>
    <tableColumn id="13" xr3:uid="{808B559C-AC0E-D34F-BB25-9E6112C682E3}" name="Y' X' T-reflection" dataDxfId="12">
      <calculatedColumnFormula array="1">_xlfn.XLOOKUP(TRUE, EXACT(Table28[[#This Row],[Y'' X'']], Table29[orig]), Table29[T-reflection])</calculatedColumnFormula>
    </tableColumn>
    <tableColumn id="14" xr3:uid="{4CDD09D2-B739-FF48-BF88-D1025691C63D}" name="Y X' T-reflection" dataDxfId="11">
      <calculatedColumnFormula array="1">_xlfn.XLOOKUP(TRUE, EXACT(Table28[[#This Row],[Y X'']], Table29[orig]), Table29[T-reflection])</calculatedColumnFormula>
    </tableColumn>
    <tableColumn id="15" xr3:uid="{CA307ED1-A56F-6145-99FA-E118CE0F40CE}" name="Z' X T-reflection" dataDxfId="10">
      <calculatedColumnFormula array="1">_xlfn.XLOOKUP(TRUE, EXACT(Table28[[#This Row],[Z'' X]], Table29[orig]), Table29[T-reflection])</calculatedColumnFormula>
    </tableColumn>
    <tableColumn id="16" xr3:uid="{19AC8C2B-7470-2241-AFF0-284BBD7EEECF}" name="Z' X' T-reflection" dataDxfId="9">
      <calculatedColumnFormula array="1">_xlfn.XLOOKUP(TRUE, EXACT(Table28[[#This Row],[Z'' X'']], Table29[orig]), Table29[T-reflection])</calculatedColumnFormula>
    </tableColumn>
    <tableColumn id="17" xr3:uid="{7CAA4BD9-FAF5-2A4A-9D69-2FB04EADAA82}" name="Y' X T-reflection" dataDxfId="8">
      <calculatedColumnFormula array="1">_xlfn.XLOOKUP(TRUE, EXACT(Table28[[#This Row],[Y'' X]], Table29[orig]), Table29[T-reflection])</calculatedColumnFormula>
    </tableColumn>
    <tableColumn id="18" xr3:uid="{4B6DFAAC-F1DE-2944-9855-39956BE57CE6}" name="Y X T-reflection" dataDxfId="7">
      <calculatedColumnFormula array="1">_xlfn.XLOOKUP(TRUE, EXACT(Table28[[#This Row],[Y X]], Table29[orig]), Table29[T-reflection])</calculatedColumnFormula>
    </tableColumn>
    <tableColumn id="19" xr3:uid="{9055B6CC-347D-0F4D-9D56-A03635D40104}" name="Z X' T-reflection" dataDxfId="6">
      <calculatedColumnFormula array="1">_xlfn.XLOOKUP(TRUE, EXACT(Table28[[#This Row],[Z X'']], Table29[orig]), Table29[T-reflection])</calculatedColumnFormula>
    </tableColumn>
    <tableColumn id="20" xr3:uid="{5CAAF48A-D76A-CF49-99B0-86517B8EBEDC}" name="Y' X2 T-reflection" dataDxfId="5">
      <calculatedColumnFormula array="1">_xlfn.XLOOKUP(TRUE, EXACT(Table28[[#This Row],[Y'' X2]], Table29[orig]), Table29[T-reflection])</calculatedColumnFormula>
    </tableColumn>
    <tableColumn id="21" xr3:uid="{A7F32704-2A93-7A4C-BB23-45D485F751D5}" name="Y X2 T-reflection" dataDxfId="4">
      <calculatedColumnFormula array="1">_xlfn.XLOOKUP(TRUE, EXACT(Table28[[#This Row],[Y X2]], Table29[orig]), Table29[T-reflection])</calculatedColumnFormula>
    </tableColumn>
    <tableColumn id="22" xr3:uid="{4BF95273-30DC-B04B-8093-C6E265FC6D25}" name="Z X2 T-reflection" dataDxfId="3">
      <calculatedColumnFormula array="1">_xlfn.XLOOKUP(TRUE, EXACT(Table28[[#This Row],[Z X2]], Table29[orig]), Table29[T-reflection])</calculatedColumnFormula>
    </tableColumn>
    <tableColumn id="23" xr3:uid="{01675906-BAE9-7643-A376-2FA3F49CFFEC}" name="Z' X2 T-reflection" dataDxfId="2">
      <calculatedColumnFormula array="1">_xlfn.XLOOKUP(TRUE, EXACT(Table28[[#This Row],[Z'' X2]], Table29[orig]), Table29[T-reflection])</calculatedColumnFormula>
    </tableColumn>
    <tableColumn id="24" xr3:uid="{5237B4B6-77AF-8F4E-8E70-0B49F13E60D6}" name="Z2 X T-reflection" dataDxfId="1">
      <calculatedColumnFormula array="1">_xlfn.XLOOKUP(TRUE, EXACT(Table28[[#This Row],[Z2 X]], Table29[orig]), Table29[T-reflection])</calculatedColumnFormula>
    </tableColumn>
    <tableColumn id="25" xr3:uid="{7FC767E4-84E1-6A48-ACF7-A3313279F41A}" name="Z2 X' T-reflection" dataDxfId="0">
      <calculatedColumnFormula array="1">_xlfn.XLOOKUP(TRUE, EXACT(Table28[[#This Row],[Z2 X'']], Table29[orig]), Table29[T-reflection])</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E8D7D9-03F4-5D44-ACFD-06892D6B77A9}" name="Table1" displayName="Table1" ref="A1:K55" totalsRowShown="0">
  <autoFilter ref="A1:K55" xr:uid="{0BE8D7D9-03F4-5D44-ACFD-06892D6B77A9}"/>
  <tableColumns count="11">
    <tableColumn id="1" xr3:uid="{EFB4F073-118B-474A-88B3-16D0505DB6A2}" name="orig"/>
    <tableColumn id="2" xr3:uid="{91498024-C4DF-2F42-A807-CD406A37F14A}" name="I"/>
    <tableColumn id="3" xr3:uid="{121CB68F-C44D-7A44-85E4-E2620B18AC0F}" name="X"/>
    <tableColumn id="4" xr3:uid="{9EF7D82B-61AE-3046-A491-087B6F838CF2}" name="Y"/>
    <tableColumn id="5" xr3:uid="{05E60D96-CC6F-F24B-B0A6-3A1AFFE1C127}" name="Z"/>
    <tableColumn id="6" xr3:uid="{E90C7055-2D6F-6048-BA32-898DDD3EB3A2}" name="T-reflection"/>
    <tableColumn id="7" xr3:uid="{95186154-E6F4-5D40-BAB8-064A8FE521A1}" name="H-reflection"/>
    <tableColumn id="8" xr3:uid="{50A9F74A-E5D8-8D47-B7B3-0AC7876EBAB4}" name="S-reflection"/>
    <tableColumn id="9" xr3:uid="{8F80BAF3-1BB1-4B4C-9298-15FDD995BA66}" name="R"/>
    <tableColumn id="10" xr3:uid="{0D15AB97-5BEF-A441-A9CC-3252E5785925}" name="U"/>
    <tableColumn id="11" xr3:uid="{32F24CE9-7FC3-1F49-B84A-7DE8927885F6}" name="F"/>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51AF74-CFC4-7641-A52E-BB184497C95A}" name="Table2" displayName="Table2" ref="A1:BM55" totalsRowShown="0">
  <autoFilter ref="A1:BM55" xr:uid="{6D51AF74-CFC4-7641-A52E-BB184497C95A}"/>
  <tableColumns count="65">
    <tableColumn id="1" xr3:uid="{CD6C154D-83B1-9949-863F-F73ECF624E2C}" name="orig"/>
    <tableColumn id="2" xr3:uid="{14F858BE-B2C3-3649-BBE4-DA0201B404ED}" name="I"/>
    <tableColumn id="3" xr3:uid="{C80E8A6D-29FD-F84A-85FF-09F89E567E64}" name="X"/>
    <tableColumn id="4" xr3:uid="{3AB0056A-1D0E-6D49-B037-33CC8514015C}" name="X2"/>
    <tableColumn id="5" xr3:uid="{74A5FA76-F43F-6E41-895A-AC56F5FD84E2}" name="X'"/>
    <tableColumn id="6" xr3:uid="{93A52A76-92F5-934D-A2D4-CA61C05670A6}" name="Y"/>
    <tableColumn id="7" xr3:uid="{2DE83673-76D0-544D-89D2-915781F679F8}" name="Y2"/>
    <tableColumn id="8" xr3:uid="{9397368B-FBDB-3046-A217-F4370BBD0F28}" name="Y'"/>
    <tableColumn id="9" xr3:uid="{94D4097E-9C38-4E4F-9947-70F0E9157D48}" name="Z"/>
    <tableColumn id="10" xr3:uid="{73D5CB7B-15CE-124B-AB2D-9DD2EC282001}" name="Z2"/>
    <tableColumn id="11" xr3:uid="{A5E61FBC-4F86-7A4D-88EA-0669BAB3A10F}" name="Z'"/>
    <tableColumn id="12" xr3:uid="{A919C52A-281E-D94B-AD9A-EB2111920B40}" name="R"/>
    <tableColumn id="13" xr3:uid="{9F009D26-F8DC-5340-B429-019EE2FA0400}" name="R2"/>
    <tableColumn id="14" xr3:uid="{43567EB6-2639-384B-9EDC-92A5F81DF919}" name="R'"/>
    <tableColumn id="15" xr3:uid="{CE00CBD0-2CED-4A4E-89FB-455146E1601B}" name="L"/>
    <tableColumn id="16" xr3:uid="{9A2FB65D-4387-1044-AF46-317A2164F5A9}" name="L2"/>
    <tableColumn id="17" xr3:uid="{764E3BC2-1C8B-6E46-9B84-B6C006F7527A}" name="L'"/>
    <tableColumn id="18" xr3:uid="{59EF8779-F1C2-D44C-B329-F2CDEDDD8A90}" name="T"/>
    <tableColumn id="19" xr3:uid="{1F6B7D15-5219-974F-9EE9-9E6EDC01947D}" name="T2"/>
    <tableColumn id="20" xr3:uid="{220409BB-4023-7A47-9BAD-61EFC85288A6}" name="T'"/>
    <tableColumn id="21" xr3:uid="{B1E12A00-2CE4-4E4D-AC1F-090E42628F4C}" name="r-lower"/>
    <tableColumn id="22" xr3:uid="{EC90525F-FDF0-6B45-84C6-5A7D79574C69}" name="r2-lower"/>
    <tableColumn id="23" xr3:uid="{3DE37F70-6437-D749-AE3F-CD66BF931A08}" name="r'-lower"/>
    <tableColumn id="24" xr3:uid="{98547ECB-63E2-0343-B33A-CFDA47DB25E5}" name="l-lower"/>
    <tableColumn id="25" xr3:uid="{FD535D04-FD51-6649-A50F-A406FD0A5B37}" name="l2-lower"/>
    <tableColumn id="26" xr3:uid="{AEE1A150-34A5-D543-B129-F53C6FD399B2}" name="l'-lower"/>
    <tableColumn id="27" xr3:uid="{4E40A736-CD50-F347-A0AF-5A81FF61A159}" name="RL'"/>
    <tableColumn id="28" xr3:uid="{4AF70B2E-E11D-DB4B-8C9F-B00C5BC716EF}" name="R2L2"/>
    <tableColumn id="29" xr3:uid="{821B3FAE-828F-D543-8842-C26F6C3F0E31}" name="R'L"/>
    <tableColumn id="30" xr3:uid="{6F182F89-56DE-D040-AEC9-467FAEC9FA0E}" name="U"/>
    <tableColumn id="31" xr3:uid="{51FB2976-8B73-C542-A42D-6EEE1F5D3B12}" name="U2"/>
    <tableColumn id="32" xr3:uid="{F5634B79-F150-7B4E-8954-B332405FCD71}" name="U'"/>
    <tableColumn id="33" xr3:uid="{E1D8292F-2B62-164D-81D5-240F73F1AA86}" name="D"/>
    <tableColumn id="34" xr3:uid="{C8A02CB8-D0E3-484E-B6BF-FB6677C5DB55}" name="D2"/>
    <tableColumn id="35" xr3:uid="{A3E311CB-E462-7B4C-86E2-AA15772B222C}" name="D'"/>
    <tableColumn id="36" xr3:uid="{E84765E3-7C4D-0B43-9780-7CA2C7808006}" name="H"/>
    <tableColumn id="37" xr3:uid="{56B3ABBD-22FA-7848-9715-1D60FEA671E8}" name="H2"/>
    <tableColumn id="38" xr3:uid="{BB917CE0-636E-E547-8D3C-1FEEDE4956A9}" name="H'"/>
    <tableColumn id="39" xr3:uid="{C9550036-DBA1-BC42-BB6A-0953CFCF2F6E}" name="u-lower"/>
    <tableColumn id="40" xr3:uid="{01D1B5D0-FB3C-2344-A71E-D4DD0A6ECF74}" name="u2-lower"/>
    <tableColumn id="41" xr3:uid="{5AAB89CE-DCC4-364B-BB24-67DACCD821C3}" name="u'-lower"/>
    <tableColumn id="42" xr3:uid="{541AD58F-D8EE-2C47-907F-A982B411621E}" name="d-lower"/>
    <tableColumn id="43" xr3:uid="{9C6C9AFC-0C1A-794E-8805-67F1E14CBC8A}" name="d2-lower"/>
    <tableColumn id="44" xr3:uid="{CABC7F83-B84B-114D-96FC-81CF4417B01F}" name="d'-lower"/>
    <tableColumn id="45" xr3:uid="{3FE59E78-64D7-124E-934D-7610D51AADFD}" name="UD'"/>
    <tableColumn id="46" xr3:uid="{656B62C0-A9F6-7943-92A7-9B70EDF19726}" name="U2D2"/>
    <tableColumn id="47" xr3:uid="{AAB42770-21E5-D64C-98C5-1840A671BD99}" name="U'D"/>
    <tableColumn id="48" xr3:uid="{51BE9ACC-FF95-354E-80D1-3304127CBBBC}" name="F"/>
    <tableColumn id="49" xr3:uid="{1737F28A-BE3E-074B-AC7B-5D86C905C81E}" name="F2"/>
    <tableColumn id="50" xr3:uid="{3115320B-F320-604C-BAE4-E4ACF9305058}" name="F'"/>
    <tableColumn id="51" xr3:uid="{B0C0CBB2-E4D3-A046-8594-46BB9E09F174}" name="B"/>
    <tableColumn id="52" xr3:uid="{2068F2C2-57C9-EA44-ADC5-E1312686DC65}" name="B2"/>
    <tableColumn id="53" xr3:uid="{560E54A6-8C88-1B45-BCBA-BE6F211C382B}" name="B'"/>
    <tableColumn id="54" xr3:uid="{50E15C3A-0CA4-574F-BED4-D71E0854B299}" name="S"/>
    <tableColumn id="55" xr3:uid="{E5F4C2E1-C354-F24B-96BE-A24D8D93633C}" name="S2"/>
    <tableColumn id="56" xr3:uid="{260240D1-520D-7D42-BE4D-7CBA8D640EDE}" name="S'"/>
    <tableColumn id="57" xr3:uid="{39806A85-9F81-0F49-B2A4-24751F09596D}" name="f-lower"/>
    <tableColumn id="58" xr3:uid="{C7AC245A-0826-8E47-A5BD-CF862AA007A7}" name="f2-lower"/>
    <tableColumn id="59" xr3:uid="{ABC10007-AADB-7948-BBB6-DA213F1BD1EA}" name="f'-lower"/>
    <tableColumn id="60" xr3:uid="{FCD14A60-220F-F544-8705-029505094974}" name="b-lower"/>
    <tableColumn id="61" xr3:uid="{DA2716A5-DADE-7F46-A740-4F27EB3290C9}" name="b2-lower"/>
    <tableColumn id="62" xr3:uid="{9F197C40-ACAA-FA46-9FC2-3A4EC49963AA}" name="b'-lower"/>
    <tableColumn id="63" xr3:uid="{EF634BB3-5370-3D48-AC4D-3E41FE4E47A4}" name="FB'"/>
    <tableColumn id="64" xr3:uid="{B3EAF9B3-6316-2A41-B60F-AA234637E649}" name="F2B2"/>
    <tableColumn id="65" xr3:uid="{CA1053D3-9D99-9C46-88FE-8488FAEF2AB4}" name="F'B"/>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FA4A04-23E2-2743-A047-1251218514DA}" name="Table3" displayName="Table3" ref="A1:Y55" totalsRowShown="0">
  <autoFilter ref="A1:Y55" xr:uid="{34FA4A04-23E2-2743-A047-1251218514DA}"/>
  <tableColumns count="25">
    <tableColumn id="1" xr3:uid="{6C4F0E3E-4BDD-3A4E-B533-FA8CE52CC280}" name="orig"/>
    <tableColumn id="2" xr3:uid="{4253B234-E646-774F-B2BF-AC56D7D72AB1}" name="I"/>
    <tableColumn id="3" xr3:uid="{902DB5CE-C3FD-3F43-B94A-1B53BD4653FA}" name="X"/>
    <tableColumn id="4" xr3:uid="{CFAB36D2-8E4D-9C41-9AF8-CE0B9DE39A2A}" name="X2"/>
    <tableColumn id="5" xr3:uid="{2609FEFF-EB5C-664E-918B-73383C177D8A}" name="X'"/>
    <tableColumn id="6" xr3:uid="{BA33D147-0E34-5E4F-B00B-9F7CF99AD282}" name="Y"/>
    <tableColumn id="7" xr3:uid="{50D1F510-A5BD-704B-A833-7241684519B6}" name="Y2"/>
    <tableColumn id="8" xr3:uid="{2FE98F23-E97B-B24F-9FDA-713A710EE1AF}" name="Y'"/>
    <tableColumn id="9" xr3:uid="{CC79A6DD-E419-E047-98D9-EE91DC3A7C05}" name="Z"/>
    <tableColumn id="10" xr3:uid="{CCA1E73C-D7A6-C742-BCA6-5E014A7FF016}" name="Z2"/>
    <tableColumn id="11" xr3:uid="{984B2FEF-3B0E-274E-9423-F010EA3C7737}" name="Z'"/>
    <tableColumn id="12" xr3:uid="{6CEA8920-0BCD-7043-92F9-AC4AA9A536C0}" name="Z X"/>
    <tableColumn id="13" xr3:uid="{772192BC-8F3F-414A-9861-BB777EDDA2C4}" name="Y' X'"/>
    <tableColumn id="14" xr3:uid="{4832B827-CB8D-BA48-A900-A77E6489F283}" name="Y X'"/>
    <tableColumn id="15" xr3:uid="{BBBF124B-4C12-AD4D-AC84-2F1BE8349740}" name="Z' X"/>
    <tableColumn id="16" xr3:uid="{D90E21BB-0C59-9E4F-8FE7-9D14CF5CD817}" name="Z' X'"/>
    <tableColumn id="17" xr3:uid="{085BCB9B-658F-A849-B2DA-E2F63406CB8C}" name="Y' X"/>
    <tableColumn id="18" xr3:uid="{52AEF7B7-6D14-1542-B5E3-395B34CD7A64}" name="Y X"/>
    <tableColumn id="19" xr3:uid="{DC244174-7499-554C-AF70-8D43901DF64A}" name="Z X'"/>
    <tableColumn id="20" xr3:uid="{5B326886-E67D-8A46-86E9-48567C6E4ECC}" name="Y' X2"/>
    <tableColumn id="21" xr3:uid="{E9E6C8C9-DEE6-A04D-AAB6-3F232C2FA6DF}" name="Y X2"/>
    <tableColumn id="22" xr3:uid="{3D337273-673A-9541-922A-1709AE5E6884}" name="Z X2"/>
    <tableColumn id="23" xr3:uid="{B4BA13EF-D770-4645-B78D-65DA025291EB}" name="Z' X2"/>
    <tableColumn id="24" xr3:uid="{2668A498-2194-2A4E-9320-F911937EDCD7}" name="Z2 X"/>
    <tableColumn id="25" xr3:uid="{5027D1D5-DB13-D847-8158-B1E96666BC34}" name="Z2 X'"/>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116C39-CB7B-404E-9201-198404822246}" name="Table4" displayName="Table4" ref="A1:Y56" totalsRowShown="0">
  <autoFilter ref="A1:Y56" xr:uid="{24116C39-CB7B-404E-9201-198404822246}"/>
  <tableColumns count="25">
    <tableColumn id="1" xr3:uid="{89D9078E-28FC-F947-996C-5E855BA8C5BE}" name="Column1"/>
    <tableColumn id="2" xr3:uid="{081923A6-7C14-544E-A611-88A21838CF20}" name="Column2"/>
    <tableColumn id="3" xr3:uid="{30CC86C8-AF4A-D249-A77B-C960DCEDAEF6}" name="Column3"/>
    <tableColumn id="4" xr3:uid="{82752CEA-ACB2-4D46-8B06-B8917A794A90}" name="Column4"/>
    <tableColumn id="5" xr3:uid="{70E61D80-0A80-0449-9605-8D3A89C876FB}" name="Column5"/>
    <tableColumn id="6" xr3:uid="{09CE0353-1D55-5F4B-80C1-5B6988A59FEF}" name="Column6"/>
    <tableColumn id="7" xr3:uid="{9195B860-DB50-9D41-BB79-BE9A778F26B0}" name="Column7"/>
    <tableColumn id="8" xr3:uid="{EA40EE6B-8FFA-1C4F-902F-C0B5AAAC8ECB}" name="Column8"/>
    <tableColumn id="9" xr3:uid="{12461F52-11CC-BC4A-AB6D-673E04C67412}" name="Column9"/>
    <tableColumn id="10" xr3:uid="{4BB26A11-D343-9143-8D8B-7A52B6960758}" name="Column10"/>
    <tableColumn id="11" xr3:uid="{7CF4E070-FC9E-C748-808B-568AD8DE9525}" name="Column11"/>
    <tableColumn id="12" xr3:uid="{E4589BDB-CCD5-0244-9710-5C8F22B43424}" name="Column12"/>
    <tableColumn id="13" xr3:uid="{61F05E9D-2039-924D-9D68-65E39EFA5BE9}" name="Column13"/>
    <tableColumn id="14" xr3:uid="{3C629A57-E2FB-7E4C-B291-EEDB994F2A73}" name="Column14"/>
    <tableColumn id="15" xr3:uid="{CDA72EEA-D4C9-CF43-94C7-1F0DF899AEEE}" name="Column15"/>
    <tableColumn id="16" xr3:uid="{850322C9-701B-D445-8D36-CCF190CA42CD}" name="Column16"/>
    <tableColumn id="17" xr3:uid="{83FF7DBC-205D-EC4C-A5AD-3BE61D020931}" name="Column17"/>
    <tableColumn id="18" xr3:uid="{39D26D45-8BA4-1E47-916A-27858FF6A5A4}" name="Column18"/>
    <tableColumn id="19" xr3:uid="{32E095F8-B628-1247-BF3B-D8422E732113}" name="Column19"/>
    <tableColumn id="20" xr3:uid="{D2F4ED0C-8B41-D144-8755-6F2AB0F8EF72}" name="Column20"/>
    <tableColumn id="21" xr3:uid="{74F299FB-9B04-C541-8918-F0CF7E0B3F7B}" name="Column21"/>
    <tableColumn id="22" xr3:uid="{C698B26C-EA64-5843-A038-C1BF88F766D8}" name="Column22"/>
    <tableColumn id="23" xr3:uid="{B596167F-D674-6848-977D-14709369F8C4}" name="Column23"/>
    <tableColumn id="24" xr3:uid="{E5175A8D-C77A-E343-80D4-52AD9A5B6196}" name="Column24"/>
    <tableColumn id="25" xr3:uid="{03647EBB-9726-3340-9968-FFB73E9E8A35}" name="Column2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3853E-76E3-4347-AE2B-799A12541A97}">
  <sheetPr>
    <tabColor theme="8"/>
  </sheetPr>
  <dimension ref="A1:FH137"/>
  <sheetViews>
    <sheetView zoomScaleNormal="60" zoomScaleSheetLayoutView="100" workbookViewId="0">
      <selection activeCell="H7" sqref="H7"/>
    </sheetView>
  </sheetViews>
  <sheetFormatPr baseColWidth="10" defaultColWidth="8.83203125" defaultRowHeight="15" x14ac:dyDescent="0.2"/>
  <cols>
    <col min="7" max="7" width="13.6640625" bestFit="1" customWidth="1"/>
    <col min="8" max="8" width="14" bestFit="1" customWidth="1"/>
    <col min="9" max="9" width="13.6640625" bestFit="1" customWidth="1"/>
    <col min="16" max="16" width="15.33203125" bestFit="1" customWidth="1"/>
    <col min="35" max="35" width="10" bestFit="1" customWidth="1"/>
    <col min="36" max="36" width="11" bestFit="1" customWidth="1"/>
    <col min="37" max="37" width="10.5" bestFit="1" customWidth="1"/>
    <col min="38" max="38" width="10" bestFit="1" customWidth="1"/>
    <col min="39" max="39" width="10.83203125" bestFit="1" customWidth="1"/>
    <col min="40" max="40" width="10.1640625" bestFit="1" customWidth="1"/>
    <col min="53" max="53" width="10.5" bestFit="1" customWidth="1"/>
    <col min="54" max="54" width="11.5" bestFit="1" customWidth="1"/>
    <col min="55" max="55" width="10.83203125" bestFit="1" customWidth="1"/>
    <col min="56" max="56" width="10.5" bestFit="1" customWidth="1"/>
    <col min="57" max="57" width="11.5" bestFit="1" customWidth="1"/>
    <col min="58" max="58" width="10.83203125" bestFit="1" customWidth="1"/>
    <col min="71" max="71" width="10" bestFit="1" customWidth="1"/>
    <col min="72" max="72" width="11" bestFit="1" customWidth="1"/>
    <col min="73" max="74" width="10.5" bestFit="1" customWidth="1"/>
    <col min="75" max="75" width="11.5" bestFit="1" customWidth="1"/>
    <col min="76" max="76" width="10.83203125" bestFit="1" customWidth="1"/>
    <col min="109" max="133" width="10.1640625" customWidth="1"/>
  </cols>
  <sheetData>
    <row r="1" spans="1:133" x14ac:dyDescent="0.2">
      <c r="B1" s="1" t="s">
        <v>160</v>
      </c>
    </row>
    <row r="2" spans="1:133" x14ac:dyDescent="0.2">
      <c r="B2" t="s">
        <v>91</v>
      </c>
    </row>
    <row r="4" spans="1:133" ht="21" x14ac:dyDescent="0.25">
      <c r="B4" s="25" t="s">
        <v>166</v>
      </c>
      <c r="DE4" s="1"/>
    </row>
    <row r="5" spans="1:133" x14ac:dyDescent="0.2">
      <c r="DE5" s="1"/>
    </row>
    <row r="6" spans="1:133" x14ac:dyDescent="0.2">
      <c r="DE6" s="1"/>
    </row>
    <row r="7" spans="1:133" x14ac:dyDescent="0.2">
      <c r="DE7" s="1"/>
    </row>
    <row r="8" spans="1:133" x14ac:dyDescent="0.2">
      <c r="B8" t="s">
        <v>161</v>
      </c>
      <c r="O8" t="s">
        <v>141</v>
      </c>
      <c r="CD8" t="s">
        <v>140</v>
      </c>
      <c r="DE8" t="s">
        <v>153</v>
      </c>
    </row>
    <row r="9" spans="1:133" s="2" customFormat="1" x14ac:dyDescent="0.2">
      <c r="B9" s="2" t="s">
        <v>162</v>
      </c>
      <c r="O9" s="2" t="s">
        <v>165</v>
      </c>
      <c r="CD9" s="2" t="s">
        <v>163</v>
      </c>
      <c r="DE9" s="2" t="s">
        <v>164</v>
      </c>
    </row>
    <row r="11" spans="1:133" x14ac:dyDescent="0.2">
      <c r="B11" t="s">
        <v>41</v>
      </c>
      <c r="C11" t="s">
        <v>90</v>
      </c>
      <c r="D11" t="s">
        <v>0</v>
      </c>
      <c r="E11" t="s">
        <v>3</v>
      </c>
      <c r="F11" t="s">
        <v>6</v>
      </c>
      <c r="G11" t="s">
        <v>13</v>
      </c>
      <c r="H11" t="s">
        <v>42</v>
      </c>
      <c r="I11" t="s">
        <v>43</v>
      </c>
      <c r="J11" t="s">
        <v>27</v>
      </c>
      <c r="K11" t="s">
        <v>54</v>
      </c>
      <c r="L11" t="s">
        <v>45</v>
      </c>
      <c r="O11" t="s">
        <v>41</v>
      </c>
      <c r="P11" t="s">
        <v>90</v>
      </c>
      <c r="Q11" t="s">
        <v>0</v>
      </c>
      <c r="R11" t="s">
        <v>2</v>
      </c>
      <c r="S11" t="s">
        <v>1</v>
      </c>
      <c r="T11" t="s">
        <v>3</v>
      </c>
      <c r="U11" t="s">
        <v>5</v>
      </c>
      <c r="V11" t="s">
        <v>4</v>
      </c>
      <c r="W11" t="s">
        <v>6</v>
      </c>
      <c r="X11" t="s">
        <v>8</v>
      </c>
      <c r="Y11" t="s">
        <v>7</v>
      </c>
      <c r="Z11" t="s">
        <v>27</v>
      </c>
      <c r="AA11" t="s">
        <v>31</v>
      </c>
      <c r="AB11" t="s">
        <v>29</v>
      </c>
      <c r="AC11" t="s">
        <v>30</v>
      </c>
      <c r="AD11" t="s">
        <v>32</v>
      </c>
      <c r="AE11" t="s">
        <v>28</v>
      </c>
      <c r="AF11" t="s">
        <v>48</v>
      </c>
      <c r="AG11" t="s">
        <v>68</v>
      </c>
      <c r="AH11" t="s">
        <v>49</v>
      </c>
      <c r="AI11" t="s">
        <v>102</v>
      </c>
      <c r="AJ11" t="s">
        <v>103</v>
      </c>
      <c r="AK11" t="s">
        <v>104</v>
      </c>
      <c r="AL11" t="s">
        <v>105</v>
      </c>
      <c r="AM11" t="s">
        <v>106</v>
      </c>
      <c r="AN11" t="s">
        <v>107</v>
      </c>
      <c r="AO11" t="s">
        <v>57</v>
      </c>
      <c r="AP11" t="s">
        <v>70</v>
      </c>
      <c r="AQ11" t="s">
        <v>50</v>
      </c>
      <c r="AR11" t="s">
        <v>54</v>
      </c>
      <c r="AS11" t="s">
        <v>76</v>
      </c>
      <c r="AT11" t="s">
        <v>63</v>
      </c>
      <c r="AU11" t="s">
        <v>40</v>
      </c>
      <c r="AV11" t="s">
        <v>66</v>
      </c>
      <c r="AW11" t="s">
        <v>56</v>
      </c>
      <c r="AX11" t="s">
        <v>59</v>
      </c>
      <c r="AY11" t="s">
        <v>72</v>
      </c>
      <c r="AZ11" t="s">
        <v>52</v>
      </c>
      <c r="BA11" t="s">
        <v>108</v>
      </c>
      <c r="BB11" t="s">
        <v>109</v>
      </c>
      <c r="BC11" t="s">
        <v>110</v>
      </c>
      <c r="BD11" t="s">
        <v>111</v>
      </c>
      <c r="BE11" t="s">
        <v>112</v>
      </c>
      <c r="BF11" t="s">
        <v>113</v>
      </c>
      <c r="BG11" t="s">
        <v>85</v>
      </c>
      <c r="BH11" t="s">
        <v>89</v>
      </c>
      <c r="BI11" t="s">
        <v>84</v>
      </c>
      <c r="BJ11" t="s">
        <v>45</v>
      </c>
      <c r="BK11" t="s">
        <v>65</v>
      </c>
      <c r="BL11" t="s">
        <v>55</v>
      </c>
      <c r="BM11" t="s">
        <v>38</v>
      </c>
      <c r="BN11" t="s">
        <v>75</v>
      </c>
      <c r="BO11" t="s">
        <v>62</v>
      </c>
      <c r="BP11" t="s">
        <v>51</v>
      </c>
      <c r="BQ11" t="s">
        <v>71</v>
      </c>
      <c r="BR11" t="s">
        <v>58</v>
      </c>
      <c r="BS11" t="s">
        <v>114</v>
      </c>
      <c r="BT11" t="s">
        <v>115</v>
      </c>
      <c r="BU11" t="s">
        <v>116</v>
      </c>
      <c r="BV11" t="s">
        <v>117</v>
      </c>
      <c r="BW11" t="s">
        <v>118</v>
      </c>
      <c r="BX11" t="s">
        <v>139</v>
      </c>
      <c r="BY11" t="s">
        <v>82</v>
      </c>
      <c r="BZ11" t="s">
        <v>83</v>
      </c>
      <c r="CA11" t="s">
        <v>78</v>
      </c>
      <c r="CD11" t="s">
        <v>41</v>
      </c>
      <c r="CE11" t="s">
        <v>90</v>
      </c>
      <c r="CF11" t="s">
        <v>0</v>
      </c>
      <c r="CG11" t="s">
        <v>2</v>
      </c>
      <c r="CH11" t="s">
        <v>1</v>
      </c>
      <c r="CI11" t="s">
        <v>3</v>
      </c>
      <c r="CJ11" t="s">
        <v>5</v>
      </c>
      <c r="CK11" t="s">
        <v>4</v>
      </c>
      <c r="CL11" t="s">
        <v>6</v>
      </c>
      <c r="CM11" t="s">
        <v>8</v>
      </c>
      <c r="CN11" t="s">
        <v>7</v>
      </c>
      <c r="CO11" t="s">
        <v>92</v>
      </c>
      <c r="CP11" t="s">
        <v>9</v>
      </c>
      <c r="CQ11" t="s">
        <v>93</v>
      </c>
      <c r="CR11" t="s">
        <v>94</v>
      </c>
      <c r="CS11" t="s">
        <v>95</v>
      </c>
      <c r="CT11" t="s">
        <v>10</v>
      </c>
      <c r="CU11" t="s">
        <v>96</v>
      </c>
      <c r="CV11" t="s">
        <v>97</v>
      </c>
      <c r="CW11" t="s">
        <v>98</v>
      </c>
      <c r="CX11" t="s">
        <v>99</v>
      </c>
      <c r="CY11" t="s">
        <v>100</v>
      </c>
      <c r="CZ11" t="s">
        <v>101</v>
      </c>
      <c r="DA11" t="s">
        <v>11</v>
      </c>
      <c r="DB11" t="s">
        <v>12</v>
      </c>
      <c r="DE11" t="s">
        <v>41</v>
      </c>
      <c r="DF11" t="s">
        <v>142</v>
      </c>
      <c r="DG11" t="s">
        <v>14</v>
      </c>
      <c r="DH11" t="s">
        <v>16</v>
      </c>
      <c r="DI11" t="s">
        <v>15</v>
      </c>
      <c r="DJ11" t="s">
        <v>17</v>
      </c>
      <c r="DK11" t="s">
        <v>19</v>
      </c>
      <c r="DL11" t="s">
        <v>18</v>
      </c>
      <c r="DM11" t="s">
        <v>20</v>
      </c>
      <c r="DN11" t="s">
        <v>22</v>
      </c>
      <c r="DO11" t="s">
        <v>21</v>
      </c>
      <c r="DP11" t="s">
        <v>143</v>
      </c>
      <c r="DQ11" t="s">
        <v>23</v>
      </c>
      <c r="DR11" t="s">
        <v>144</v>
      </c>
      <c r="DS11" t="s">
        <v>145</v>
      </c>
      <c r="DT11" t="s">
        <v>146</v>
      </c>
      <c r="DU11" t="s">
        <v>24</v>
      </c>
      <c r="DV11" t="s">
        <v>147</v>
      </c>
      <c r="DW11" t="s">
        <v>148</v>
      </c>
      <c r="DX11" t="s">
        <v>149</v>
      </c>
      <c r="DY11" t="s">
        <v>150</v>
      </c>
      <c r="DZ11" t="s">
        <v>151</v>
      </c>
      <c r="EA11" t="s">
        <v>152</v>
      </c>
      <c r="EB11" t="s">
        <v>25</v>
      </c>
      <c r="EC11" t="s">
        <v>26</v>
      </c>
    </row>
    <row r="12" spans="1:133" x14ac:dyDescent="0.2">
      <c r="A12" s="24" t="s">
        <v>119</v>
      </c>
      <c r="B12" t="s">
        <v>120</v>
      </c>
      <c r="C12" t="s">
        <v>120</v>
      </c>
      <c r="D12" t="s">
        <v>125</v>
      </c>
      <c r="E12" t="s">
        <v>120</v>
      </c>
      <c r="F12" t="s">
        <v>121</v>
      </c>
      <c r="G12" t="s">
        <v>120</v>
      </c>
      <c r="H12" t="s">
        <v>123</v>
      </c>
      <c r="I12" t="s">
        <v>120</v>
      </c>
      <c r="J12" t="s">
        <v>120</v>
      </c>
      <c r="K12" t="s">
        <v>120</v>
      </c>
      <c r="L12" t="s">
        <v>120</v>
      </c>
      <c r="O12" t="s">
        <v>120</v>
      </c>
      <c r="P12" t="str">
        <f>Table27[[#This Row],[orig]]</f>
        <v>white</v>
      </c>
      <c r="Q12" t="str">
        <f>Table29[[#This Row],[X]]</f>
        <v>orange</v>
      </c>
      <c r="R12" t="str" cm="1">
        <f t="array" ref="R12">_xlfn.XLOOKUP(TRUE, EXACT(Table27[[#This Row],[X]], Table27[orig]), Table27[X])</f>
        <v>yellow</v>
      </c>
      <c r="S12" t="str" cm="1">
        <f t="array" ref="S12">_xlfn.XLOOKUP(TRUE, EXACT(Table27[[#This Row],[X2]], Table27[orig]), Table27[X])</f>
        <v>red</v>
      </c>
      <c r="T12" t="str">
        <f>Table29[[#This Row],[Y]]</f>
        <v>white</v>
      </c>
      <c r="U12" t="str" cm="1">
        <f t="array" ref="U12">_xlfn.XLOOKUP(TRUE, EXACT(Table27[[#This Row],[Y]], Table27[orig]), Table27[Y])</f>
        <v>white</v>
      </c>
      <c r="V12" t="str" cm="1">
        <f t="array" ref="V12">_xlfn.XLOOKUP(TRUE, EXACT(Table27[[#This Row],[Y2]], Table27[orig]), Table27[Y])</f>
        <v>white</v>
      </c>
      <c r="W12" t="str">
        <f>Table29[[#This Row],[Z]]</f>
        <v>blue</v>
      </c>
      <c r="X12" t="str" cm="1">
        <f t="array" ref="X12">_xlfn.XLOOKUP(TRUE, EXACT(Table27[[#This Row],[Z]], Table27[orig]), Table27[Z])</f>
        <v>yellow</v>
      </c>
      <c r="Y12" t="str" cm="1">
        <f t="array" ref="Y12">_xlfn.XLOOKUP(TRUE, EXACT(Table27[[#This Row],[Z2]], Table27[orig]), Table27[Z])</f>
        <v>green</v>
      </c>
      <c r="Z12" t="str">
        <f>Table29[[#This Row],[R]]</f>
        <v>white</v>
      </c>
      <c r="AA12" t="str" cm="1">
        <f t="array" ref="AA12">_xlfn.XLOOKUP(TRUE, EXACT(Table27[[#This Row],[R]], Table27[orig]), Table27[R])</f>
        <v>white</v>
      </c>
      <c r="AB12" t="str" cm="1">
        <f t="array" ref="AB12">_xlfn.XLOOKUP(TRUE, EXACT(Table27[[#This Row],[R2]], Table27[orig]), Table27[R])</f>
        <v>white</v>
      </c>
      <c r="AC12" t="str" cm="1">
        <f t="array" ref="AC12">_xlfn.XLOOKUP(TRUE, EXACT(_xlfn.XLOOKUP(TRUE, EXACT(Table27[[#This Row],[Y2]], Table27[orig]), Table27[R]), Table27[orig]), Table27[Y2])</f>
        <v>white</v>
      </c>
      <c r="AD12" t="str" cm="1">
        <f t="array" ref="AD12">_xlfn.XLOOKUP(TRUE, EXACT(Table27[[#This Row],[L]], Table27[orig]), Table27[L])</f>
        <v>white</v>
      </c>
      <c r="AE12" t="str" cm="1">
        <f t="array" ref="AE12">_xlfn.XLOOKUP(TRUE, EXACT(Table27[[#This Row],[L2]], Table27[orig]), Table27[L])</f>
        <v>white</v>
      </c>
      <c r="AF12" t="str" cm="1">
        <f t="array" ref="AF12">_xlfn.XLOOKUP(TRUE, EXACT(Table27[[#This Row],[r-lower]], Table27[orig]), Table27[R''])</f>
        <v>orange</v>
      </c>
      <c r="AG12" t="str" cm="1">
        <f t="array" ref="AG12">_xlfn.XLOOKUP(TRUE, EXACT(Table27[[#This Row],[T]], Table27[orig]), Table27[T])</f>
        <v>yellow</v>
      </c>
      <c r="AH12" t="str" cm="1">
        <f t="array" ref="AH12">_xlfn.XLOOKUP(TRUE, EXACT(Table27[[#This Row],[T2]], Table27[orig]), Table27[T])</f>
        <v>red</v>
      </c>
      <c r="AI12" t="str" cm="1">
        <f t="array" ref="AI12">_xlfn.XLOOKUP(TRUE, EXACT(Table27[[#This Row],[X]], Table27[orig]), Table27[L])</f>
        <v>orange</v>
      </c>
      <c r="AJ12" t="str" cm="1">
        <f t="array" ref="AJ12">_xlfn.XLOOKUP(TRUE, EXACT(Table27[[#This Row],[r-lower]], Table27[orig]), Table27[r-lower])</f>
        <v>yellow</v>
      </c>
      <c r="AK12" t="str" cm="1">
        <f t="array" ref="AK12">_xlfn.XLOOKUP(TRUE, EXACT(Table27[[#This Row],[r2-lower]], Table27[orig]), Table27[r-lower])</f>
        <v>red</v>
      </c>
      <c r="AL12" t="str" cm="1">
        <f t="array" ref="AL12">_xlfn.XLOOKUP(TRUE, EXACT(Table27[[#This Row],[X'']], Table27[orig]), Table27[R])</f>
        <v>red</v>
      </c>
      <c r="AM12" t="str" cm="1">
        <f t="array" ref="AM12">_xlfn.XLOOKUP(TRUE, EXACT(Table27[[#This Row],[l-lower]], Table27[orig]), Table27[l-lower])</f>
        <v>yellow</v>
      </c>
      <c r="AN12" t="str" cm="1">
        <f t="array" ref="AN12">_xlfn.XLOOKUP(TRUE, EXACT(Table27[[#This Row],[l2-lower]], Table27[orig]), Table27[l-lower])</f>
        <v>orange</v>
      </c>
      <c r="AO12" t="str" cm="1">
        <f t="array" ref="AO12">_xlfn.XLOOKUP(TRUE, EXACT(Table27[[#This Row],[R]], Table27[orig]), Table27[L''])</f>
        <v>white</v>
      </c>
      <c r="AP12" t="str" cm="1">
        <f t="array" ref="AP12">_xlfn.XLOOKUP(TRUE, EXACT(Table27[[#This Row],[RL'']], Table27[orig]), Table27[RL''])</f>
        <v>white</v>
      </c>
      <c r="AQ12" t="str" cm="1">
        <f t="array" ref="AQ12">_xlfn.XLOOKUP(TRUE, EXACT(Table27[[#This Row],[R2L2]], Table27[orig]), Table27[RL''])</f>
        <v>white</v>
      </c>
      <c r="AR12" t="str">
        <f>Table29[[#This Row],[U]]</f>
        <v>white</v>
      </c>
      <c r="AS12" t="str" cm="1">
        <f t="array" ref="AS12">_xlfn.XLOOKUP(TRUE, EXACT(Table27[[#This Row],[U]], Table27[orig]), Table27[U])</f>
        <v>white</v>
      </c>
      <c r="AT12" t="str" cm="1">
        <f t="array" ref="AT12">_xlfn.XLOOKUP(TRUE, EXACT(Table27[[#This Row],[U2]], Table27[orig]), Table27[U])</f>
        <v>white</v>
      </c>
      <c r="AU12" t="str" cm="1">
        <f t="array" ref="AU12">_xlfn.XLOOKUP(TRUE, EXACT(_xlfn.XLOOKUP(TRUE, EXACT(Table27[[#This Row],[Z2]], Table27[orig]), Table27[U]), Table27[orig]), Table27[Z2])</f>
        <v>white</v>
      </c>
      <c r="AV12" t="str" cm="1">
        <f t="array" ref="AV12">_xlfn.XLOOKUP(TRUE, EXACT(Table27[[#This Row],[D]], Table27[orig]), Table27[D])</f>
        <v>white</v>
      </c>
      <c r="AW12" t="str" cm="1">
        <f t="array" ref="AW12">_xlfn.XLOOKUP(TRUE, EXACT(Table27[[#This Row],[D2]], Table27[orig]), Table27[D])</f>
        <v>white</v>
      </c>
      <c r="AX12" t="str" cm="1">
        <f t="array" ref="AX12">_xlfn.XLOOKUP(TRUE, EXACT(Table27[[#This Row],[u-lower]], Table27[orig]), Table27[U''])</f>
        <v>white</v>
      </c>
      <c r="AY12" t="str" cm="1">
        <f t="array" ref="AY12">_xlfn.XLOOKUP(TRUE, EXACT(Table27[[#This Row],[H]], Table27[orig]), Table27[H])</f>
        <v>white</v>
      </c>
      <c r="AZ12" t="str" cm="1">
        <f t="array" ref="AZ12">_xlfn.XLOOKUP(TRUE, EXACT(Table27[[#This Row],[H2]], Table27[orig]), Table27[H])</f>
        <v>white</v>
      </c>
      <c r="BA12" t="str" cm="1">
        <f t="array" ref="BA12">_xlfn.XLOOKUP(TRUE, EXACT(Table27[[#This Row],[Y]], Table27[orig]), Table27[D])</f>
        <v>white</v>
      </c>
      <c r="BB12" t="str" cm="1">
        <f t="array" ref="BB12">_xlfn.XLOOKUP(TRUE, EXACT(Table27[[#This Row],[u-lower]], Table27[orig]), Table27[u-lower])</f>
        <v>white</v>
      </c>
      <c r="BC12" t="str" cm="1">
        <f t="array" ref="BC12">_xlfn.XLOOKUP(TRUE, EXACT(Table27[[#This Row],[u2-lower]], Table27[orig]), Table27[u-lower])</f>
        <v>white</v>
      </c>
      <c r="BD12" t="str" cm="1">
        <f t="array" ref="BD12">_xlfn.XLOOKUP(TRUE, EXACT(Table27[[#This Row],[Y'']], Table27[orig]), Table27[U])</f>
        <v>white</v>
      </c>
      <c r="BE12" t="str" cm="1">
        <f t="array" ref="BE12">_xlfn.XLOOKUP(TRUE, EXACT(Table27[[#This Row],[d-lower]], Table27[orig]), Table27[d-lower])</f>
        <v>white</v>
      </c>
      <c r="BF12" t="str" cm="1">
        <f t="array" ref="BF12">_xlfn.XLOOKUP(TRUE, EXACT(Table27[[#This Row],[d2-lower]], Table27[orig]), Table27[d-lower])</f>
        <v>white</v>
      </c>
      <c r="BG12" t="str" cm="1">
        <f t="array" ref="BG12">_xlfn.XLOOKUP(TRUE, EXACT(Table27[[#This Row],[U]], Table27[orig]), Table27[D''])</f>
        <v>white</v>
      </c>
      <c r="BH12" t="str" cm="1">
        <f t="array" ref="BH12">_xlfn.XLOOKUP(TRUE, EXACT(Table27[[#This Row],[UD'']], Table27[orig]), Table27[UD''])</f>
        <v>white</v>
      </c>
      <c r="BI12" t="str" cm="1">
        <f t="array" ref="BI12">_xlfn.XLOOKUP(TRUE, EXACT(Table27[[#This Row],[U2D2]], Table27[orig]), Table27[UD''])</f>
        <v>white</v>
      </c>
      <c r="BJ12" t="str">
        <f>Table29[[#This Row],[F]]</f>
        <v>white</v>
      </c>
      <c r="BK12" t="str" cm="1">
        <f t="array" ref="BK12">_xlfn.XLOOKUP(TRUE, EXACT(Table27[[#This Row],[F]], Table27[orig]), Table27[F])</f>
        <v>white</v>
      </c>
      <c r="BL12" t="str" cm="1">
        <f t="array" ref="BL12">_xlfn.XLOOKUP(TRUE, EXACT(Table27[[#This Row],[F2]], Table27[orig]), Table27[F])</f>
        <v>white</v>
      </c>
      <c r="BM12" t="str" cm="1">
        <f t="array" ref="BM12">_xlfn.XLOOKUP(TRUE, EXACT(_xlfn.XLOOKUP(TRUE, EXACT(Table27[[#This Row],[X2]], Table27[orig]), Table27[F]), Table27[orig]), Table27[X2])</f>
        <v>white</v>
      </c>
      <c r="BN12" t="str" cm="1">
        <f t="array" ref="BN12">_xlfn.XLOOKUP(TRUE, EXACT(Table27[[#This Row],[B]], Table27[orig]), Table27[B])</f>
        <v>white</v>
      </c>
      <c r="BO12" t="str" cm="1">
        <f t="array" ref="BO12">_xlfn.XLOOKUP(TRUE, EXACT(Table27[[#This Row],[B2]], Table27[orig]), Table27[B])</f>
        <v>white</v>
      </c>
      <c r="BP12" t="str" cm="1">
        <f t="array" ref="BP12">_xlfn.XLOOKUP(TRUE, EXACT(Table27[[#This Row],[f-lower]], Table27[orig]), Table27[F''])</f>
        <v>blue</v>
      </c>
      <c r="BQ12" t="str" cm="1">
        <f t="array" ref="BQ12">_xlfn.XLOOKUP(TRUE, EXACT(Table27[[#This Row],[S]], Table27[orig]), Table27[S])</f>
        <v>yellow</v>
      </c>
      <c r="BR12" t="str" cm="1">
        <f t="array" ref="BR12">_xlfn.XLOOKUP(TRUE, EXACT(Table27[[#This Row],[S2]], Table27[orig]), Table27[S])</f>
        <v>green</v>
      </c>
      <c r="BS12" t="str" cm="1">
        <f t="array" ref="BS12">_xlfn.XLOOKUP(TRUE, EXACT(Table27[[#This Row],[Z]], Table27[orig]), Table27[B])</f>
        <v>blue</v>
      </c>
      <c r="BT12" t="str" cm="1">
        <f t="array" ref="BT12">_xlfn.XLOOKUP(TRUE, EXACT(Table27[[#This Row],[f-lower]], Table27[orig]), Table27[f-lower])</f>
        <v>yellow</v>
      </c>
      <c r="BU12" t="str" cm="1">
        <f t="array" ref="BU12">_xlfn.XLOOKUP(TRUE, EXACT(Table27[[#This Row],[f2-lower]], Table27[orig]), Table27[f-lower])</f>
        <v>green</v>
      </c>
      <c r="BV12" t="str" cm="1">
        <f t="array" ref="BV12">_xlfn.XLOOKUP(TRUE, EXACT(Table27[[#This Row],[Z'']], Table27[orig]), Table27[F])</f>
        <v>green</v>
      </c>
      <c r="BW12" t="str" cm="1">
        <f t="array" ref="BW12">_xlfn.XLOOKUP(TRUE, EXACT(Table27[[#This Row],[b-lower]], Table27[orig]), Table27[b-lower])</f>
        <v>yellow</v>
      </c>
      <c r="BX12" t="str" cm="1">
        <f t="array" ref="BX12">_xlfn.XLOOKUP(TRUE, EXACT(Table27[[#This Row],[b2-lower]], Table27[orig]), Table27[b-lower])</f>
        <v>blue</v>
      </c>
      <c r="BY12" t="str" cm="1">
        <f t="array" ref="BY12">_xlfn.XLOOKUP(TRUE, EXACT(Table27[[#This Row],[F]], Table27[orig]), Table27[B''])</f>
        <v>white</v>
      </c>
      <c r="BZ12" t="str" cm="1">
        <f t="array" ref="BZ12">_xlfn.XLOOKUP(TRUE, EXACT(Table27[[#This Row],[FB'']], Table27[orig]), Table27[FB''])</f>
        <v>white</v>
      </c>
      <c r="CA12" t="str" cm="1">
        <f t="array" ref="CA12">_xlfn.XLOOKUP(TRUE, EXACT(Table27[[#This Row],[F2B2]], Table27[orig]), Table27[FB''])</f>
        <v>white</v>
      </c>
      <c r="CD12" t="s">
        <v>120</v>
      </c>
      <c r="CE12" t="str">
        <f>Table28[[#This Row],[orig]]</f>
        <v>white</v>
      </c>
      <c r="CF12" t="str">
        <f>Table29[[#This Row],[X]]</f>
        <v>orange</v>
      </c>
      <c r="CG12" t="str" cm="1">
        <f t="array" ref="CG12">_xlfn.XLOOKUP(TRUE, EXACT(Table28[[#This Row],[X]], Table28[orig]), Table28[X])</f>
        <v>yellow</v>
      </c>
      <c r="CH12" t="str" cm="1">
        <f t="array" ref="CH12">_xlfn.XLOOKUP(TRUE, EXACT(Table28[[#This Row],[X2]], Table28[orig]), Table28[X])</f>
        <v>red</v>
      </c>
      <c r="CI12" t="str">
        <f>Table29[[#This Row],[Y]]</f>
        <v>white</v>
      </c>
      <c r="CJ12" t="str" cm="1">
        <f t="array" ref="CJ12">_xlfn.XLOOKUP(TRUE, EXACT(Table28[[#This Row],[Y]], Table28[orig]), Table28[Y])</f>
        <v>white</v>
      </c>
      <c r="CK12" t="str" cm="1">
        <f t="array" ref="CK12">_xlfn.XLOOKUP(TRUE, EXACT(Table28[[#This Row],[Y2]], Table28[orig]), Table28[Y])</f>
        <v>white</v>
      </c>
      <c r="CL12" t="str">
        <f>Table29[[#This Row],[Z]]</f>
        <v>blue</v>
      </c>
      <c r="CM12" t="str" cm="1">
        <f t="array" ref="CM12">_xlfn.XLOOKUP(TRUE, EXACT(Table28[[#This Row],[Z]], Table28[orig]), Table28[Z])</f>
        <v>yellow</v>
      </c>
      <c r="CN12" t="str" cm="1">
        <f t="array" ref="CN12">_xlfn.XLOOKUP(TRUE, EXACT(Table28[[#This Row],[Z2]], Table28[orig]), Table28[Z])</f>
        <v>green</v>
      </c>
      <c r="CO12" t="str" cm="1">
        <f t="array" ref="CO12">_xlfn.XLOOKUP(TRUE, EXACT(Table28[[#This Row],[Z]], Table28[orig]), Table28[X])</f>
        <v>blue</v>
      </c>
      <c r="CP12" t="str" cm="1">
        <f t="array" ref="CP12">_xlfn.XLOOKUP(TRUE, EXACT(Table28[[#This Row],[Y'']], Table28[orig]), Table28[X''])</f>
        <v>red</v>
      </c>
      <c r="CQ12" t="str" cm="1">
        <f t="array" ref="CQ12">_xlfn.XLOOKUP(TRUE, EXACT(Table28[[#This Row],[Y]], Table28[orig]), Table28[X''])</f>
        <v>red</v>
      </c>
      <c r="CR12" t="str" cm="1">
        <f t="array" ref="CR12">_xlfn.XLOOKUP(TRUE, EXACT(Table28[[#This Row],[Z'']], Table28[orig]), Table28[X])</f>
        <v>green</v>
      </c>
      <c r="CS12" t="str" cm="1">
        <f t="array" ref="CS12">_xlfn.XLOOKUP(TRUE, EXACT(Table28[[#This Row],[Z'']], Table28[orig]), Table28[X''])</f>
        <v>green</v>
      </c>
      <c r="CT12" t="str" cm="1">
        <f t="array" ref="CT12">_xlfn.XLOOKUP(TRUE, EXACT(Table28[[#This Row],[Y'']], Table28[orig]), Table28[X])</f>
        <v>orange</v>
      </c>
      <c r="CU12" t="str" cm="1">
        <f t="array" ref="CU12">_xlfn.XLOOKUP(TRUE, EXACT(Table28[[#This Row],[Y]], Table28[orig]), Table28[X])</f>
        <v>orange</v>
      </c>
      <c r="CV12" t="str" cm="1">
        <f t="array" ref="CV12">_xlfn.XLOOKUP(TRUE, EXACT(Table28[[#This Row],[Z]], Table28[orig]), Table28[X''])</f>
        <v>blue</v>
      </c>
      <c r="CW12" t="str" cm="1">
        <f t="array" ref="CW12">_xlfn.XLOOKUP(TRUE, EXACT(Table28[[#This Row],[Y'']], Table28[orig]), Table28[X2])</f>
        <v>yellow</v>
      </c>
      <c r="CX12" t="str" cm="1">
        <f t="array" ref="CX12">_xlfn.XLOOKUP(TRUE, EXACT(Table28[[#This Row],[Y]], Table28[orig]), Table28[X2])</f>
        <v>yellow</v>
      </c>
      <c r="CY12" t="str" cm="1">
        <f t="array" ref="CY12">_xlfn.XLOOKUP(TRUE, EXACT(Table28[[#This Row],[Z]], Table28[orig]), Table28[X2])</f>
        <v>blue</v>
      </c>
      <c r="CZ12" t="str" cm="1">
        <f t="array" ref="CZ12">_xlfn.XLOOKUP(TRUE, EXACT(Table28[[#This Row],[Z'']], Table28[orig]), Table28[X2])</f>
        <v>green</v>
      </c>
      <c r="DA12" t="str" cm="1">
        <f t="array" ref="DA12">_xlfn.XLOOKUP(TRUE, EXACT(Table28[[#This Row],[Z2]], Table28[orig]), Table28[X])</f>
        <v>red</v>
      </c>
      <c r="DB12" t="str" cm="1">
        <f t="array" ref="DB12">_xlfn.XLOOKUP(TRUE, EXACT(Table28[[#This Row],[Z2]], Table28[orig]), Table28[X''])</f>
        <v>orange</v>
      </c>
      <c r="DE12" s="6" t="s">
        <v>120</v>
      </c>
      <c r="DF12" t="str" cm="1">
        <f t="array" ref="DF12">_xlfn.XLOOKUP(TRUE, EXACT(Table28[[#This Row],[I]], Table29[orig]), Table29[T-reflection])</f>
        <v>white</v>
      </c>
      <c r="DG12" t="str" cm="1">
        <f t="array" ref="DG12">_xlfn.XLOOKUP(TRUE, EXACT(Table28[[#This Row],[X]], Table29[orig]), Table29[T-reflection])</f>
        <v>orange</v>
      </c>
      <c r="DH12" t="str" cm="1">
        <f t="array" ref="DH12">_xlfn.XLOOKUP(TRUE, EXACT(Table28[[#This Row],[X2]], Table29[orig]), Table29[T-reflection])</f>
        <v>yellow</v>
      </c>
      <c r="DI12" t="str" cm="1">
        <f t="array" ref="DI12">_xlfn.XLOOKUP(TRUE, EXACT(Table28[[#This Row],[X'']], Table29[orig]), Table29[T-reflection])</f>
        <v>red</v>
      </c>
      <c r="DJ12" t="str" cm="1">
        <f t="array" ref="DJ12">_xlfn.XLOOKUP(TRUE, EXACT(Table28[[#This Row],[Y]], Table29[orig]), Table29[T-reflection])</f>
        <v>white</v>
      </c>
      <c r="DK12" t="str" cm="1">
        <f t="array" ref="DK12">_xlfn.XLOOKUP(TRUE, EXACT(Table28[[#This Row],[Y2]], Table29[orig]), Table29[T-reflection])</f>
        <v>white</v>
      </c>
      <c r="DL12" t="str" cm="1">
        <f t="array" ref="DL12">_xlfn.XLOOKUP(TRUE, EXACT(Table28[[#This Row],[Y'']], Table29[orig]), Table29[T-reflection])</f>
        <v>white</v>
      </c>
      <c r="DM12" t="str" cm="1">
        <f t="array" ref="DM12">_xlfn.XLOOKUP(TRUE, EXACT(Table28[[#This Row],[Z]], Table29[orig]), Table29[T-reflection])</f>
        <v>green</v>
      </c>
      <c r="DN12" t="str" cm="1">
        <f t="array" ref="DN12">_xlfn.XLOOKUP(TRUE, EXACT(Table28[[#This Row],[Z2]], Table29[orig]), Table29[T-reflection])</f>
        <v>yellow</v>
      </c>
      <c r="DO12" t="str" cm="1">
        <f t="array" ref="DO12">_xlfn.XLOOKUP(TRUE, EXACT(Table28[[#This Row],[Z'']], Table29[orig]), Table29[T-reflection])</f>
        <v>blue</v>
      </c>
      <c r="DP12" t="str" cm="1">
        <f t="array" ref="DP12">_xlfn.XLOOKUP(TRUE, EXACT(Table28[[#This Row],[Z X]], Table29[orig]), Table29[T-reflection])</f>
        <v>green</v>
      </c>
      <c r="DQ12" t="str" cm="1">
        <f t="array" ref="DQ12">_xlfn.XLOOKUP(TRUE, EXACT(Table28[[#This Row],[Y'' X'']], Table29[orig]), Table29[T-reflection])</f>
        <v>red</v>
      </c>
      <c r="DR12" t="str" cm="1">
        <f t="array" ref="DR12">_xlfn.XLOOKUP(TRUE, EXACT(Table28[[#This Row],[Y X'']], Table29[orig]), Table29[T-reflection])</f>
        <v>red</v>
      </c>
      <c r="DS12" t="str" cm="1">
        <f t="array" ref="DS12">_xlfn.XLOOKUP(TRUE, EXACT(Table28[[#This Row],[Z'' X]], Table29[orig]), Table29[T-reflection])</f>
        <v>blue</v>
      </c>
      <c r="DT12" t="str" cm="1">
        <f t="array" ref="DT12">_xlfn.XLOOKUP(TRUE, EXACT(Table28[[#This Row],[Z'' X'']], Table29[orig]), Table29[T-reflection])</f>
        <v>blue</v>
      </c>
      <c r="DU12" t="str" cm="1">
        <f t="array" ref="DU12">_xlfn.XLOOKUP(TRUE, EXACT(Table28[[#This Row],[Y'' X]], Table29[orig]), Table29[T-reflection])</f>
        <v>orange</v>
      </c>
      <c r="DV12" t="str" cm="1">
        <f t="array" ref="DV12">_xlfn.XLOOKUP(TRUE, EXACT(Table28[[#This Row],[Y X]], Table29[orig]), Table29[T-reflection])</f>
        <v>orange</v>
      </c>
      <c r="DW12" t="str" cm="1">
        <f t="array" ref="DW12">_xlfn.XLOOKUP(TRUE, EXACT(Table28[[#This Row],[Z X'']], Table29[orig]), Table29[T-reflection])</f>
        <v>green</v>
      </c>
      <c r="DX12" t="str" cm="1">
        <f t="array" ref="DX12">_xlfn.XLOOKUP(TRUE, EXACT(Table28[[#This Row],[Y'' X2]], Table29[orig]), Table29[T-reflection])</f>
        <v>yellow</v>
      </c>
      <c r="DY12" t="str" cm="1">
        <f t="array" ref="DY12">_xlfn.XLOOKUP(TRUE, EXACT(Table28[[#This Row],[Y X2]], Table29[orig]), Table29[T-reflection])</f>
        <v>yellow</v>
      </c>
      <c r="DZ12" t="str" cm="1">
        <f t="array" ref="DZ12">_xlfn.XLOOKUP(TRUE, EXACT(Table28[[#This Row],[Z X2]], Table29[orig]), Table29[T-reflection])</f>
        <v>green</v>
      </c>
      <c r="EA12" t="str" cm="1">
        <f t="array" ref="EA12">_xlfn.XLOOKUP(TRUE, EXACT(Table28[[#This Row],[Z'' X2]], Table29[orig]), Table29[T-reflection])</f>
        <v>blue</v>
      </c>
      <c r="EB12" t="str" cm="1">
        <f t="array" ref="EB12">_xlfn.XLOOKUP(TRUE, EXACT(Table28[[#This Row],[Z2 X]], Table29[orig]), Table29[T-reflection])</f>
        <v>red</v>
      </c>
      <c r="EC12" t="str" cm="1">
        <f t="array" ref="EC12">_xlfn.XLOOKUP(TRUE, EXACT(Table28[[#This Row],[Z2 X'']], Table29[orig]), Table29[T-reflection])</f>
        <v>orange</v>
      </c>
    </row>
    <row r="13" spans="1:133" x14ac:dyDescent="0.2">
      <c r="A13" s="24"/>
      <c r="B13" t="s">
        <v>121</v>
      </c>
      <c r="C13" t="s">
        <v>121</v>
      </c>
      <c r="D13" t="s">
        <v>121</v>
      </c>
      <c r="E13" t="s">
        <v>122</v>
      </c>
      <c r="F13" t="s">
        <v>123</v>
      </c>
      <c r="G13" t="s">
        <v>124</v>
      </c>
      <c r="H13" t="s">
        <v>121</v>
      </c>
      <c r="I13" t="s">
        <v>121</v>
      </c>
      <c r="J13" t="s">
        <v>121</v>
      </c>
      <c r="K13" t="s">
        <v>121</v>
      </c>
      <c r="L13" t="s">
        <v>121</v>
      </c>
      <c r="O13" t="s">
        <v>121</v>
      </c>
      <c r="P13" t="str">
        <f>Table27[[#This Row],[orig]]</f>
        <v>blue</v>
      </c>
      <c r="Q13" t="str">
        <f>Table29[[#This Row],[X]]</f>
        <v>blue</v>
      </c>
      <c r="R13" t="str" cm="1">
        <f t="array" ref="R13">_xlfn.XLOOKUP(TRUE, EXACT(Table27[[#This Row],[X]], Table27[orig]), Table27[X])</f>
        <v>blue</v>
      </c>
      <c r="S13" t="str" cm="1">
        <f t="array" ref="S13">_xlfn.XLOOKUP(TRUE, EXACT(Table27[[#This Row],[X2]], Table27[orig]), Table27[X])</f>
        <v>blue</v>
      </c>
      <c r="T13" t="str">
        <f>Table29[[#This Row],[Y]]</f>
        <v>red</v>
      </c>
      <c r="U13" t="str" cm="1">
        <f t="array" ref="U13">_xlfn.XLOOKUP(TRUE, EXACT(Table27[[#This Row],[Y]], Table27[orig]), Table27[Y])</f>
        <v>green</v>
      </c>
      <c r="V13" t="str" cm="1">
        <f t="array" ref="V13">_xlfn.XLOOKUP(TRUE, EXACT(Table27[[#This Row],[Y2]], Table27[orig]), Table27[Y])</f>
        <v>orange</v>
      </c>
      <c r="W13" t="str">
        <f>Table29[[#This Row],[Z]]</f>
        <v>yellow</v>
      </c>
      <c r="X13" t="str" cm="1">
        <f t="array" ref="X13">_xlfn.XLOOKUP(TRUE, EXACT(Table27[[#This Row],[Z]], Table27[orig]), Table27[Z])</f>
        <v>green</v>
      </c>
      <c r="Y13" t="str" cm="1">
        <f t="array" ref="Y13">_xlfn.XLOOKUP(TRUE, EXACT(Table27[[#This Row],[Z2]], Table27[orig]), Table27[Z])</f>
        <v>white</v>
      </c>
      <c r="Z13" t="str">
        <f>Table29[[#This Row],[R]]</f>
        <v>blue</v>
      </c>
      <c r="AA13" t="str" cm="1">
        <f t="array" ref="AA13">_xlfn.XLOOKUP(TRUE, EXACT(Table27[[#This Row],[R]], Table27[orig]), Table27[R])</f>
        <v>blue</v>
      </c>
      <c r="AB13" t="str" cm="1">
        <f t="array" ref="AB13">_xlfn.XLOOKUP(TRUE, EXACT(Table27[[#This Row],[R2]], Table27[orig]), Table27[R])</f>
        <v>blue</v>
      </c>
      <c r="AC13" t="str" cm="1">
        <f t="array" ref="AC13">_xlfn.XLOOKUP(TRUE, EXACT(_xlfn.XLOOKUP(TRUE, EXACT(Table27[[#This Row],[Y2]], Table27[orig]), Table27[R]), Table27[orig]), Table27[Y2])</f>
        <v>blue</v>
      </c>
      <c r="AD13" t="str" cm="1">
        <f t="array" ref="AD13">_xlfn.XLOOKUP(TRUE, EXACT(Table27[[#This Row],[L]], Table27[orig]), Table27[L])</f>
        <v>blue</v>
      </c>
      <c r="AE13" t="str" cm="1">
        <f t="array" ref="AE13">_xlfn.XLOOKUP(TRUE, EXACT(Table27[[#This Row],[L2]], Table27[orig]), Table27[L])</f>
        <v>blue</v>
      </c>
      <c r="AF13" t="str" cm="1">
        <f t="array" ref="AF13">_xlfn.XLOOKUP(TRUE, EXACT(Table27[[#This Row],[r-lower]], Table27[orig]), Table27[R''])</f>
        <v>blue</v>
      </c>
      <c r="AG13" t="str" cm="1">
        <f t="array" ref="AG13">_xlfn.XLOOKUP(TRUE, EXACT(Table27[[#This Row],[T]], Table27[orig]), Table27[T])</f>
        <v>blue</v>
      </c>
      <c r="AH13" t="str" cm="1">
        <f t="array" ref="AH13">_xlfn.XLOOKUP(TRUE, EXACT(Table27[[#This Row],[T2]], Table27[orig]), Table27[T])</f>
        <v>blue</v>
      </c>
      <c r="AI13" t="str" cm="1">
        <f t="array" ref="AI13">_xlfn.XLOOKUP(TRUE, EXACT(Table27[[#This Row],[X]], Table27[orig]), Table27[L])</f>
        <v>blue</v>
      </c>
      <c r="AJ13" t="str" cm="1">
        <f t="array" ref="AJ13">_xlfn.XLOOKUP(TRUE, EXACT(Table27[[#This Row],[r-lower]], Table27[orig]), Table27[r-lower])</f>
        <v>blue</v>
      </c>
      <c r="AK13" t="str" cm="1">
        <f t="array" ref="AK13">_xlfn.XLOOKUP(TRUE, EXACT(Table27[[#This Row],[r2-lower]], Table27[orig]), Table27[r-lower])</f>
        <v>blue</v>
      </c>
      <c r="AL13" t="str" cm="1">
        <f t="array" ref="AL13">_xlfn.XLOOKUP(TRUE, EXACT(Table27[[#This Row],[X'']], Table27[orig]), Table27[R])</f>
        <v>blue</v>
      </c>
      <c r="AM13" t="str" cm="1">
        <f t="array" ref="AM13">_xlfn.XLOOKUP(TRUE, EXACT(Table27[[#This Row],[l-lower]], Table27[orig]), Table27[l-lower])</f>
        <v>blue</v>
      </c>
      <c r="AN13" t="str" cm="1">
        <f t="array" ref="AN13">_xlfn.XLOOKUP(TRUE, EXACT(Table27[[#This Row],[l2-lower]], Table27[orig]), Table27[l-lower])</f>
        <v>blue</v>
      </c>
      <c r="AO13" t="str" cm="1">
        <f t="array" ref="AO13">_xlfn.XLOOKUP(TRUE, EXACT(Table27[[#This Row],[R]], Table27[orig]), Table27[L''])</f>
        <v>blue</v>
      </c>
      <c r="AP13" t="str" cm="1">
        <f t="array" ref="AP13">_xlfn.XLOOKUP(TRUE, EXACT(Table27[[#This Row],[RL'']], Table27[orig]), Table27[RL''])</f>
        <v>blue</v>
      </c>
      <c r="AQ13" t="str" cm="1">
        <f t="array" ref="AQ13">_xlfn.XLOOKUP(TRUE, EXACT(Table27[[#This Row],[R2L2]], Table27[orig]), Table27[RL''])</f>
        <v>blue</v>
      </c>
      <c r="AR13" t="str">
        <f>Table29[[#This Row],[U]]</f>
        <v>blue</v>
      </c>
      <c r="AS13" t="str" cm="1">
        <f t="array" ref="AS13">_xlfn.XLOOKUP(TRUE, EXACT(Table27[[#This Row],[U]], Table27[orig]), Table27[U])</f>
        <v>blue</v>
      </c>
      <c r="AT13" t="str" cm="1">
        <f t="array" ref="AT13">_xlfn.XLOOKUP(TRUE, EXACT(Table27[[#This Row],[U2]], Table27[orig]), Table27[U])</f>
        <v>blue</v>
      </c>
      <c r="AU13" t="str" cm="1">
        <f t="array" ref="AU13">_xlfn.XLOOKUP(TRUE, EXACT(_xlfn.XLOOKUP(TRUE, EXACT(Table27[[#This Row],[Z2]], Table27[orig]), Table27[U]), Table27[orig]), Table27[Z2])</f>
        <v>blue</v>
      </c>
      <c r="AV13" t="str" cm="1">
        <f t="array" ref="AV13">_xlfn.XLOOKUP(TRUE, EXACT(Table27[[#This Row],[D]], Table27[orig]), Table27[D])</f>
        <v>blue</v>
      </c>
      <c r="AW13" t="str" cm="1">
        <f t="array" ref="AW13">_xlfn.XLOOKUP(TRUE, EXACT(Table27[[#This Row],[D2]], Table27[orig]), Table27[D])</f>
        <v>blue</v>
      </c>
      <c r="AX13" t="str" cm="1">
        <f t="array" ref="AX13">_xlfn.XLOOKUP(TRUE, EXACT(Table27[[#This Row],[u-lower]], Table27[orig]), Table27[U''])</f>
        <v>red</v>
      </c>
      <c r="AY13" t="str" cm="1">
        <f t="array" ref="AY13">_xlfn.XLOOKUP(TRUE, EXACT(Table27[[#This Row],[H]], Table27[orig]), Table27[H])</f>
        <v>green</v>
      </c>
      <c r="AZ13" t="str" cm="1">
        <f t="array" ref="AZ13">_xlfn.XLOOKUP(TRUE, EXACT(Table27[[#This Row],[H2]], Table27[orig]), Table27[H])</f>
        <v>orange</v>
      </c>
      <c r="BA13" t="str" cm="1">
        <f t="array" ref="BA13">_xlfn.XLOOKUP(TRUE, EXACT(Table27[[#This Row],[Y]], Table27[orig]), Table27[D])</f>
        <v>red</v>
      </c>
      <c r="BB13" t="str" cm="1">
        <f t="array" ref="BB13">_xlfn.XLOOKUP(TRUE, EXACT(Table27[[#This Row],[u-lower]], Table27[orig]), Table27[u-lower])</f>
        <v>green</v>
      </c>
      <c r="BC13" t="str" cm="1">
        <f t="array" ref="BC13">_xlfn.XLOOKUP(TRUE, EXACT(Table27[[#This Row],[u2-lower]], Table27[orig]), Table27[u-lower])</f>
        <v>orange</v>
      </c>
      <c r="BD13" t="str" cm="1">
        <f t="array" ref="BD13">_xlfn.XLOOKUP(TRUE, EXACT(Table27[[#This Row],[Y'']], Table27[orig]), Table27[U])</f>
        <v>orange</v>
      </c>
      <c r="BE13" t="str" cm="1">
        <f t="array" ref="BE13">_xlfn.XLOOKUP(TRUE, EXACT(Table27[[#This Row],[d-lower]], Table27[orig]), Table27[d-lower])</f>
        <v>green</v>
      </c>
      <c r="BF13" t="str" cm="1">
        <f t="array" ref="BF13">_xlfn.XLOOKUP(TRUE, EXACT(Table27[[#This Row],[d2-lower]], Table27[orig]), Table27[d-lower])</f>
        <v>red</v>
      </c>
      <c r="BG13" t="str" cm="1">
        <f t="array" ref="BG13">_xlfn.XLOOKUP(TRUE, EXACT(Table27[[#This Row],[U]], Table27[orig]), Table27[D''])</f>
        <v>blue</v>
      </c>
      <c r="BH13" t="str" cm="1">
        <f t="array" ref="BH13">_xlfn.XLOOKUP(TRUE, EXACT(Table27[[#This Row],[UD'']], Table27[orig]), Table27[UD''])</f>
        <v>blue</v>
      </c>
      <c r="BI13" t="str" cm="1">
        <f t="array" ref="BI13">_xlfn.XLOOKUP(TRUE, EXACT(Table27[[#This Row],[U2D2]], Table27[orig]), Table27[UD''])</f>
        <v>blue</v>
      </c>
      <c r="BJ13" t="str">
        <f>Table29[[#This Row],[F]]</f>
        <v>blue</v>
      </c>
      <c r="BK13" t="str" cm="1">
        <f t="array" ref="BK13">_xlfn.XLOOKUP(TRUE, EXACT(Table27[[#This Row],[F]], Table27[orig]), Table27[F])</f>
        <v>blue</v>
      </c>
      <c r="BL13" t="str" cm="1">
        <f t="array" ref="BL13">_xlfn.XLOOKUP(TRUE, EXACT(Table27[[#This Row],[F2]], Table27[orig]), Table27[F])</f>
        <v>blue</v>
      </c>
      <c r="BM13" t="str" cm="1">
        <f t="array" ref="BM13">_xlfn.XLOOKUP(TRUE, EXACT(_xlfn.XLOOKUP(TRUE, EXACT(Table27[[#This Row],[X2]], Table27[orig]), Table27[F]), Table27[orig]), Table27[X2])</f>
        <v>blue</v>
      </c>
      <c r="BN13" t="str" cm="1">
        <f t="array" ref="BN13">_xlfn.XLOOKUP(TRUE, EXACT(Table27[[#This Row],[B]], Table27[orig]), Table27[B])</f>
        <v>blue</v>
      </c>
      <c r="BO13" t="str" cm="1">
        <f t="array" ref="BO13">_xlfn.XLOOKUP(TRUE, EXACT(Table27[[#This Row],[B2]], Table27[orig]), Table27[B])</f>
        <v>blue</v>
      </c>
      <c r="BP13" t="str" cm="1">
        <f t="array" ref="BP13">_xlfn.XLOOKUP(TRUE, EXACT(Table27[[#This Row],[f-lower]], Table27[orig]), Table27[F''])</f>
        <v>yellow</v>
      </c>
      <c r="BQ13" t="str" cm="1">
        <f t="array" ref="BQ13">_xlfn.XLOOKUP(TRUE, EXACT(Table27[[#This Row],[S]], Table27[orig]), Table27[S])</f>
        <v>green</v>
      </c>
      <c r="BR13" t="str" cm="1">
        <f t="array" ref="BR13">_xlfn.XLOOKUP(TRUE, EXACT(Table27[[#This Row],[S2]], Table27[orig]), Table27[S])</f>
        <v>white</v>
      </c>
      <c r="BS13" t="str" cm="1">
        <f t="array" ref="BS13">_xlfn.XLOOKUP(TRUE, EXACT(Table27[[#This Row],[Z]], Table27[orig]), Table27[B])</f>
        <v>yellow</v>
      </c>
      <c r="BT13" t="str" cm="1">
        <f t="array" ref="BT13">_xlfn.XLOOKUP(TRUE, EXACT(Table27[[#This Row],[f-lower]], Table27[orig]), Table27[f-lower])</f>
        <v>green</v>
      </c>
      <c r="BU13" t="str" cm="1">
        <f t="array" ref="BU13">_xlfn.XLOOKUP(TRUE, EXACT(Table27[[#This Row],[f2-lower]], Table27[orig]), Table27[f-lower])</f>
        <v>white</v>
      </c>
      <c r="BV13" t="str" cm="1">
        <f t="array" ref="BV13">_xlfn.XLOOKUP(TRUE, EXACT(Table27[[#This Row],[Z'']], Table27[orig]), Table27[F])</f>
        <v>white</v>
      </c>
      <c r="BW13" t="str" cm="1">
        <f t="array" ref="BW13">_xlfn.XLOOKUP(TRUE, EXACT(Table27[[#This Row],[b-lower]], Table27[orig]), Table27[b-lower])</f>
        <v>green</v>
      </c>
      <c r="BX13" t="str" cm="1">
        <f t="array" ref="BX13">_xlfn.XLOOKUP(TRUE, EXACT(Table27[[#This Row],[b2-lower]], Table27[orig]), Table27[b-lower])</f>
        <v>yellow</v>
      </c>
      <c r="BY13" t="str" cm="1">
        <f t="array" ref="BY13">_xlfn.XLOOKUP(TRUE, EXACT(Table27[[#This Row],[F]], Table27[orig]), Table27[B''])</f>
        <v>blue</v>
      </c>
      <c r="BZ13" t="str" cm="1">
        <f t="array" ref="BZ13">_xlfn.XLOOKUP(TRUE, EXACT(Table27[[#This Row],[FB'']], Table27[orig]), Table27[FB''])</f>
        <v>blue</v>
      </c>
      <c r="CA13" t="str" cm="1">
        <f t="array" ref="CA13">_xlfn.XLOOKUP(TRUE, EXACT(Table27[[#This Row],[F2B2]], Table27[orig]), Table27[FB''])</f>
        <v>blue</v>
      </c>
      <c r="CD13" t="s">
        <v>121</v>
      </c>
      <c r="CE13" t="str">
        <f>Table28[[#This Row],[orig]]</f>
        <v>blue</v>
      </c>
      <c r="CF13" t="str">
        <f>Table29[[#This Row],[X]]</f>
        <v>blue</v>
      </c>
      <c r="CG13" t="str" cm="1">
        <f t="array" ref="CG13">_xlfn.XLOOKUP(TRUE, EXACT(Table28[[#This Row],[X]], Table28[orig]), Table28[X])</f>
        <v>blue</v>
      </c>
      <c r="CH13" t="str" cm="1">
        <f t="array" ref="CH13">_xlfn.XLOOKUP(TRUE, EXACT(Table28[[#This Row],[X2]], Table28[orig]), Table28[X])</f>
        <v>blue</v>
      </c>
      <c r="CI13" t="str">
        <f>Table29[[#This Row],[Y]]</f>
        <v>red</v>
      </c>
      <c r="CJ13" t="str" cm="1">
        <f t="array" ref="CJ13">_xlfn.XLOOKUP(TRUE, EXACT(Table28[[#This Row],[Y]], Table28[orig]), Table28[Y])</f>
        <v>green</v>
      </c>
      <c r="CK13" t="str" cm="1">
        <f t="array" ref="CK13">_xlfn.XLOOKUP(TRUE, EXACT(Table28[[#This Row],[Y2]], Table28[orig]), Table28[Y])</f>
        <v>orange</v>
      </c>
      <c r="CL13" t="str">
        <f>Table29[[#This Row],[Z]]</f>
        <v>yellow</v>
      </c>
      <c r="CM13" t="str" cm="1">
        <f t="array" ref="CM13">_xlfn.XLOOKUP(TRUE, EXACT(Table28[[#This Row],[Z]], Table28[orig]), Table28[Z])</f>
        <v>green</v>
      </c>
      <c r="CN13" t="str" cm="1">
        <f t="array" ref="CN13">_xlfn.XLOOKUP(TRUE, EXACT(Table28[[#This Row],[Z2]], Table28[orig]), Table28[Z])</f>
        <v>white</v>
      </c>
      <c r="CO13" t="str" cm="1">
        <f t="array" ref="CO13">_xlfn.XLOOKUP(TRUE, EXACT(Table28[[#This Row],[Z]], Table28[orig]), Table28[X])</f>
        <v>red</v>
      </c>
      <c r="CP13" t="str" cm="1">
        <f t="array" ref="CP13">_xlfn.XLOOKUP(TRUE, EXACT(Table28[[#This Row],[Y'']], Table28[orig]), Table28[X''])</f>
        <v>white</v>
      </c>
      <c r="CQ13" t="str" cm="1">
        <f t="array" ref="CQ13">_xlfn.XLOOKUP(TRUE, EXACT(Table28[[#This Row],[Y]], Table28[orig]), Table28[X''])</f>
        <v>yellow</v>
      </c>
      <c r="CR13" t="str" cm="1">
        <f t="array" ref="CR13">_xlfn.XLOOKUP(TRUE, EXACT(Table28[[#This Row],[Z'']], Table28[orig]), Table28[X])</f>
        <v>orange</v>
      </c>
      <c r="CS13" t="str" cm="1">
        <f t="array" ref="CS13">_xlfn.XLOOKUP(TRUE, EXACT(Table28[[#This Row],[Z'']], Table28[orig]), Table28[X''])</f>
        <v>red</v>
      </c>
      <c r="CT13" t="str" cm="1">
        <f t="array" ref="CT13">_xlfn.XLOOKUP(TRUE, EXACT(Table28[[#This Row],[Y'']], Table28[orig]), Table28[X])</f>
        <v>yellow</v>
      </c>
      <c r="CU13" t="str" cm="1">
        <f t="array" ref="CU13">_xlfn.XLOOKUP(TRUE, EXACT(Table28[[#This Row],[Y]], Table28[orig]), Table28[X])</f>
        <v>white</v>
      </c>
      <c r="CV13" t="str" cm="1">
        <f t="array" ref="CV13">_xlfn.XLOOKUP(TRUE, EXACT(Table28[[#This Row],[Z]], Table28[orig]), Table28[X''])</f>
        <v>orange</v>
      </c>
      <c r="CW13" t="str" cm="1">
        <f t="array" ref="CW13">_xlfn.XLOOKUP(TRUE, EXACT(Table28[[#This Row],[Y'']], Table28[orig]), Table28[X2])</f>
        <v>red</v>
      </c>
      <c r="CX13" t="str" cm="1">
        <f t="array" ref="CX13">_xlfn.XLOOKUP(TRUE, EXACT(Table28[[#This Row],[Y]], Table28[orig]), Table28[X2])</f>
        <v>orange</v>
      </c>
      <c r="CY13" t="str" cm="1">
        <f t="array" ref="CY13">_xlfn.XLOOKUP(TRUE, EXACT(Table28[[#This Row],[Z]], Table28[orig]), Table28[X2])</f>
        <v>white</v>
      </c>
      <c r="CZ13" t="str" cm="1">
        <f t="array" ref="CZ13">_xlfn.XLOOKUP(TRUE, EXACT(Table28[[#This Row],[Z'']], Table28[orig]), Table28[X2])</f>
        <v>yellow</v>
      </c>
      <c r="DA13" t="str" cm="1">
        <f t="array" ref="DA13">_xlfn.XLOOKUP(TRUE, EXACT(Table28[[#This Row],[Z2]], Table28[orig]), Table28[X])</f>
        <v>green</v>
      </c>
      <c r="DB13" t="str" cm="1">
        <f t="array" ref="DB13">_xlfn.XLOOKUP(TRUE, EXACT(Table28[[#This Row],[Z2]], Table28[orig]), Table28[X''])</f>
        <v>green</v>
      </c>
      <c r="DE13" s="4" t="s">
        <v>121</v>
      </c>
      <c r="DF13" s="4" t="str" cm="1">
        <f t="array" ref="DF13">_xlfn.XLOOKUP(TRUE, EXACT(Table28[[#This Row],[I]], Table29[orig]), Table29[T-reflection])</f>
        <v>green</v>
      </c>
      <c r="DG13" s="4" t="str" cm="1">
        <f t="array" ref="DG13">_xlfn.XLOOKUP(TRUE, EXACT(Table28[[#This Row],[X]], Table29[orig]), Table29[T-reflection])</f>
        <v>green</v>
      </c>
      <c r="DH13" t="str" cm="1">
        <f t="array" ref="DH13">_xlfn.XLOOKUP(TRUE, EXACT(Table28[[#This Row],[X2]], Table29[orig]), Table29[T-reflection])</f>
        <v>green</v>
      </c>
      <c r="DI13" t="str" cm="1">
        <f t="array" ref="DI13">_xlfn.XLOOKUP(TRUE, EXACT(Table28[[#This Row],[X'']], Table29[orig]), Table29[T-reflection])</f>
        <v>green</v>
      </c>
      <c r="DJ13" s="4" t="str" cm="1">
        <f t="array" ref="DJ13">_xlfn.XLOOKUP(TRUE, EXACT(Table28[[#This Row],[Y]], Table29[orig]), Table29[T-reflection])</f>
        <v>red</v>
      </c>
      <c r="DK13" t="str" cm="1">
        <f t="array" ref="DK13">_xlfn.XLOOKUP(TRUE, EXACT(Table28[[#This Row],[Y2]], Table29[orig]), Table29[T-reflection])</f>
        <v>blue</v>
      </c>
      <c r="DL13" t="str" cm="1">
        <f t="array" ref="DL13">_xlfn.XLOOKUP(TRUE, EXACT(Table28[[#This Row],[Y'']], Table29[orig]), Table29[T-reflection])</f>
        <v>orange</v>
      </c>
      <c r="DM13" s="4" t="str" cm="1">
        <f t="array" ref="DM13">_xlfn.XLOOKUP(TRUE, EXACT(Table28[[#This Row],[Z]], Table29[orig]), Table29[T-reflection])</f>
        <v>yellow</v>
      </c>
      <c r="DN13" t="str" cm="1">
        <f t="array" ref="DN13">_xlfn.XLOOKUP(TRUE, EXACT(Table28[[#This Row],[Z2]], Table29[orig]), Table29[T-reflection])</f>
        <v>blue</v>
      </c>
      <c r="DO13" t="str" cm="1">
        <f t="array" ref="DO13">_xlfn.XLOOKUP(TRUE, EXACT(Table28[[#This Row],[Z'']], Table29[orig]), Table29[T-reflection])</f>
        <v>white</v>
      </c>
      <c r="DP13" t="str" cm="1">
        <f t="array" ref="DP13">_xlfn.XLOOKUP(TRUE, EXACT(Table28[[#This Row],[Z X]], Table29[orig]), Table29[T-reflection])</f>
        <v>red</v>
      </c>
      <c r="DQ13" t="str" cm="1">
        <f t="array" ref="DQ13">_xlfn.XLOOKUP(TRUE, EXACT(Table28[[#This Row],[Y'' X'']], Table29[orig]), Table29[T-reflection])</f>
        <v>white</v>
      </c>
      <c r="DR13" t="str" cm="1">
        <f t="array" ref="DR13">_xlfn.XLOOKUP(TRUE, EXACT(Table28[[#This Row],[Y X'']], Table29[orig]), Table29[T-reflection])</f>
        <v>yellow</v>
      </c>
      <c r="DS13" t="str" cm="1">
        <f t="array" ref="DS13">_xlfn.XLOOKUP(TRUE, EXACT(Table28[[#This Row],[Z'' X]], Table29[orig]), Table29[T-reflection])</f>
        <v>orange</v>
      </c>
      <c r="DT13" t="str" cm="1">
        <f t="array" ref="DT13">_xlfn.XLOOKUP(TRUE, EXACT(Table28[[#This Row],[Z'' X'']], Table29[orig]), Table29[T-reflection])</f>
        <v>red</v>
      </c>
      <c r="DU13" t="str" cm="1">
        <f t="array" ref="DU13">_xlfn.XLOOKUP(TRUE, EXACT(Table28[[#This Row],[Y'' X]], Table29[orig]), Table29[T-reflection])</f>
        <v>yellow</v>
      </c>
      <c r="DV13" t="str" cm="1">
        <f t="array" ref="DV13">_xlfn.XLOOKUP(TRUE, EXACT(Table28[[#This Row],[Y X]], Table29[orig]), Table29[T-reflection])</f>
        <v>white</v>
      </c>
      <c r="DW13" t="str" cm="1">
        <f t="array" ref="DW13">_xlfn.XLOOKUP(TRUE, EXACT(Table28[[#This Row],[Z X'']], Table29[orig]), Table29[T-reflection])</f>
        <v>orange</v>
      </c>
      <c r="DX13" t="str" cm="1">
        <f t="array" ref="DX13">_xlfn.XLOOKUP(TRUE, EXACT(Table28[[#This Row],[Y'' X2]], Table29[orig]), Table29[T-reflection])</f>
        <v>red</v>
      </c>
      <c r="DY13" t="str" cm="1">
        <f t="array" ref="DY13">_xlfn.XLOOKUP(TRUE, EXACT(Table28[[#This Row],[Y X2]], Table29[orig]), Table29[T-reflection])</f>
        <v>orange</v>
      </c>
      <c r="DZ13" t="str" cm="1">
        <f t="array" ref="DZ13">_xlfn.XLOOKUP(TRUE, EXACT(Table28[[#This Row],[Z X2]], Table29[orig]), Table29[T-reflection])</f>
        <v>white</v>
      </c>
      <c r="EA13" t="str" cm="1">
        <f t="array" ref="EA13">_xlfn.XLOOKUP(TRUE, EXACT(Table28[[#This Row],[Z'' X2]], Table29[orig]), Table29[T-reflection])</f>
        <v>yellow</v>
      </c>
      <c r="EB13" t="str" cm="1">
        <f t="array" ref="EB13">_xlfn.XLOOKUP(TRUE, EXACT(Table28[[#This Row],[Z2 X]], Table29[orig]), Table29[T-reflection])</f>
        <v>blue</v>
      </c>
      <c r="EC13" t="str" cm="1">
        <f t="array" ref="EC13">_xlfn.XLOOKUP(TRUE, EXACT(Table28[[#This Row],[Z2 X'']], Table29[orig]), Table29[T-reflection])</f>
        <v>blue</v>
      </c>
    </row>
    <row r="14" spans="1:133" x14ac:dyDescent="0.2">
      <c r="A14" s="24"/>
      <c r="B14" t="s">
        <v>122</v>
      </c>
      <c r="C14" t="s">
        <v>122</v>
      </c>
      <c r="D14" t="s">
        <v>120</v>
      </c>
      <c r="E14" t="s">
        <v>124</v>
      </c>
      <c r="F14" t="s">
        <v>122</v>
      </c>
      <c r="G14" t="s">
        <v>122</v>
      </c>
      <c r="H14" t="s">
        <v>122</v>
      </c>
      <c r="I14" t="s">
        <v>125</v>
      </c>
      <c r="J14" t="s">
        <v>122</v>
      </c>
      <c r="K14" t="s">
        <v>122</v>
      </c>
      <c r="L14" t="s">
        <v>122</v>
      </c>
      <c r="O14" t="s">
        <v>122</v>
      </c>
      <c r="P14" t="str">
        <f>Table27[[#This Row],[orig]]</f>
        <v>red</v>
      </c>
      <c r="Q14" t="str">
        <f>Table29[[#This Row],[X]]</f>
        <v>white</v>
      </c>
      <c r="R14" t="str" cm="1">
        <f t="array" ref="R14">_xlfn.XLOOKUP(TRUE, EXACT(Table27[[#This Row],[X]], Table27[orig]), Table27[X])</f>
        <v>orange</v>
      </c>
      <c r="S14" t="str" cm="1">
        <f t="array" ref="S14">_xlfn.XLOOKUP(TRUE, EXACT(Table27[[#This Row],[X2]], Table27[orig]), Table27[X])</f>
        <v>yellow</v>
      </c>
      <c r="T14" t="str">
        <f>Table29[[#This Row],[Y]]</f>
        <v>green</v>
      </c>
      <c r="U14" t="str" cm="1">
        <f t="array" ref="U14">_xlfn.XLOOKUP(TRUE, EXACT(Table27[[#This Row],[Y]], Table27[orig]), Table27[Y])</f>
        <v>orange</v>
      </c>
      <c r="V14" t="str" cm="1">
        <f t="array" ref="V14">_xlfn.XLOOKUP(TRUE, EXACT(Table27[[#This Row],[Y2]], Table27[orig]), Table27[Y])</f>
        <v>blue</v>
      </c>
      <c r="W14" t="str">
        <f>Table29[[#This Row],[Z]]</f>
        <v>red</v>
      </c>
      <c r="X14" t="str" cm="1">
        <f t="array" ref="X14">_xlfn.XLOOKUP(TRUE, EXACT(Table27[[#This Row],[Z]], Table27[orig]), Table27[Z])</f>
        <v>red</v>
      </c>
      <c r="Y14" t="str" cm="1">
        <f t="array" ref="Y14">_xlfn.XLOOKUP(TRUE, EXACT(Table27[[#This Row],[Z2]], Table27[orig]), Table27[Z])</f>
        <v>red</v>
      </c>
      <c r="Z14" t="str">
        <f>Table29[[#This Row],[R]]</f>
        <v>red</v>
      </c>
      <c r="AA14" t="str" cm="1">
        <f t="array" ref="AA14">_xlfn.XLOOKUP(TRUE, EXACT(Table27[[#This Row],[R]], Table27[orig]), Table27[R])</f>
        <v>red</v>
      </c>
      <c r="AB14" t="str" cm="1">
        <f t="array" ref="AB14">_xlfn.XLOOKUP(TRUE, EXACT(Table27[[#This Row],[R2]], Table27[orig]), Table27[R])</f>
        <v>red</v>
      </c>
      <c r="AC14" t="str" cm="1">
        <f t="array" ref="AC14">_xlfn.XLOOKUP(TRUE, EXACT(_xlfn.XLOOKUP(TRUE, EXACT(Table27[[#This Row],[Y2]], Table27[orig]), Table27[R]), Table27[orig]), Table27[Y2])</f>
        <v>red</v>
      </c>
      <c r="AD14" t="str" cm="1">
        <f t="array" ref="AD14">_xlfn.XLOOKUP(TRUE, EXACT(Table27[[#This Row],[L]], Table27[orig]), Table27[L])</f>
        <v>red</v>
      </c>
      <c r="AE14" t="str" cm="1">
        <f t="array" ref="AE14">_xlfn.XLOOKUP(TRUE, EXACT(Table27[[#This Row],[L2]], Table27[orig]), Table27[L])</f>
        <v>red</v>
      </c>
      <c r="AF14" t="str" cm="1">
        <f t="array" ref="AF14">_xlfn.XLOOKUP(TRUE, EXACT(Table27[[#This Row],[r-lower]], Table27[orig]), Table27[R''])</f>
        <v>white</v>
      </c>
      <c r="AG14" t="str" cm="1">
        <f t="array" ref="AG14">_xlfn.XLOOKUP(TRUE, EXACT(Table27[[#This Row],[T]], Table27[orig]), Table27[T])</f>
        <v>orange</v>
      </c>
      <c r="AH14" t="str" cm="1">
        <f t="array" ref="AH14">_xlfn.XLOOKUP(TRUE, EXACT(Table27[[#This Row],[T2]], Table27[orig]), Table27[T])</f>
        <v>yellow</v>
      </c>
      <c r="AI14" t="str" cm="1">
        <f t="array" ref="AI14">_xlfn.XLOOKUP(TRUE, EXACT(Table27[[#This Row],[X]], Table27[orig]), Table27[L])</f>
        <v>white</v>
      </c>
      <c r="AJ14" t="str" cm="1">
        <f t="array" ref="AJ14">_xlfn.XLOOKUP(TRUE, EXACT(Table27[[#This Row],[r-lower]], Table27[orig]), Table27[r-lower])</f>
        <v>orange</v>
      </c>
      <c r="AK14" t="str" cm="1">
        <f t="array" ref="AK14">_xlfn.XLOOKUP(TRUE, EXACT(Table27[[#This Row],[r2-lower]], Table27[orig]), Table27[r-lower])</f>
        <v>yellow</v>
      </c>
      <c r="AL14" t="str" cm="1">
        <f t="array" ref="AL14">_xlfn.XLOOKUP(TRUE, EXACT(Table27[[#This Row],[X'']], Table27[orig]), Table27[R])</f>
        <v>yellow</v>
      </c>
      <c r="AM14" t="str" cm="1">
        <f t="array" ref="AM14">_xlfn.XLOOKUP(TRUE, EXACT(Table27[[#This Row],[l-lower]], Table27[orig]), Table27[l-lower])</f>
        <v>orange</v>
      </c>
      <c r="AN14" t="str" cm="1">
        <f t="array" ref="AN14">_xlfn.XLOOKUP(TRUE, EXACT(Table27[[#This Row],[l2-lower]], Table27[orig]), Table27[l-lower])</f>
        <v>white</v>
      </c>
      <c r="AO14" t="str" cm="1">
        <f t="array" ref="AO14">_xlfn.XLOOKUP(TRUE, EXACT(Table27[[#This Row],[R]], Table27[orig]), Table27[L''])</f>
        <v>red</v>
      </c>
      <c r="AP14" t="str" cm="1">
        <f t="array" ref="AP14">_xlfn.XLOOKUP(TRUE, EXACT(Table27[[#This Row],[RL'']], Table27[orig]), Table27[RL''])</f>
        <v>red</v>
      </c>
      <c r="AQ14" t="str" cm="1">
        <f t="array" ref="AQ14">_xlfn.XLOOKUP(TRUE, EXACT(Table27[[#This Row],[R2L2]], Table27[orig]), Table27[RL''])</f>
        <v>red</v>
      </c>
      <c r="AR14" t="str">
        <f>Table29[[#This Row],[U]]</f>
        <v>red</v>
      </c>
      <c r="AS14" t="str" cm="1">
        <f t="array" ref="AS14">_xlfn.XLOOKUP(TRUE, EXACT(Table27[[#This Row],[U]], Table27[orig]), Table27[U])</f>
        <v>red</v>
      </c>
      <c r="AT14" t="str" cm="1">
        <f t="array" ref="AT14">_xlfn.XLOOKUP(TRUE, EXACT(Table27[[#This Row],[U2]], Table27[orig]), Table27[U])</f>
        <v>red</v>
      </c>
      <c r="AU14" t="str" cm="1">
        <f t="array" ref="AU14">_xlfn.XLOOKUP(TRUE, EXACT(_xlfn.XLOOKUP(TRUE, EXACT(Table27[[#This Row],[Z2]], Table27[orig]), Table27[U]), Table27[orig]), Table27[Z2])</f>
        <v>red</v>
      </c>
      <c r="AV14" t="str" cm="1">
        <f t="array" ref="AV14">_xlfn.XLOOKUP(TRUE, EXACT(Table27[[#This Row],[D]], Table27[orig]), Table27[D])</f>
        <v>red</v>
      </c>
      <c r="AW14" t="str" cm="1">
        <f t="array" ref="AW14">_xlfn.XLOOKUP(TRUE, EXACT(Table27[[#This Row],[D2]], Table27[orig]), Table27[D])</f>
        <v>red</v>
      </c>
      <c r="AX14" t="str" cm="1">
        <f t="array" ref="AX14">_xlfn.XLOOKUP(TRUE, EXACT(Table27[[#This Row],[u-lower]], Table27[orig]), Table27[U''])</f>
        <v>green</v>
      </c>
      <c r="AY14" t="str" cm="1">
        <f t="array" ref="AY14">_xlfn.XLOOKUP(TRUE, EXACT(Table27[[#This Row],[H]], Table27[orig]), Table27[H])</f>
        <v>orange</v>
      </c>
      <c r="AZ14" t="str" cm="1">
        <f t="array" ref="AZ14">_xlfn.XLOOKUP(TRUE, EXACT(Table27[[#This Row],[H2]], Table27[orig]), Table27[H])</f>
        <v>blue</v>
      </c>
      <c r="BA14" t="str" cm="1">
        <f t="array" ref="BA14">_xlfn.XLOOKUP(TRUE, EXACT(Table27[[#This Row],[Y]], Table27[orig]), Table27[D])</f>
        <v>green</v>
      </c>
      <c r="BB14" t="str" cm="1">
        <f t="array" ref="BB14">_xlfn.XLOOKUP(TRUE, EXACT(Table27[[#This Row],[u-lower]], Table27[orig]), Table27[u-lower])</f>
        <v>orange</v>
      </c>
      <c r="BC14" t="str" cm="1">
        <f t="array" ref="BC14">_xlfn.XLOOKUP(TRUE, EXACT(Table27[[#This Row],[u2-lower]], Table27[orig]), Table27[u-lower])</f>
        <v>blue</v>
      </c>
      <c r="BD14" t="str" cm="1">
        <f t="array" ref="BD14">_xlfn.XLOOKUP(TRUE, EXACT(Table27[[#This Row],[Y'']], Table27[orig]), Table27[U])</f>
        <v>blue</v>
      </c>
      <c r="BE14" t="str" cm="1">
        <f t="array" ref="BE14">_xlfn.XLOOKUP(TRUE, EXACT(Table27[[#This Row],[d-lower]], Table27[orig]), Table27[d-lower])</f>
        <v>orange</v>
      </c>
      <c r="BF14" t="str" cm="1">
        <f t="array" ref="BF14">_xlfn.XLOOKUP(TRUE, EXACT(Table27[[#This Row],[d2-lower]], Table27[orig]), Table27[d-lower])</f>
        <v>green</v>
      </c>
      <c r="BG14" t="str" cm="1">
        <f t="array" ref="BG14">_xlfn.XLOOKUP(TRUE, EXACT(Table27[[#This Row],[U]], Table27[orig]), Table27[D''])</f>
        <v>red</v>
      </c>
      <c r="BH14" t="str" cm="1">
        <f t="array" ref="BH14">_xlfn.XLOOKUP(TRUE, EXACT(Table27[[#This Row],[UD'']], Table27[orig]), Table27[UD''])</f>
        <v>red</v>
      </c>
      <c r="BI14" t="str" cm="1">
        <f t="array" ref="BI14">_xlfn.XLOOKUP(TRUE, EXACT(Table27[[#This Row],[U2D2]], Table27[orig]), Table27[UD''])</f>
        <v>red</v>
      </c>
      <c r="BJ14" t="str">
        <f>Table29[[#This Row],[F]]</f>
        <v>red</v>
      </c>
      <c r="BK14" t="str" cm="1">
        <f t="array" ref="BK14">_xlfn.XLOOKUP(TRUE, EXACT(Table27[[#This Row],[F]], Table27[orig]), Table27[F])</f>
        <v>red</v>
      </c>
      <c r="BL14" t="str" cm="1">
        <f t="array" ref="BL14">_xlfn.XLOOKUP(TRUE, EXACT(Table27[[#This Row],[F2]], Table27[orig]), Table27[F])</f>
        <v>red</v>
      </c>
      <c r="BM14" t="str" cm="1">
        <f t="array" ref="BM14">_xlfn.XLOOKUP(TRUE, EXACT(_xlfn.XLOOKUP(TRUE, EXACT(Table27[[#This Row],[X2]], Table27[orig]), Table27[F]), Table27[orig]), Table27[X2])</f>
        <v>red</v>
      </c>
      <c r="BN14" t="str" cm="1">
        <f t="array" ref="BN14">_xlfn.XLOOKUP(TRUE, EXACT(Table27[[#This Row],[B]], Table27[orig]), Table27[B])</f>
        <v>red</v>
      </c>
      <c r="BO14" t="str" cm="1">
        <f t="array" ref="BO14">_xlfn.XLOOKUP(TRUE, EXACT(Table27[[#This Row],[B2]], Table27[orig]), Table27[B])</f>
        <v>red</v>
      </c>
      <c r="BP14" t="str" cm="1">
        <f t="array" ref="BP14">_xlfn.XLOOKUP(TRUE, EXACT(Table27[[#This Row],[f-lower]], Table27[orig]), Table27[F''])</f>
        <v>red</v>
      </c>
      <c r="BQ14" t="str" cm="1">
        <f t="array" ref="BQ14">_xlfn.XLOOKUP(TRUE, EXACT(Table27[[#This Row],[S]], Table27[orig]), Table27[S])</f>
        <v>red</v>
      </c>
      <c r="BR14" t="str" cm="1">
        <f t="array" ref="BR14">_xlfn.XLOOKUP(TRUE, EXACT(Table27[[#This Row],[S2]], Table27[orig]), Table27[S])</f>
        <v>red</v>
      </c>
      <c r="BS14" t="str" cm="1">
        <f t="array" ref="BS14">_xlfn.XLOOKUP(TRUE, EXACT(Table27[[#This Row],[Z]], Table27[orig]), Table27[B])</f>
        <v>red</v>
      </c>
      <c r="BT14" t="str" cm="1">
        <f t="array" ref="BT14">_xlfn.XLOOKUP(TRUE, EXACT(Table27[[#This Row],[f-lower]], Table27[orig]), Table27[f-lower])</f>
        <v>red</v>
      </c>
      <c r="BU14" t="str" cm="1">
        <f t="array" ref="BU14">_xlfn.XLOOKUP(TRUE, EXACT(Table27[[#This Row],[f2-lower]], Table27[orig]), Table27[f-lower])</f>
        <v>red</v>
      </c>
      <c r="BV14" t="str" cm="1">
        <f t="array" ref="BV14">_xlfn.XLOOKUP(TRUE, EXACT(Table27[[#This Row],[Z'']], Table27[orig]), Table27[F])</f>
        <v>red</v>
      </c>
      <c r="BW14" t="str" cm="1">
        <f t="array" ref="BW14">_xlfn.XLOOKUP(TRUE, EXACT(Table27[[#This Row],[b-lower]], Table27[orig]), Table27[b-lower])</f>
        <v>red</v>
      </c>
      <c r="BX14" t="str" cm="1">
        <f t="array" ref="BX14">_xlfn.XLOOKUP(TRUE, EXACT(Table27[[#This Row],[b2-lower]], Table27[orig]), Table27[b-lower])</f>
        <v>red</v>
      </c>
      <c r="BY14" t="str" cm="1">
        <f t="array" ref="BY14">_xlfn.XLOOKUP(TRUE, EXACT(Table27[[#This Row],[F]], Table27[orig]), Table27[B''])</f>
        <v>red</v>
      </c>
      <c r="BZ14" t="str" cm="1">
        <f t="array" ref="BZ14">_xlfn.XLOOKUP(TRUE, EXACT(Table27[[#This Row],[FB'']], Table27[orig]), Table27[FB''])</f>
        <v>red</v>
      </c>
      <c r="CA14" t="str" cm="1">
        <f t="array" ref="CA14">_xlfn.XLOOKUP(TRUE, EXACT(Table27[[#This Row],[F2B2]], Table27[orig]), Table27[FB''])</f>
        <v>red</v>
      </c>
      <c r="CD14" t="s">
        <v>122</v>
      </c>
      <c r="CE14" t="str">
        <f>Table28[[#This Row],[orig]]</f>
        <v>red</v>
      </c>
      <c r="CF14" t="str">
        <f>Table29[[#This Row],[X]]</f>
        <v>white</v>
      </c>
      <c r="CG14" t="str" cm="1">
        <f t="array" ref="CG14">_xlfn.XLOOKUP(TRUE, EXACT(Table28[[#This Row],[X]], Table28[orig]), Table28[X])</f>
        <v>orange</v>
      </c>
      <c r="CH14" t="str" cm="1">
        <f t="array" ref="CH14">_xlfn.XLOOKUP(TRUE, EXACT(Table28[[#This Row],[X2]], Table28[orig]), Table28[X])</f>
        <v>yellow</v>
      </c>
      <c r="CI14" t="str">
        <f>Table29[[#This Row],[Y]]</f>
        <v>green</v>
      </c>
      <c r="CJ14" t="str" cm="1">
        <f t="array" ref="CJ14">_xlfn.XLOOKUP(TRUE, EXACT(Table28[[#This Row],[Y]], Table28[orig]), Table28[Y])</f>
        <v>orange</v>
      </c>
      <c r="CK14" t="str" cm="1">
        <f t="array" ref="CK14">_xlfn.XLOOKUP(TRUE, EXACT(Table28[[#This Row],[Y2]], Table28[orig]), Table28[Y])</f>
        <v>blue</v>
      </c>
      <c r="CL14" t="str">
        <f>Table29[[#This Row],[Z]]</f>
        <v>red</v>
      </c>
      <c r="CM14" t="str" cm="1">
        <f t="array" ref="CM14">_xlfn.XLOOKUP(TRUE, EXACT(Table28[[#This Row],[Z]], Table28[orig]), Table28[Z])</f>
        <v>red</v>
      </c>
      <c r="CN14" t="str" cm="1">
        <f t="array" ref="CN14">_xlfn.XLOOKUP(TRUE, EXACT(Table28[[#This Row],[Z2]], Table28[orig]), Table28[Z])</f>
        <v>red</v>
      </c>
      <c r="CO14" t="str" cm="1">
        <f t="array" ref="CO14">_xlfn.XLOOKUP(TRUE, EXACT(Table28[[#This Row],[Z]], Table28[orig]), Table28[X])</f>
        <v>white</v>
      </c>
      <c r="CP14" t="str" cm="1">
        <f t="array" ref="CP14">_xlfn.XLOOKUP(TRUE, EXACT(Table28[[#This Row],[Y'']], Table28[orig]), Table28[X''])</f>
        <v>blue</v>
      </c>
      <c r="CQ14" t="str" cm="1">
        <f t="array" ref="CQ14">_xlfn.XLOOKUP(TRUE, EXACT(Table28[[#This Row],[Y]], Table28[orig]), Table28[X''])</f>
        <v>green</v>
      </c>
      <c r="CR14" t="str" cm="1">
        <f t="array" ref="CR14">_xlfn.XLOOKUP(TRUE, EXACT(Table28[[#This Row],[Z'']], Table28[orig]), Table28[X])</f>
        <v>white</v>
      </c>
      <c r="CS14" t="str" cm="1">
        <f t="array" ref="CS14">_xlfn.XLOOKUP(TRUE, EXACT(Table28[[#This Row],[Z'']], Table28[orig]), Table28[X''])</f>
        <v>yellow</v>
      </c>
      <c r="CT14" t="str" cm="1">
        <f t="array" ref="CT14">_xlfn.XLOOKUP(TRUE, EXACT(Table28[[#This Row],[Y'']], Table28[orig]), Table28[X])</f>
        <v>blue</v>
      </c>
      <c r="CU14" t="str" cm="1">
        <f t="array" ref="CU14">_xlfn.XLOOKUP(TRUE, EXACT(Table28[[#This Row],[Y]], Table28[orig]), Table28[X])</f>
        <v>green</v>
      </c>
      <c r="CV14" t="str" cm="1">
        <f t="array" ref="CV14">_xlfn.XLOOKUP(TRUE, EXACT(Table28[[#This Row],[Z]], Table28[orig]), Table28[X''])</f>
        <v>yellow</v>
      </c>
      <c r="CW14" t="str" cm="1">
        <f t="array" ref="CW14">_xlfn.XLOOKUP(TRUE, EXACT(Table28[[#This Row],[Y'']], Table28[orig]), Table28[X2])</f>
        <v>blue</v>
      </c>
      <c r="CX14" t="str" cm="1">
        <f t="array" ref="CX14">_xlfn.XLOOKUP(TRUE, EXACT(Table28[[#This Row],[Y]], Table28[orig]), Table28[X2])</f>
        <v>green</v>
      </c>
      <c r="CY14" t="str" cm="1">
        <f t="array" ref="CY14">_xlfn.XLOOKUP(TRUE, EXACT(Table28[[#This Row],[Z]], Table28[orig]), Table28[X2])</f>
        <v>orange</v>
      </c>
      <c r="CZ14" t="str" cm="1">
        <f t="array" ref="CZ14">_xlfn.XLOOKUP(TRUE, EXACT(Table28[[#This Row],[Z'']], Table28[orig]), Table28[X2])</f>
        <v>orange</v>
      </c>
      <c r="DA14" t="str" cm="1">
        <f t="array" ref="DA14">_xlfn.XLOOKUP(TRUE, EXACT(Table28[[#This Row],[Z2]], Table28[orig]), Table28[X])</f>
        <v>white</v>
      </c>
      <c r="DB14" t="str" cm="1">
        <f t="array" ref="DB14">_xlfn.XLOOKUP(TRUE, EXACT(Table28[[#This Row],[Z2]], Table28[orig]), Table28[X''])</f>
        <v>yellow</v>
      </c>
      <c r="DE14" s="6" t="s">
        <v>122</v>
      </c>
      <c r="DF14" s="6" t="str" cm="1">
        <f t="array" ref="DF14">_xlfn.XLOOKUP(TRUE, EXACT(Table28[[#This Row],[I]], Table29[orig]), Table29[T-reflection])</f>
        <v>red</v>
      </c>
      <c r="DG14" s="6" t="str" cm="1">
        <f t="array" ref="DG14">_xlfn.XLOOKUP(TRUE, EXACT(Table28[[#This Row],[X]], Table29[orig]), Table29[T-reflection])</f>
        <v>white</v>
      </c>
      <c r="DH14" t="str" cm="1">
        <f t="array" ref="DH14">_xlfn.XLOOKUP(TRUE, EXACT(Table28[[#This Row],[X2]], Table29[orig]), Table29[T-reflection])</f>
        <v>orange</v>
      </c>
      <c r="DI14" t="str" cm="1">
        <f t="array" ref="DI14">_xlfn.XLOOKUP(TRUE, EXACT(Table28[[#This Row],[X'']], Table29[orig]), Table29[T-reflection])</f>
        <v>yellow</v>
      </c>
      <c r="DJ14" s="6" t="str" cm="1">
        <f t="array" ref="DJ14">_xlfn.XLOOKUP(TRUE, EXACT(Table28[[#This Row],[Y]], Table29[orig]), Table29[T-reflection])</f>
        <v>blue</v>
      </c>
      <c r="DK14" t="str" cm="1">
        <f t="array" ref="DK14">_xlfn.XLOOKUP(TRUE, EXACT(Table28[[#This Row],[Y2]], Table29[orig]), Table29[T-reflection])</f>
        <v>orange</v>
      </c>
      <c r="DL14" t="str" cm="1">
        <f t="array" ref="DL14">_xlfn.XLOOKUP(TRUE, EXACT(Table28[[#This Row],[Y'']], Table29[orig]), Table29[T-reflection])</f>
        <v>green</v>
      </c>
      <c r="DM14" s="6" t="str" cm="1">
        <f t="array" ref="DM14">_xlfn.XLOOKUP(TRUE, EXACT(Table28[[#This Row],[Z]], Table29[orig]), Table29[T-reflection])</f>
        <v>red</v>
      </c>
      <c r="DN14" t="str" cm="1">
        <f t="array" ref="DN14">_xlfn.XLOOKUP(TRUE, EXACT(Table28[[#This Row],[Z2]], Table29[orig]), Table29[T-reflection])</f>
        <v>red</v>
      </c>
      <c r="DO14" t="str" cm="1">
        <f t="array" ref="DO14">_xlfn.XLOOKUP(TRUE, EXACT(Table28[[#This Row],[Z'']], Table29[orig]), Table29[T-reflection])</f>
        <v>red</v>
      </c>
      <c r="DP14" t="str" cm="1">
        <f t="array" ref="DP14">_xlfn.XLOOKUP(TRUE, EXACT(Table28[[#This Row],[Z X]], Table29[orig]), Table29[T-reflection])</f>
        <v>white</v>
      </c>
      <c r="DQ14" t="str" cm="1">
        <f t="array" ref="DQ14">_xlfn.XLOOKUP(TRUE, EXACT(Table28[[#This Row],[Y'' X'']], Table29[orig]), Table29[T-reflection])</f>
        <v>green</v>
      </c>
      <c r="DR14" t="str" cm="1">
        <f t="array" ref="DR14">_xlfn.XLOOKUP(TRUE, EXACT(Table28[[#This Row],[Y X'']], Table29[orig]), Table29[T-reflection])</f>
        <v>blue</v>
      </c>
      <c r="DS14" t="str" cm="1">
        <f t="array" ref="DS14">_xlfn.XLOOKUP(TRUE, EXACT(Table28[[#This Row],[Z'' X]], Table29[orig]), Table29[T-reflection])</f>
        <v>white</v>
      </c>
      <c r="DT14" t="str" cm="1">
        <f t="array" ref="DT14">_xlfn.XLOOKUP(TRUE, EXACT(Table28[[#This Row],[Z'' X'']], Table29[orig]), Table29[T-reflection])</f>
        <v>yellow</v>
      </c>
      <c r="DU14" t="str" cm="1">
        <f t="array" ref="DU14">_xlfn.XLOOKUP(TRUE, EXACT(Table28[[#This Row],[Y'' X]], Table29[orig]), Table29[T-reflection])</f>
        <v>green</v>
      </c>
      <c r="DV14" t="str" cm="1">
        <f t="array" ref="DV14">_xlfn.XLOOKUP(TRUE, EXACT(Table28[[#This Row],[Y X]], Table29[orig]), Table29[T-reflection])</f>
        <v>blue</v>
      </c>
      <c r="DW14" t="str" cm="1">
        <f t="array" ref="DW14">_xlfn.XLOOKUP(TRUE, EXACT(Table28[[#This Row],[Z X'']], Table29[orig]), Table29[T-reflection])</f>
        <v>yellow</v>
      </c>
      <c r="DX14" t="str" cm="1">
        <f t="array" ref="DX14">_xlfn.XLOOKUP(TRUE, EXACT(Table28[[#This Row],[Y'' X2]], Table29[orig]), Table29[T-reflection])</f>
        <v>green</v>
      </c>
      <c r="DY14" t="str" cm="1">
        <f t="array" ref="DY14">_xlfn.XLOOKUP(TRUE, EXACT(Table28[[#This Row],[Y X2]], Table29[orig]), Table29[T-reflection])</f>
        <v>blue</v>
      </c>
      <c r="DZ14" t="str" cm="1">
        <f t="array" ref="DZ14">_xlfn.XLOOKUP(TRUE, EXACT(Table28[[#This Row],[Z X2]], Table29[orig]), Table29[T-reflection])</f>
        <v>orange</v>
      </c>
      <c r="EA14" t="str" cm="1">
        <f t="array" ref="EA14">_xlfn.XLOOKUP(TRUE, EXACT(Table28[[#This Row],[Z'' X2]], Table29[orig]), Table29[T-reflection])</f>
        <v>orange</v>
      </c>
      <c r="EB14" t="str" cm="1">
        <f t="array" ref="EB14">_xlfn.XLOOKUP(TRUE, EXACT(Table28[[#This Row],[Z2 X]], Table29[orig]), Table29[T-reflection])</f>
        <v>white</v>
      </c>
      <c r="EC14" t="str" cm="1">
        <f t="array" ref="EC14">_xlfn.XLOOKUP(TRUE, EXACT(Table28[[#This Row],[Z2 X'']], Table29[orig]), Table29[T-reflection])</f>
        <v>yellow</v>
      </c>
    </row>
    <row r="15" spans="1:133" x14ac:dyDescent="0.2">
      <c r="A15" s="24"/>
      <c r="B15" t="s">
        <v>123</v>
      </c>
      <c r="C15" t="s">
        <v>123</v>
      </c>
      <c r="D15" t="s">
        <v>122</v>
      </c>
      <c r="E15" t="s">
        <v>123</v>
      </c>
      <c r="F15" t="s">
        <v>124</v>
      </c>
      <c r="G15" t="s">
        <v>123</v>
      </c>
      <c r="H15" t="s">
        <v>120</v>
      </c>
      <c r="I15" t="s">
        <v>123</v>
      </c>
      <c r="J15" t="s">
        <v>123</v>
      </c>
      <c r="K15" t="s">
        <v>123</v>
      </c>
      <c r="L15" t="s">
        <v>123</v>
      </c>
      <c r="O15" t="s">
        <v>123</v>
      </c>
      <c r="P15" t="str">
        <f>Table27[[#This Row],[orig]]</f>
        <v>yellow</v>
      </c>
      <c r="Q15" t="str">
        <f>Table29[[#This Row],[X]]</f>
        <v>red</v>
      </c>
      <c r="R15" t="str" cm="1">
        <f t="array" ref="R15">_xlfn.XLOOKUP(TRUE, EXACT(Table27[[#This Row],[X]], Table27[orig]), Table27[X])</f>
        <v>white</v>
      </c>
      <c r="S15" t="str" cm="1">
        <f t="array" ref="S15">_xlfn.XLOOKUP(TRUE, EXACT(Table27[[#This Row],[X2]], Table27[orig]), Table27[X])</f>
        <v>orange</v>
      </c>
      <c r="T15" t="str">
        <f>Table29[[#This Row],[Y]]</f>
        <v>yellow</v>
      </c>
      <c r="U15" t="str" cm="1">
        <f t="array" ref="U15">_xlfn.XLOOKUP(TRUE, EXACT(Table27[[#This Row],[Y]], Table27[orig]), Table27[Y])</f>
        <v>yellow</v>
      </c>
      <c r="V15" t="str" cm="1">
        <f t="array" ref="V15">_xlfn.XLOOKUP(TRUE, EXACT(Table27[[#This Row],[Y2]], Table27[orig]), Table27[Y])</f>
        <v>yellow</v>
      </c>
      <c r="W15" t="str">
        <f>Table29[[#This Row],[Z]]</f>
        <v>green</v>
      </c>
      <c r="X15" t="str" cm="1">
        <f t="array" ref="X15">_xlfn.XLOOKUP(TRUE, EXACT(Table27[[#This Row],[Z]], Table27[orig]), Table27[Z])</f>
        <v>white</v>
      </c>
      <c r="Y15" t="str" cm="1">
        <f t="array" ref="Y15">_xlfn.XLOOKUP(TRUE, EXACT(Table27[[#This Row],[Z2]], Table27[orig]), Table27[Z])</f>
        <v>blue</v>
      </c>
      <c r="Z15" t="str">
        <f>Table29[[#This Row],[R]]</f>
        <v>yellow</v>
      </c>
      <c r="AA15" t="str" cm="1">
        <f t="array" ref="AA15">_xlfn.XLOOKUP(TRUE, EXACT(Table27[[#This Row],[R]], Table27[orig]), Table27[R])</f>
        <v>yellow</v>
      </c>
      <c r="AB15" t="str" cm="1">
        <f t="array" ref="AB15">_xlfn.XLOOKUP(TRUE, EXACT(Table27[[#This Row],[R2]], Table27[orig]), Table27[R])</f>
        <v>yellow</v>
      </c>
      <c r="AC15" t="str" cm="1">
        <f t="array" ref="AC15">_xlfn.XLOOKUP(TRUE, EXACT(_xlfn.XLOOKUP(TRUE, EXACT(Table27[[#This Row],[Y2]], Table27[orig]), Table27[R]), Table27[orig]), Table27[Y2])</f>
        <v>yellow</v>
      </c>
      <c r="AD15" t="str" cm="1">
        <f t="array" ref="AD15">_xlfn.XLOOKUP(TRUE, EXACT(Table27[[#This Row],[L]], Table27[orig]), Table27[L])</f>
        <v>yellow</v>
      </c>
      <c r="AE15" t="str" cm="1">
        <f t="array" ref="AE15">_xlfn.XLOOKUP(TRUE, EXACT(Table27[[#This Row],[L2]], Table27[orig]), Table27[L])</f>
        <v>yellow</v>
      </c>
      <c r="AF15" t="str" cm="1">
        <f t="array" ref="AF15">_xlfn.XLOOKUP(TRUE, EXACT(Table27[[#This Row],[r-lower]], Table27[orig]), Table27[R''])</f>
        <v>red</v>
      </c>
      <c r="AG15" t="str" cm="1">
        <f t="array" ref="AG15">_xlfn.XLOOKUP(TRUE, EXACT(Table27[[#This Row],[T]], Table27[orig]), Table27[T])</f>
        <v>white</v>
      </c>
      <c r="AH15" t="str" cm="1">
        <f t="array" ref="AH15">_xlfn.XLOOKUP(TRUE, EXACT(Table27[[#This Row],[T2]], Table27[orig]), Table27[T])</f>
        <v>orange</v>
      </c>
      <c r="AI15" t="str" cm="1">
        <f t="array" ref="AI15">_xlfn.XLOOKUP(TRUE, EXACT(Table27[[#This Row],[X]], Table27[orig]), Table27[L])</f>
        <v>red</v>
      </c>
      <c r="AJ15" t="str" cm="1">
        <f t="array" ref="AJ15">_xlfn.XLOOKUP(TRUE, EXACT(Table27[[#This Row],[r-lower]], Table27[orig]), Table27[r-lower])</f>
        <v>white</v>
      </c>
      <c r="AK15" t="str" cm="1">
        <f t="array" ref="AK15">_xlfn.XLOOKUP(TRUE, EXACT(Table27[[#This Row],[r2-lower]], Table27[orig]), Table27[r-lower])</f>
        <v>orange</v>
      </c>
      <c r="AL15" t="str" cm="1">
        <f t="array" ref="AL15">_xlfn.XLOOKUP(TRUE, EXACT(Table27[[#This Row],[X'']], Table27[orig]), Table27[R])</f>
        <v>orange</v>
      </c>
      <c r="AM15" t="str" cm="1">
        <f t="array" ref="AM15">_xlfn.XLOOKUP(TRUE, EXACT(Table27[[#This Row],[l-lower]], Table27[orig]), Table27[l-lower])</f>
        <v>white</v>
      </c>
      <c r="AN15" t="str" cm="1">
        <f t="array" ref="AN15">_xlfn.XLOOKUP(TRUE, EXACT(Table27[[#This Row],[l2-lower]], Table27[orig]), Table27[l-lower])</f>
        <v>red</v>
      </c>
      <c r="AO15" t="str" cm="1">
        <f t="array" ref="AO15">_xlfn.XLOOKUP(TRUE, EXACT(Table27[[#This Row],[R]], Table27[orig]), Table27[L''])</f>
        <v>yellow</v>
      </c>
      <c r="AP15" t="str" cm="1">
        <f t="array" ref="AP15">_xlfn.XLOOKUP(TRUE, EXACT(Table27[[#This Row],[RL'']], Table27[orig]), Table27[RL''])</f>
        <v>yellow</v>
      </c>
      <c r="AQ15" t="str" cm="1">
        <f t="array" ref="AQ15">_xlfn.XLOOKUP(TRUE, EXACT(Table27[[#This Row],[R2L2]], Table27[orig]), Table27[RL''])</f>
        <v>yellow</v>
      </c>
      <c r="AR15" t="str">
        <f>Table29[[#This Row],[U]]</f>
        <v>yellow</v>
      </c>
      <c r="AS15" t="str" cm="1">
        <f t="array" ref="AS15">_xlfn.XLOOKUP(TRUE, EXACT(Table27[[#This Row],[U]], Table27[orig]), Table27[U])</f>
        <v>yellow</v>
      </c>
      <c r="AT15" t="str" cm="1">
        <f t="array" ref="AT15">_xlfn.XLOOKUP(TRUE, EXACT(Table27[[#This Row],[U2]], Table27[orig]), Table27[U])</f>
        <v>yellow</v>
      </c>
      <c r="AU15" t="str" cm="1">
        <f t="array" ref="AU15">_xlfn.XLOOKUP(TRUE, EXACT(_xlfn.XLOOKUP(TRUE, EXACT(Table27[[#This Row],[Z2]], Table27[orig]), Table27[U]), Table27[orig]), Table27[Z2])</f>
        <v>yellow</v>
      </c>
      <c r="AV15" t="str" cm="1">
        <f t="array" ref="AV15">_xlfn.XLOOKUP(TRUE, EXACT(Table27[[#This Row],[D]], Table27[orig]), Table27[D])</f>
        <v>yellow</v>
      </c>
      <c r="AW15" t="str" cm="1">
        <f t="array" ref="AW15">_xlfn.XLOOKUP(TRUE, EXACT(Table27[[#This Row],[D2]], Table27[orig]), Table27[D])</f>
        <v>yellow</v>
      </c>
      <c r="AX15" t="str" cm="1">
        <f t="array" ref="AX15">_xlfn.XLOOKUP(TRUE, EXACT(Table27[[#This Row],[u-lower]], Table27[orig]), Table27[U''])</f>
        <v>yellow</v>
      </c>
      <c r="AY15" t="str" cm="1">
        <f t="array" ref="AY15">_xlfn.XLOOKUP(TRUE, EXACT(Table27[[#This Row],[H]], Table27[orig]), Table27[H])</f>
        <v>yellow</v>
      </c>
      <c r="AZ15" t="str" cm="1">
        <f t="array" ref="AZ15">_xlfn.XLOOKUP(TRUE, EXACT(Table27[[#This Row],[H2]], Table27[orig]), Table27[H])</f>
        <v>yellow</v>
      </c>
      <c r="BA15" t="str" cm="1">
        <f t="array" ref="BA15">_xlfn.XLOOKUP(TRUE, EXACT(Table27[[#This Row],[Y]], Table27[orig]), Table27[D])</f>
        <v>yellow</v>
      </c>
      <c r="BB15" t="str" cm="1">
        <f t="array" ref="BB15">_xlfn.XLOOKUP(TRUE, EXACT(Table27[[#This Row],[u-lower]], Table27[orig]), Table27[u-lower])</f>
        <v>yellow</v>
      </c>
      <c r="BC15" t="str" cm="1">
        <f t="array" ref="BC15">_xlfn.XLOOKUP(TRUE, EXACT(Table27[[#This Row],[u2-lower]], Table27[orig]), Table27[u-lower])</f>
        <v>yellow</v>
      </c>
      <c r="BD15" t="str" cm="1">
        <f t="array" ref="BD15">_xlfn.XLOOKUP(TRUE, EXACT(Table27[[#This Row],[Y'']], Table27[orig]), Table27[U])</f>
        <v>yellow</v>
      </c>
      <c r="BE15" t="str" cm="1">
        <f t="array" ref="BE15">_xlfn.XLOOKUP(TRUE, EXACT(Table27[[#This Row],[d-lower]], Table27[orig]), Table27[d-lower])</f>
        <v>yellow</v>
      </c>
      <c r="BF15" t="str" cm="1">
        <f t="array" ref="BF15">_xlfn.XLOOKUP(TRUE, EXACT(Table27[[#This Row],[d2-lower]], Table27[orig]), Table27[d-lower])</f>
        <v>yellow</v>
      </c>
      <c r="BG15" t="str" cm="1">
        <f t="array" ref="BG15">_xlfn.XLOOKUP(TRUE, EXACT(Table27[[#This Row],[U]], Table27[orig]), Table27[D''])</f>
        <v>yellow</v>
      </c>
      <c r="BH15" t="str" cm="1">
        <f t="array" ref="BH15">_xlfn.XLOOKUP(TRUE, EXACT(Table27[[#This Row],[UD'']], Table27[orig]), Table27[UD''])</f>
        <v>yellow</v>
      </c>
      <c r="BI15" t="str" cm="1">
        <f t="array" ref="BI15">_xlfn.XLOOKUP(TRUE, EXACT(Table27[[#This Row],[U2D2]], Table27[orig]), Table27[UD''])</f>
        <v>yellow</v>
      </c>
      <c r="BJ15" t="str">
        <f>Table29[[#This Row],[F]]</f>
        <v>yellow</v>
      </c>
      <c r="BK15" t="str" cm="1">
        <f t="array" ref="BK15">_xlfn.XLOOKUP(TRUE, EXACT(Table27[[#This Row],[F]], Table27[orig]), Table27[F])</f>
        <v>yellow</v>
      </c>
      <c r="BL15" t="str" cm="1">
        <f t="array" ref="BL15">_xlfn.XLOOKUP(TRUE, EXACT(Table27[[#This Row],[F2]], Table27[orig]), Table27[F])</f>
        <v>yellow</v>
      </c>
      <c r="BM15" t="str" cm="1">
        <f t="array" ref="BM15">_xlfn.XLOOKUP(TRUE, EXACT(_xlfn.XLOOKUP(TRUE, EXACT(Table27[[#This Row],[X2]], Table27[orig]), Table27[F]), Table27[orig]), Table27[X2])</f>
        <v>yellow</v>
      </c>
      <c r="BN15" t="str" cm="1">
        <f t="array" ref="BN15">_xlfn.XLOOKUP(TRUE, EXACT(Table27[[#This Row],[B]], Table27[orig]), Table27[B])</f>
        <v>yellow</v>
      </c>
      <c r="BO15" t="str" cm="1">
        <f t="array" ref="BO15">_xlfn.XLOOKUP(TRUE, EXACT(Table27[[#This Row],[B2]], Table27[orig]), Table27[B])</f>
        <v>yellow</v>
      </c>
      <c r="BP15" t="str" cm="1">
        <f t="array" ref="BP15">_xlfn.XLOOKUP(TRUE, EXACT(Table27[[#This Row],[f-lower]], Table27[orig]), Table27[F''])</f>
        <v>green</v>
      </c>
      <c r="BQ15" t="str" cm="1">
        <f t="array" ref="BQ15">_xlfn.XLOOKUP(TRUE, EXACT(Table27[[#This Row],[S]], Table27[orig]), Table27[S])</f>
        <v>white</v>
      </c>
      <c r="BR15" t="str" cm="1">
        <f t="array" ref="BR15">_xlfn.XLOOKUP(TRUE, EXACT(Table27[[#This Row],[S2]], Table27[orig]), Table27[S])</f>
        <v>blue</v>
      </c>
      <c r="BS15" t="str" cm="1">
        <f t="array" ref="BS15">_xlfn.XLOOKUP(TRUE, EXACT(Table27[[#This Row],[Z]], Table27[orig]), Table27[B])</f>
        <v>green</v>
      </c>
      <c r="BT15" t="str" cm="1">
        <f t="array" ref="BT15">_xlfn.XLOOKUP(TRUE, EXACT(Table27[[#This Row],[f-lower]], Table27[orig]), Table27[f-lower])</f>
        <v>white</v>
      </c>
      <c r="BU15" t="str" cm="1">
        <f t="array" ref="BU15">_xlfn.XLOOKUP(TRUE, EXACT(Table27[[#This Row],[f2-lower]], Table27[orig]), Table27[f-lower])</f>
        <v>blue</v>
      </c>
      <c r="BV15" t="str" cm="1">
        <f t="array" ref="BV15">_xlfn.XLOOKUP(TRUE, EXACT(Table27[[#This Row],[Z'']], Table27[orig]), Table27[F])</f>
        <v>blue</v>
      </c>
      <c r="BW15" t="str" cm="1">
        <f t="array" ref="BW15">_xlfn.XLOOKUP(TRUE, EXACT(Table27[[#This Row],[b-lower]], Table27[orig]), Table27[b-lower])</f>
        <v>white</v>
      </c>
      <c r="BX15" t="str" cm="1">
        <f t="array" ref="BX15">_xlfn.XLOOKUP(TRUE, EXACT(Table27[[#This Row],[b2-lower]], Table27[orig]), Table27[b-lower])</f>
        <v>green</v>
      </c>
      <c r="BY15" t="str" cm="1">
        <f t="array" ref="BY15">_xlfn.XLOOKUP(TRUE, EXACT(Table27[[#This Row],[F]], Table27[orig]), Table27[B''])</f>
        <v>yellow</v>
      </c>
      <c r="BZ15" t="str" cm="1">
        <f t="array" ref="BZ15">_xlfn.XLOOKUP(TRUE, EXACT(Table27[[#This Row],[FB'']], Table27[orig]), Table27[FB''])</f>
        <v>yellow</v>
      </c>
      <c r="CA15" t="str" cm="1">
        <f t="array" ref="CA15">_xlfn.XLOOKUP(TRUE, EXACT(Table27[[#This Row],[F2B2]], Table27[orig]), Table27[FB''])</f>
        <v>yellow</v>
      </c>
      <c r="CD15" t="s">
        <v>123</v>
      </c>
      <c r="CE15" t="str">
        <f>Table28[[#This Row],[orig]]</f>
        <v>yellow</v>
      </c>
      <c r="CF15" t="str">
        <f>Table29[[#This Row],[X]]</f>
        <v>red</v>
      </c>
      <c r="CG15" t="str" cm="1">
        <f t="array" ref="CG15">_xlfn.XLOOKUP(TRUE, EXACT(Table28[[#This Row],[X]], Table28[orig]), Table28[X])</f>
        <v>white</v>
      </c>
      <c r="CH15" t="str" cm="1">
        <f t="array" ref="CH15">_xlfn.XLOOKUP(TRUE, EXACT(Table28[[#This Row],[X2]], Table28[orig]), Table28[X])</f>
        <v>orange</v>
      </c>
      <c r="CI15" t="str">
        <f>Table29[[#This Row],[Y]]</f>
        <v>yellow</v>
      </c>
      <c r="CJ15" t="str" cm="1">
        <f t="array" ref="CJ15">_xlfn.XLOOKUP(TRUE, EXACT(Table28[[#This Row],[Y]], Table28[orig]), Table28[Y])</f>
        <v>yellow</v>
      </c>
      <c r="CK15" t="str" cm="1">
        <f t="array" ref="CK15">_xlfn.XLOOKUP(TRUE, EXACT(Table28[[#This Row],[Y2]], Table28[orig]), Table28[Y])</f>
        <v>yellow</v>
      </c>
      <c r="CL15" t="str">
        <f>Table29[[#This Row],[Z]]</f>
        <v>green</v>
      </c>
      <c r="CM15" t="str" cm="1">
        <f t="array" ref="CM15">_xlfn.XLOOKUP(TRUE, EXACT(Table28[[#This Row],[Z]], Table28[orig]), Table28[Z])</f>
        <v>white</v>
      </c>
      <c r="CN15" t="str" cm="1">
        <f t="array" ref="CN15">_xlfn.XLOOKUP(TRUE, EXACT(Table28[[#This Row],[Z2]], Table28[orig]), Table28[Z])</f>
        <v>blue</v>
      </c>
      <c r="CO15" t="str" cm="1">
        <f t="array" ref="CO15">_xlfn.XLOOKUP(TRUE, EXACT(Table28[[#This Row],[Z]], Table28[orig]), Table28[X])</f>
        <v>green</v>
      </c>
      <c r="CP15" t="str" cm="1">
        <f t="array" ref="CP15">_xlfn.XLOOKUP(TRUE, EXACT(Table28[[#This Row],[Y'']], Table28[orig]), Table28[X''])</f>
        <v>orange</v>
      </c>
      <c r="CQ15" t="str" cm="1">
        <f t="array" ref="CQ15">_xlfn.XLOOKUP(TRUE, EXACT(Table28[[#This Row],[Y]], Table28[orig]), Table28[X''])</f>
        <v>orange</v>
      </c>
      <c r="CR15" t="str" cm="1">
        <f t="array" ref="CR15">_xlfn.XLOOKUP(TRUE, EXACT(Table28[[#This Row],[Z'']], Table28[orig]), Table28[X])</f>
        <v>blue</v>
      </c>
      <c r="CS15" t="str" cm="1">
        <f t="array" ref="CS15">_xlfn.XLOOKUP(TRUE, EXACT(Table28[[#This Row],[Z'']], Table28[orig]), Table28[X''])</f>
        <v>blue</v>
      </c>
      <c r="CT15" t="str" cm="1">
        <f t="array" ref="CT15">_xlfn.XLOOKUP(TRUE, EXACT(Table28[[#This Row],[Y'']], Table28[orig]), Table28[X])</f>
        <v>red</v>
      </c>
      <c r="CU15" t="str" cm="1">
        <f t="array" ref="CU15">_xlfn.XLOOKUP(TRUE, EXACT(Table28[[#This Row],[Y]], Table28[orig]), Table28[X])</f>
        <v>red</v>
      </c>
      <c r="CV15" t="str" cm="1">
        <f t="array" ref="CV15">_xlfn.XLOOKUP(TRUE, EXACT(Table28[[#This Row],[Z]], Table28[orig]), Table28[X''])</f>
        <v>green</v>
      </c>
      <c r="CW15" t="str" cm="1">
        <f t="array" ref="CW15">_xlfn.XLOOKUP(TRUE, EXACT(Table28[[#This Row],[Y'']], Table28[orig]), Table28[X2])</f>
        <v>white</v>
      </c>
      <c r="CX15" t="str" cm="1">
        <f t="array" ref="CX15">_xlfn.XLOOKUP(TRUE, EXACT(Table28[[#This Row],[Y]], Table28[orig]), Table28[X2])</f>
        <v>white</v>
      </c>
      <c r="CY15" t="str" cm="1">
        <f t="array" ref="CY15">_xlfn.XLOOKUP(TRUE, EXACT(Table28[[#This Row],[Z]], Table28[orig]), Table28[X2])</f>
        <v>green</v>
      </c>
      <c r="CZ15" t="str" cm="1">
        <f t="array" ref="CZ15">_xlfn.XLOOKUP(TRUE, EXACT(Table28[[#This Row],[Z'']], Table28[orig]), Table28[X2])</f>
        <v>blue</v>
      </c>
      <c r="DA15" t="str" cm="1">
        <f t="array" ref="DA15">_xlfn.XLOOKUP(TRUE, EXACT(Table28[[#This Row],[Z2]], Table28[orig]), Table28[X])</f>
        <v>orange</v>
      </c>
      <c r="DB15" t="str" cm="1">
        <f t="array" ref="DB15">_xlfn.XLOOKUP(TRUE, EXACT(Table28[[#This Row],[Z2]], Table28[orig]), Table28[X''])</f>
        <v>red</v>
      </c>
      <c r="DE15" s="4" t="s">
        <v>123</v>
      </c>
      <c r="DF15" s="4" t="str" cm="1">
        <f t="array" ref="DF15">_xlfn.XLOOKUP(TRUE, EXACT(Table28[[#This Row],[I]], Table29[orig]), Table29[T-reflection])</f>
        <v>yellow</v>
      </c>
      <c r="DG15" s="4" t="str" cm="1">
        <f t="array" ref="DG15">_xlfn.XLOOKUP(TRUE, EXACT(Table28[[#This Row],[X]], Table29[orig]), Table29[T-reflection])</f>
        <v>red</v>
      </c>
      <c r="DH15" t="str" cm="1">
        <f t="array" ref="DH15">_xlfn.XLOOKUP(TRUE, EXACT(Table28[[#This Row],[X2]], Table29[orig]), Table29[T-reflection])</f>
        <v>white</v>
      </c>
      <c r="DI15" t="str" cm="1">
        <f t="array" ref="DI15">_xlfn.XLOOKUP(TRUE, EXACT(Table28[[#This Row],[X'']], Table29[orig]), Table29[T-reflection])</f>
        <v>orange</v>
      </c>
      <c r="DJ15" s="4" t="str" cm="1">
        <f t="array" ref="DJ15">_xlfn.XLOOKUP(TRUE, EXACT(Table28[[#This Row],[Y]], Table29[orig]), Table29[T-reflection])</f>
        <v>yellow</v>
      </c>
      <c r="DK15" t="str" cm="1">
        <f t="array" ref="DK15">_xlfn.XLOOKUP(TRUE, EXACT(Table28[[#This Row],[Y2]], Table29[orig]), Table29[T-reflection])</f>
        <v>yellow</v>
      </c>
      <c r="DL15" t="str" cm="1">
        <f t="array" ref="DL15">_xlfn.XLOOKUP(TRUE, EXACT(Table28[[#This Row],[Y'']], Table29[orig]), Table29[T-reflection])</f>
        <v>yellow</v>
      </c>
      <c r="DM15" s="4" t="str" cm="1">
        <f t="array" ref="DM15">_xlfn.XLOOKUP(TRUE, EXACT(Table28[[#This Row],[Z]], Table29[orig]), Table29[T-reflection])</f>
        <v>blue</v>
      </c>
      <c r="DN15" t="str" cm="1">
        <f t="array" ref="DN15">_xlfn.XLOOKUP(TRUE, EXACT(Table28[[#This Row],[Z2]], Table29[orig]), Table29[T-reflection])</f>
        <v>white</v>
      </c>
      <c r="DO15" t="str" cm="1">
        <f t="array" ref="DO15">_xlfn.XLOOKUP(TRUE, EXACT(Table28[[#This Row],[Z'']], Table29[orig]), Table29[T-reflection])</f>
        <v>green</v>
      </c>
      <c r="DP15" t="str" cm="1">
        <f t="array" ref="DP15">_xlfn.XLOOKUP(TRUE, EXACT(Table28[[#This Row],[Z X]], Table29[orig]), Table29[T-reflection])</f>
        <v>blue</v>
      </c>
      <c r="DQ15" t="str" cm="1">
        <f t="array" ref="DQ15">_xlfn.XLOOKUP(TRUE, EXACT(Table28[[#This Row],[Y'' X'']], Table29[orig]), Table29[T-reflection])</f>
        <v>orange</v>
      </c>
      <c r="DR15" t="str" cm="1">
        <f t="array" ref="DR15">_xlfn.XLOOKUP(TRUE, EXACT(Table28[[#This Row],[Y X'']], Table29[orig]), Table29[T-reflection])</f>
        <v>orange</v>
      </c>
      <c r="DS15" t="str" cm="1">
        <f t="array" ref="DS15">_xlfn.XLOOKUP(TRUE, EXACT(Table28[[#This Row],[Z'' X]], Table29[orig]), Table29[T-reflection])</f>
        <v>green</v>
      </c>
      <c r="DT15" t="str" cm="1">
        <f t="array" ref="DT15">_xlfn.XLOOKUP(TRUE, EXACT(Table28[[#This Row],[Z'' X'']], Table29[orig]), Table29[T-reflection])</f>
        <v>green</v>
      </c>
      <c r="DU15" t="str" cm="1">
        <f t="array" ref="DU15">_xlfn.XLOOKUP(TRUE, EXACT(Table28[[#This Row],[Y'' X]], Table29[orig]), Table29[T-reflection])</f>
        <v>red</v>
      </c>
      <c r="DV15" t="str" cm="1">
        <f t="array" ref="DV15">_xlfn.XLOOKUP(TRUE, EXACT(Table28[[#This Row],[Y X]], Table29[orig]), Table29[T-reflection])</f>
        <v>red</v>
      </c>
      <c r="DW15" t="str" cm="1">
        <f t="array" ref="DW15">_xlfn.XLOOKUP(TRUE, EXACT(Table28[[#This Row],[Z X'']], Table29[orig]), Table29[T-reflection])</f>
        <v>blue</v>
      </c>
      <c r="DX15" t="str" cm="1">
        <f t="array" ref="DX15">_xlfn.XLOOKUP(TRUE, EXACT(Table28[[#This Row],[Y'' X2]], Table29[orig]), Table29[T-reflection])</f>
        <v>white</v>
      </c>
      <c r="DY15" t="str" cm="1">
        <f t="array" ref="DY15">_xlfn.XLOOKUP(TRUE, EXACT(Table28[[#This Row],[Y X2]], Table29[orig]), Table29[T-reflection])</f>
        <v>white</v>
      </c>
      <c r="DZ15" t="str" cm="1">
        <f t="array" ref="DZ15">_xlfn.XLOOKUP(TRUE, EXACT(Table28[[#This Row],[Z X2]], Table29[orig]), Table29[T-reflection])</f>
        <v>blue</v>
      </c>
      <c r="EA15" t="str" cm="1">
        <f t="array" ref="EA15">_xlfn.XLOOKUP(TRUE, EXACT(Table28[[#This Row],[Z'' X2]], Table29[orig]), Table29[T-reflection])</f>
        <v>green</v>
      </c>
      <c r="EB15" t="str" cm="1">
        <f t="array" ref="EB15">_xlfn.XLOOKUP(TRUE, EXACT(Table28[[#This Row],[Z2 X]], Table29[orig]), Table29[T-reflection])</f>
        <v>orange</v>
      </c>
      <c r="EC15" t="str" cm="1">
        <f t="array" ref="EC15">_xlfn.XLOOKUP(TRUE, EXACT(Table28[[#This Row],[Z2 X'']], Table29[orig]), Table29[T-reflection])</f>
        <v>red</v>
      </c>
    </row>
    <row r="16" spans="1:133" x14ac:dyDescent="0.2">
      <c r="A16" s="24"/>
      <c r="B16" t="s">
        <v>124</v>
      </c>
      <c r="C16" t="s">
        <v>124</v>
      </c>
      <c r="D16" t="s">
        <v>124</v>
      </c>
      <c r="E16" t="s">
        <v>125</v>
      </c>
      <c r="F16" t="s">
        <v>120</v>
      </c>
      <c r="G16" t="s">
        <v>121</v>
      </c>
      <c r="H16" t="s">
        <v>124</v>
      </c>
      <c r="I16" t="s">
        <v>124</v>
      </c>
      <c r="J16" t="s">
        <v>124</v>
      </c>
      <c r="K16" t="s">
        <v>124</v>
      </c>
      <c r="L16" t="s">
        <v>124</v>
      </c>
      <c r="O16" t="s">
        <v>124</v>
      </c>
      <c r="P16" t="str">
        <f>Table27[[#This Row],[orig]]</f>
        <v>green</v>
      </c>
      <c r="Q16" t="str">
        <f>Table29[[#This Row],[X]]</f>
        <v>green</v>
      </c>
      <c r="R16" t="str" cm="1">
        <f t="array" ref="R16">_xlfn.XLOOKUP(TRUE, EXACT(Table27[[#This Row],[X]], Table27[orig]), Table27[X])</f>
        <v>green</v>
      </c>
      <c r="S16" t="str" cm="1">
        <f t="array" ref="S16">_xlfn.XLOOKUP(TRUE, EXACT(Table27[[#This Row],[X2]], Table27[orig]), Table27[X])</f>
        <v>green</v>
      </c>
      <c r="T16" t="str">
        <f>Table29[[#This Row],[Y]]</f>
        <v>orange</v>
      </c>
      <c r="U16" t="str" cm="1">
        <f t="array" ref="U16">_xlfn.XLOOKUP(TRUE, EXACT(Table27[[#This Row],[Y]], Table27[orig]), Table27[Y])</f>
        <v>blue</v>
      </c>
      <c r="V16" t="str" cm="1">
        <f t="array" ref="V16">_xlfn.XLOOKUP(TRUE, EXACT(Table27[[#This Row],[Y2]], Table27[orig]), Table27[Y])</f>
        <v>red</v>
      </c>
      <c r="W16" t="str">
        <f>Table29[[#This Row],[Z]]</f>
        <v>white</v>
      </c>
      <c r="X16" t="str" cm="1">
        <f t="array" ref="X16">_xlfn.XLOOKUP(TRUE, EXACT(Table27[[#This Row],[Z]], Table27[orig]), Table27[Z])</f>
        <v>blue</v>
      </c>
      <c r="Y16" t="str" cm="1">
        <f t="array" ref="Y16">_xlfn.XLOOKUP(TRUE, EXACT(Table27[[#This Row],[Z2]], Table27[orig]), Table27[Z])</f>
        <v>yellow</v>
      </c>
      <c r="Z16" t="str">
        <f>Table29[[#This Row],[R]]</f>
        <v>green</v>
      </c>
      <c r="AA16" t="str" cm="1">
        <f t="array" ref="AA16">_xlfn.XLOOKUP(TRUE, EXACT(Table27[[#This Row],[R]], Table27[orig]), Table27[R])</f>
        <v>green</v>
      </c>
      <c r="AB16" t="str" cm="1">
        <f t="array" ref="AB16">_xlfn.XLOOKUP(TRUE, EXACT(Table27[[#This Row],[R2]], Table27[orig]), Table27[R])</f>
        <v>green</v>
      </c>
      <c r="AC16" t="str" cm="1">
        <f t="array" ref="AC16">_xlfn.XLOOKUP(TRUE, EXACT(_xlfn.XLOOKUP(TRUE, EXACT(Table27[[#This Row],[Y2]], Table27[orig]), Table27[R]), Table27[orig]), Table27[Y2])</f>
        <v>green</v>
      </c>
      <c r="AD16" t="str" cm="1">
        <f t="array" ref="AD16">_xlfn.XLOOKUP(TRUE, EXACT(Table27[[#This Row],[L]], Table27[orig]), Table27[L])</f>
        <v>green</v>
      </c>
      <c r="AE16" t="str" cm="1">
        <f t="array" ref="AE16">_xlfn.XLOOKUP(TRUE, EXACT(Table27[[#This Row],[L2]], Table27[orig]), Table27[L])</f>
        <v>green</v>
      </c>
      <c r="AF16" t="str" cm="1">
        <f t="array" ref="AF16">_xlfn.XLOOKUP(TRUE, EXACT(Table27[[#This Row],[r-lower]], Table27[orig]), Table27[R''])</f>
        <v>green</v>
      </c>
      <c r="AG16" t="str" cm="1">
        <f t="array" ref="AG16">_xlfn.XLOOKUP(TRUE, EXACT(Table27[[#This Row],[T]], Table27[orig]), Table27[T])</f>
        <v>green</v>
      </c>
      <c r="AH16" t="str" cm="1">
        <f t="array" ref="AH16">_xlfn.XLOOKUP(TRUE, EXACT(Table27[[#This Row],[T2]], Table27[orig]), Table27[T])</f>
        <v>green</v>
      </c>
      <c r="AI16" t="str" cm="1">
        <f t="array" ref="AI16">_xlfn.XLOOKUP(TRUE, EXACT(Table27[[#This Row],[X]], Table27[orig]), Table27[L])</f>
        <v>green</v>
      </c>
      <c r="AJ16" t="str" cm="1">
        <f t="array" ref="AJ16">_xlfn.XLOOKUP(TRUE, EXACT(Table27[[#This Row],[r-lower]], Table27[orig]), Table27[r-lower])</f>
        <v>green</v>
      </c>
      <c r="AK16" t="str" cm="1">
        <f t="array" ref="AK16">_xlfn.XLOOKUP(TRUE, EXACT(Table27[[#This Row],[r2-lower]], Table27[orig]), Table27[r-lower])</f>
        <v>green</v>
      </c>
      <c r="AL16" t="str" cm="1">
        <f t="array" ref="AL16">_xlfn.XLOOKUP(TRUE, EXACT(Table27[[#This Row],[X'']], Table27[orig]), Table27[R])</f>
        <v>green</v>
      </c>
      <c r="AM16" t="str" cm="1">
        <f t="array" ref="AM16">_xlfn.XLOOKUP(TRUE, EXACT(Table27[[#This Row],[l-lower]], Table27[orig]), Table27[l-lower])</f>
        <v>green</v>
      </c>
      <c r="AN16" t="str" cm="1">
        <f t="array" ref="AN16">_xlfn.XLOOKUP(TRUE, EXACT(Table27[[#This Row],[l2-lower]], Table27[orig]), Table27[l-lower])</f>
        <v>green</v>
      </c>
      <c r="AO16" t="str" cm="1">
        <f t="array" ref="AO16">_xlfn.XLOOKUP(TRUE, EXACT(Table27[[#This Row],[R]], Table27[orig]), Table27[L''])</f>
        <v>green</v>
      </c>
      <c r="AP16" t="str" cm="1">
        <f t="array" ref="AP16">_xlfn.XLOOKUP(TRUE, EXACT(Table27[[#This Row],[RL'']], Table27[orig]), Table27[RL''])</f>
        <v>green</v>
      </c>
      <c r="AQ16" t="str" cm="1">
        <f t="array" ref="AQ16">_xlfn.XLOOKUP(TRUE, EXACT(Table27[[#This Row],[R2L2]], Table27[orig]), Table27[RL''])</f>
        <v>green</v>
      </c>
      <c r="AR16" t="str">
        <f>Table29[[#This Row],[U]]</f>
        <v>green</v>
      </c>
      <c r="AS16" t="str" cm="1">
        <f t="array" ref="AS16">_xlfn.XLOOKUP(TRUE, EXACT(Table27[[#This Row],[U]], Table27[orig]), Table27[U])</f>
        <v>green</v>
      </c>
      <c r="AT16" t="str" cm="1">
        <f t="array" ref="AT16">_xlfn.XLOOKUP(TRUE, EXACT(Table27[[#This Row],[U2]], Table27[orig]), Table27[U])</f>
        <v>green</v>
      </c>
      <c r="AU16" t="str" cm="1">
        <f t="array" ref="AU16">_xlfn.XLOOKUP(TRUE, EXACT(_xlfn.XLOOKUP(TRUE, EXACT(Table27[[#This Row],[Z2]], Table27[orig]), Table27[U]), Table27[orig]), Table27[Z2])</f>
        <v>green</v>
      </c>
      <c r="AV16" t="str" cm="1">
        <f t="array" ref="AV16">_xlfn.XLOOKUP(TRUE, EXACT(Table27[[#This Row],[D]], Table27[orig]), Table27[D])</f>
        <v>green</v>
      </c>
      <c r="AW16" t="str" cm="1">
        <f t="array" ref="AW16">_xlfn.XLOOKUP(TRUE, EXACT(Table27[[#This Row],[D2]], Table27[orig]), Table27[D])</f>
        <v>green</v>
      </c>
      <c r="AX16" t="str" cm="1">
        <f t="array" ref="AX16">_xlfn.XLOOKUP(TRUE, EXACT(Table27[[#This Row],[u-lower]], Table27[orig]), Table27[U''])</f>
        <v>orange</v>
      </c>
      <c r="AY16" t="str" cm="1">
        <f t="array" ref="AY16">_xlfn.XLOOKUP(TRUE, EXACT(Table27[[#This Row],[H]], Table27[orig]), Table27[H])</f>
        <v>blue</v>
      </c>
      <c r="AZ16" t="str" cm="1">
        <f t="array" ref="AZ16">_xlfn.XLOOKUP(TRUE, EXACT(Table27[[#This Row],[H2]], Table27[orig]), Table27[H])</f>
        <v>red</v>
      </c>
      <c r="BA16" t="str" cm="1">
        <f t="array" ref="BA16">_xlfn.XLOOKUP(TRUE, EXACT(Table27[[#This Row],[Y]], Table27[orig]), Table27[D])</f>
        <v>orange</v>
      </c>
      <c r="BB16" t="str" cm="1">
        <f t="array" ref="BB16">_xlfn.XLOOKUP(TRUE, EXACT(Table27[[#This Row],[u-lower]], Table27[orig]), Table27[u-lower])</f>
        <v>blue</v>
      </c>
      <c r="BC16" t="str" cm="1">
        <f t="array" ref="BC16">_xlfn.XLOOKUP(TRUE, EXACT(Table27[[#This Row],[u2-lower]], Table27[orig]), Table27[u-lower])</f>
        <v>red</v>
      </c>
      <c r="BD16" t="str" cm="1">
        <f t="array" ref="BD16">_xlfn.XLOOKUP(TRUE, EXACT(Table27[[#This Row],[Y'']], Table27[orig]), Table27[U])</f>
        <v>red</v>
      </c>
      <c r="BE16" t="str" cm="1">
        <f t="array" ref="BE16">_xlfn.XLOOKUP(TRUE, EXACT(Table27[[#This Row],[d-lower]], Table27[orig]), Table27[d-lower])</f>
        <v>blue</v>
      </c>
      <c r="BF16" t="str" cm="1">
        <f t="array" ref="BF16">_xlfn.XLOOKUP(TRUE, EXACT(Table27[[#This Row],[d2-lower]], Table27[orig]), Table27[d-lower])</f>
        <v>orange</v>
      </c>
      <c r="BG16" t="str" cm="1">
        <f t="array" ref="BG16">_xlfn.XLOOKUP(TRUE, EXACT(Table27[[#This Row],[U]], Table27[orig]), Table27[D''])</f>
        <v>green</v>
      </c>
      <c r="BH16" t="str" cm="1">
        <f t="array" ref="BH16">_xlfn.XLOOKUP(TRUE, EXACT(Table27[[#This Row],[UD'']], Table27[orig]), Table27[UD''])</f>
        <v>green</v>
      </c>
      <c r="BI16" t="str" cm="1">
        <f t="array" ref="BI16">_xlfn.XLOOKUP(TRUE, EXACT(Table27[[#This Row],[U2D2]], Table27[orig]), Table27[UD''])</f>
        <v>green</v>
      </c>
      <c r="BJ16" t="str">
        <f>Table29[[#This Row],[F]]</f>
        <v>green</v>
      </c>
      <c r="BK16" t="str" cm="1">
        <f t="array" ref="BK16">_xlfn.XLOOKUP(TRUE, EXACT(Table27[[#This Row],[F]], Table27[orig]), Table27[F])</f>
        <v>green</v>
      </c>
      <c r="BL16" t="str" cm="1">
        <f t="array" ref="BL16">_xlfn.XLOOKUP(TRUE, EXACT(Table27[[#This Row],[F2]], Table27[orig]), Table27[F])</f>
        <v>green</v>
      </c>
      <c r="BM16" t="str" cm="1">
        <f t="array" ref="BM16">_xlfn.XLOOKUP(TRUE, EXACT(_xlfn.XLOOKUP(TRUE, EXACT(Table27[[#This Row],[X2]], Table27[orig]), Table27[F]), Table27[orig]), Table27[X2])</f>
        <v>green</v>
      </c>
      <c r="BN16" t="str" cm="1">
        <f t="array" ref="BN16">_xlfn.XLOOKUP(TRUE, EXACT(Table27[[#This Row],[B]], Table27[orig]), Table27[B])</f>
        <v>green</v>
      </c>
      <c r="BO16" t="str" cm="1">
        <f t="array" ref="BO16">_xlfn.XLOOKUP(TRUE, EXACT(Table27[[#This Row],[B2]], Table27[orig]), Table27[B])</f>
        <v>green</v>
      </c>
      <c r="BP16" t="str" cm="1">
        <f t="array" ref="BP16">_xlfn.XLOOKUP(TRUE, EXACT(Table27[[#This Row],[f-lower]], Table27[orig]), Table27[F''])</f>
        <v>white</v>
      </c>
      <c r="BQ16" t="str" cm="1">
        <f t="array" ref="BQ16">_xlfn.XLOOKUP(TRUE, EXACT(Table27[[#This Row],[S]], Table27[orig]), Table27[S])</f>
        <v>blue</v>
      </c>
      <c r="BR16" t="str" cm="1">
        <f t="array" ref="BR16">_xlfn.XLOOKUP(TRUE, EXACT(Table27[[#This Row],[S2]], Table27[orig]), Table27[S])</f>
        <v>yellow</v>
      </c>
      <c r="BS16" t="str" cm="1">
        <f t="array" ref="BS16">_xlfn.XLOOKUP(TRUE, EXACT(Table27[[#This Row],[Z]], Table27[orig]), Table27[B])</f>
        <v>white</v>
      </c>
      <c r="BT16" t="str" cm="1">
        <f t="array" ref="BT16">_xlfn.XLOOKUP(TRUE, EXACT(Table27[[#This Row],[f-lower]], Table27[orig]), Table27[f-lower])</f>
        <v>blue</v>
      </c>
      <c r="BU16" t="str" cm="1">
        <f t="array" ref="BU16">_xlfn.XLOOKUP(TRUE, EXACT(Table27[[#This Row],[f2-lower]], Table27[orig]), Table27[f-lower])</f>
        <v>yellow</v>
      </c>
      <c r="BV16" t="str" cm="1">
        <f t="array" ref="BV16">_xlfn.XLOOKUP(TRUE, EXACT(Table27[[#This Row],[Z'']], Table27[orig]), Table27[F])</f>
        <v>yellow</v>
      </c>
      <c r="BW16" t="str" cm="1">
        <f t="array" ref="BW16">_xlfn.XLOOKUP(TRUE, EXACT(Table27[[#This Row],[b-lower]], Table27[orig]), Table27[b-lower])</f>
        <v>blue</v>
      </c>
      <c r="BX16" t="str" cm="1">
        <f t="array" ref="BX16">_xlfn.XLOOKUP(TRUE, EXACT(Table27[[#This Row],[b2-lower]], Table27[orig]), Table27[b-lower])</f>
        <v>white</v>
      </c>
      <c r="BY16" t="str" cm="1">
        <f t="array" ref="BY16">_xlfn.XLOOKUP(TRUE, EXACT(Table27[[#This Row],[F]], Table27[orig]), Table27[B''])</f>
        <v>green</v>
      </c>
      <c r="BZ16" t="str" cm="1">
        <f t="array" ref="BZ16">_xlfn.XLOOKUP(TRUE, EXACT(Table27[[#This Row],[FB'']], Table27[orig]), Table27[FB''])</f>
        <v>green</v>
      </c>
      <c r="CA16" t="str" cm="1">
        <f t="array" ref="CA16">_xlfn.XLOOKUP(TRUE, EXACT(Table27[[#This Row],[F2B2]], Table27[orig]), Table27[FB''])</f>
        <v>green</v>
      </c>
      <c r="CD16" t="s">
        <v>124</v>
      </c>
      <c r="CE16" t="str">
        <f>Table28[[#This Row],[orig]]</f>
        <v>green</v>
      </c>
      <c r="CF16" t="str">
        <f>Table29[[#This Row],[X]]</f>
        <v>green</v>
      </c>
      <c r="CG16" t="str" cm="1">
        <f t="array" ref="CG16">_xlfn.XLOOKUP(TRUE, EXACT(Table28[[#This Row],[X]], Table28[orig]), Table28[X])</f>
        <v>green</v>
      </c>
      <c r="CH16" t="str" cm="1">
        <f t="array" ref="CH16">_xlfn.XLOOKUP(TRUE, EXACT(Table28[[#This Row],[X2]], Table28[orig]), Table28[X])</f>
        <v>green</v>
      </c>
      <c r="CI16" t="str">
        <f>Table29[[#This Row],[Y]]</f>
        <v>orange</v>
      </c>
      <c r="CJ16" t="str" cm="1">
        <f t="array" ref="CJ16">_xlfn.XLOOKUP(TRUE, EXACT(Table28[[#This Row],[Y]], Table28[orig]), Table28[Y])</f>
        <v>blue</v>
      </c>
      <c r="CK16" t="str" cm="1">
        <f t="array" ref="CK16">_xlfn.XLOOKUP(TRUE, EXACT(Table28[[#This Row],[Y2]], Table28[orig]), Table28[Y])</f>
        <v>red</v>
      </c>
      <c r="CL16" t="str">
        <f>Table29[[#This Row],[Z]]</f>
        <v>white</v>
      </c>
      <c r="CM16" t="str" cm="1">
        <f t="array" ref="CM16">_xlfn.XLOOKUP(TRUE, EXACT(Table28[[#This Row],[Z]], Table28[orig]), Table28[Z])</f>
        <v>blue</v>
      </c>
      <c r="CN16" t="str" cm="1">
        <f t="array" ref="CN16">_xlfn.XLOOKUP(TRUE, EXACT(Table28[[#This Row],[Z2]], Table28[orig]), Table28[Z])</f>
        <v>yellow</v>
      </c>
      <c r="CO16" t="str" cm="1">
        <f t="array" ref="CO16">_xlfn.XLOOKUP(TRUE, EXACT(Table28[[#This Row],[Z]], Table28[orig]), Table28[X])</f>
        <v>orange</v>
      </c>
      <c r="CP16" t="str" cm="1">
        <f t="array" ref="CP16">_xlfn.XLOOKUP(TRUE, EXACT(Table28[[#This Row],[Y'']], Table28[orig]), Table28[X''])</f>
        <v>yellow</v>
      </c>
      <c r="CQ16" t="str" cm="1">
        <f t="array" ref="CQ16">_xlfn.XLOOKUP(TRUE, EXACT(Table28[[#This Row],[Y]], Table28[orig]), Table28[X''])</f>
        <v>white</v>
      </c>
      <c r="CR16" t="str" cm="1">
        <f t="array" ref="CR16">_xlfn.XLOOKUP(TRUE, EXACT(Table28[[#This Row],[Z'']], Table28[orig]), Table28[X])</f>
        <v>red</v>
      </c>
      <c r="CS16" t="str" cm="1">
        <f t="array" ref="CS16">_xlfn.XLOOKUP(TRUE, EXACT(Table28[[#This Row],[Z'']], Table28[orig]), Table28[X''])</f>
        <v>orange</v>
      </c>
      <c r="CT16" t="str" cm="1">
        <f t="array" ref="CT16">_xlfn.XLOOKUP(TRUE, EXACT(Table28[[#This Row],[Y'']], Table28[orig]), Table28[X])</f>
        <v>white</v>
      </c>
      <c r="CU16" t="str" cm="1">
        <f t="array" ref="CU16">_xlfn.XLOOKUP(TRUE, EXACT(Table28[[#This Row],[Y]], Table28[orig]), Table28[X])</f>
        <v>yellow</v>
      </c>
      <c r="CV16" t="str" cm="1">
        <f t="array" ref="CV16">_xlfn.XLOOKUP(TRUE, EXACT(Table28[[#This Row],[Z]], Table28[orig]), Table28[X''])</f>
        <v>red</v>
      </c>
      <c r="CW16" t="str" cm="1">
        <f t="array" ref="CW16">_xlfn.XLOOKUP(TRUE, EXACT(Table28[[#This Row],[Y'']], Table28[orig]), Table28[X2])</f>
        <v>orange</v>
      </c>
      <c r="CX16" t="str" cm="1">
        <f t="array" ref="CX16">_xlfn.XLOOKUP(TRUE, EXACT(Table28[[#This Row],[Y]], Table28[orig]), Table28[X2])</f>
        <v>red</v>
      </c>
      <c r="CY16" t="str" cm="1">
        <f t="array" ref="CY16">_xlfn.XLOOKUP(TRUE, EXACT(Table28[[#This Row],[Z]], Table28[orig]), Table28[X2])</f>
        <v>yellow</v>
      </c>
      <c r="CZ16" t="str" cm="1">
        <f t="array" ref="CZ16">_xlfn.XLOOKUP(TRUE, EXACT(Table28[[#This Row],[Z'']], Table28[orig]), Table28[X2])</f>
        <v>white</v>
      </c>
      <c r="DA16" t="str" cm="1">
        <f t="array" ref="DA16">_xlfn.XLOOKUP(TRUE, EXACT(Table28[[#This Row],[Z2]], Table28[orig]), Table28[X])</f>
        <v>blue</v>
      </c>
      <c r="DB16" t="str" cm="1">
        <f t="array" ref="DB16">_xlfn.XLOOKUP(TRUE, EXACT(Table28[[#This Row],[Z2]], Table28[orig]), Table28[X''])</f>
        <v>blue</v>
      </c>
      <c r="DE16" s="6" t="s">
        <v>124</v>
      </c>
      <c r="DF16" s="6" t="str" cm="1">
        <f t="array" ref="DF16">_xlfn.XLOOKUP(TRUE, EXACT(Table28[[#This Row],[I]], Table29[orig]), Table29[T-reflection])</f>
        <v>blue</v>
      </c>
      <c r="DG16" s="6" t="str" cm="1">
        <f t="array" ref="DG16">_xlfn.XLOOKUP(TRUE, EXACT(Table28[[#This Row],[X]], Table29[orig]), Table29[T-reflection])</f>
        <v>blue</v>
      </c>
      <c r="DH16" t="str" cm="1">
        <f t="array" ref="DH16">_xlfn.XLOOKUP(TRUE, EXACT(Table28[[#This Row],[X2]], Table29[orig]), Table29[T-reflection])</f>
        <v>blue</v>
      </c>
      <c r="DI16" t="str" cm="1">
        <f t="array" ref="DI16">_xlfn.XLOOKUP(TRUE, EXACT(Table28[[#This Row],[X'']], Table29[orig]), Table29[T-reflection])</f>
        <v>blue</v>
      </c>
      <c r="DJ16" s="6" t="str" cm="1">
        <f t="array" ref="DJ16">_xlfn.XLOOKUP(TRUE, EXACT(Table28[[#This Row],[Y]], Table29[orig]), Table29[T-reflection])</f>
        <v>orange</v>
      </c>
      <c r="DK16" t="str" cm="1">
        <f t="array" ref="DK16">_xlfn.XLOOKUP(TRUE, EXACT(Table28[[#This Row],[Y2]], Table29[orig]), Table29[T-reflection])</f>
        <v>green</v>
      </c>
      <c r="DL16" t="str" cm="1">
        <f t="array" ref="DL16">_xlfn.XLOOKUP(TRUE, EXACT(Table28[[#This Row],[Y'']], Table29[orig]), Table29[T-reflection])</f>
        <v>red</v>
      </c>
      <c r="DM16" s="6" t="str" cm="1">
        <f t="array" ref="DM16">_xlfn.XLOOKUP(TRUE, EXACT(Table28[[#This Row],[Z]], Table29[orig]), Table29[T-reflection])</f>
        <v>white</v>
      </c>
      <c r="DN16" t="str" cm="1">
        <f t="array" ref="DN16">_xlfn.XLOOKUP(TRUE, EXACT(Table28[[#This Row],[Z2]], Table29[orig]), Table29[T-reflection])</f>
        <v>green</v>
      </c>
      <c r="DO16" t="str" cm="1">
        <f t="array" ref="DO16">_xlfn.XLOOKUP(TRUE, EXACT(Table28[[#This Row],[Z'']], Table29[orig]), Table29[T-reflection])</f>
        <v>yellow</v>
      </c>
      <c r="DP16" t="str" cm="1">
        <f t="array" ref="DP16">_xlfn.XLOOKUP(TRUE, EXACT(Table28[[#This Row],[Z X]], Table29[orig]), Table29[T-reflection])</f>
        <v>orange</v>
      </c>
      <c r="DQ16" t="str" cm="1">
        <f t="array" ref="DQ16">_xlfn.XLOOKUP(TRUE, EXACT(Table28[[#This Row],[Y'' X'']], Table29[orig]), Table29[T-reflection])</f>
        <v>yellow</v>
      </c>
      <c r="DR16" t="str" cm="1">
        <f t="array" ref="DR16">_xlfn.XLOOKUP(TRUE, EXACT(Table28[[#This Row],[Y X'']], Table29[orig]), Table29[T-reflection])</f>
        <v>white</v>
      </c>
      <c r="DS16" t="str" cm="1">
        <f t="array" ref="DS16">_xlfn.XLOOKUP(TRUE, EXACT(Table28[[#This Row],[Z'' X]], Table29[orig]), Table29[T-reflection])</f>
        <v>red</v>
      </c>
      <c r="DT16" t="str" cm="1">
        <f t="array" ref="DT16">_xlfn.XLOOKUP(TRUE, EXACT(Table28[[#This Row],[Z'' X'']], Table29[orig]), Table29[T-reflection])</f>
        <v>orange</v>
      </c>
      <c r="DU16" t="str" cm="1">
        <f t="array" ref="DU16">_xlfn.XLOOKUP(TRUE, EXACT(Table28[[#This Row],[Y'' X]], Table29[orig]), Table29[T-reflection])</f>
        <v>white</v>
      </c>
      <c r="DV16" t="str" cm="1">
        <f t="array" ref="DV16">_xlfn.XLOOKUP(TRUE, EXACT(Table28[[#This Row],[Y X]], Table29[orig]), Table29[T-reflection])</f>
        <v>yellow</v>
      </c>
      <c r="DW16" t="str" cm="1">
        <f t="array" ref="DW16">_xlfn.XLOOKUP(TRUE, EXACT(Table28[[#This Row],[Z X'']], Table29[orig]), Table29[T-reflection])</f>
        <v>red</v>
      </c>
      <c r="DX16" t="str" cm="1">
        <f t="array" ref="DX16">_xlfn.XLOOKUP(TRUE, EXACT(Table28[[#This Row],[Y'' X2]], Table29[orig]), Table29[T-reflection])</f>
        <v>orange</v>
      </c>
      <c r="DY16" t="str" cm="1">
        <f t="array" ref="DY16">_xlfn.XLOOKUP(TRUE, EXACT(Table28[[#This Row],[Y X2]], Table29[orig]), Table29[T-reflection])</f>
        <v>red</v>
      </c>
      <c r="DZ16" t="str" cm="1">
        <f t="array" ref="DZ16">_xlfn.XLOOKUP(TRUE, EXACT(Table28[[#This Row],[Z X2]], Table29[orig]), Table29[T-reflection])</f>
        <v>yellow</v>
      </c>
      <c r="EA16" t="str" cm="1">
        <f t="array" ref="EA16">_xlfn.XLOOKUP(TRUE, EXACT(Table28[[#This Row],[Z'' X2]], Table29[orig]), Table29[T-reflection])</f>
        <v>white</v>
      </c>
      <c r="EB16" t="str" cm="1">
        <f t="array" ref="EB16">_xlfn.XLOOKUP(TRUE, EXACT(Table28[[#This Row],[Z2 X]], Table29[orig]), Table29[T-reflection])</f>
        <v>green</v>
      </c>
      <c r="EC16" t="str" cm="1">
        <f t="array" ref="EC16">_xlfn.XLOOKUP(TRUE, EXACT(Table28[[#This Row],[Z2 X'']], Table29[orig]), Table29[T-reflection])</f>
        <v>green</v>
      </c>
    </row>
    <row r="17" spans="1:164" s="5" customFormat="1" ht="16" thickBot="1" x14ac:dyDescent="0.25">
      <c r="A17" s="24"/>
      <c r="B17" s="5" t="s">
        <v>125</v>
      </c>
      <c r="C17" s="5" t="s">
        <v>125</v>
      </c>
      <c r="D17" s="5" t="s">
        <v>123</v>
      </c>
      <c r="E17" s="5" t="s">
        <v>121</v>
      </c>
      <c r="F17" s="5" t="s">
        <v>125</v>
      </c>
      <c r="G17" s="5" t="s">
        <v>125</v>
      </c>
      <c r="H17" s="5" t="s">
        <v>125</v>
      </c>
      <c r="I17" s="5" t="s">
        <v>122</v>
      </c>
      <c r="J17" s="5" t="s">
        <v>125</v>
      </c>
      <c r="K17" s="5" t="s">
        <v>125</v>
      </c>
      <c r="L17" s="5" t="s">
        <v>125</v>
      </c>
      <c r="M17"/>
      <c r="N17"/>
      <c r="O17" s="5" t="s">
        <v>125</v>
      </c>
      <c r="P17" s="5" t="str">
        <f>Table27[[#This Row],[orig]]</f>
        <v>orange</v>
      </c>
      <c r="Q17" s="5" t="str">
        <f>Table29[[#This Row],[X]]</f>
        <v>yellow</v>
      </c>
      <c r="R17" s="5" t="str" cm="1">
        <f t="array" ref="R17">_xlfn.XLOOKUP(TRUE, EXACT(Table27[[#This Row],[X]], Table27[orig]), Table27[X])</f>
        <v>red</v>
      </c>
      <c r="S17" s="5" t="str" cm="1">
        <f t="array" ref="S17">_xlfn.XLOOKUP(TRUE, EXACT(Table27[[#This Row],[X2]], Table27[orig]), Table27[X])</f>
        <v>white</v>
      </c>
      <c r="T17" s="5" t="str">
        <f>Table29[[#This Row],[Y]]</f>
        <v>blue</v>
      </c>
      <c r="U17" s="5" t="str" cm="1">
        <f t="array" ref="U17">_xlfn.XLOOKUP(TRUE, EXACT(Table27[[#This Row],[Y]], Table27[orig]), Table27[Y])</f>
        <v>red</v>
      </c>
      <c r="V17" s="5" t="str" cm="1">
        <f t="array" ref="V17">_xlfn.XLOOKUP(TRUE, EXACT(Table27[[#This Row],[Y2]], Table27[orig]), Table27[Y])</f>
        <v>green</v>
      </c>
      <c r="W17" s="5" t="str">
        <f>Table29[[#This Row],[Z]]</f>
        <v>orange</v>
      </c>
      <c r="X17" s="5" t="str" cm="1">
        <f t="array" ref="X17">_xlfn.XLOOKUP(TRUE, EXACT(Table27[[#This Row],[Z]], Table27[orig]), Table27[Z])</f>
        <v>orange</v>
      </c>
      <c r="Y17" s="5" t="str" cm="1">
        <f t="array" ref="Y17">_xlfn.XLOOKUP(TRUE, EXACT(Table27[[#This Row],[Z2]], Table27[orig]), Table27[Z])</f>
        <v>orange</v>
      </c>
      <c r="Z17" s="5" t="str">
        <f>Table29[[#This Row],[R]]</f>
        <v>orange</v>
      </c>
      <c r="AA17" s="5" t="str" cm="1">
        <f t="array" ref="AA17">_xlfn.XLOOKUP(TRUE, EXACT(Table27[[#This Row],[R]], Table27[orig]), Table27[R])</f>
        <v>orange</v>
      </c>
      <c r="AB17" s="5" t="str" cm="1">
        <f t="array" ref="AB17">_xlfn.XLOOKUP(TRUE, EXACT(Table27[[#This Row],[R2]], Table27[orig]), Table27[R])</f>
        <v>orange</v>
      </c>
      <c r="AC17" s="5" t="str" cm="1">
        <f t="array" ref="AC17">_xlfn.XLOOKUP(TRUE, EXACT(_xlfn.XLOOKUP(TRUE, EXACT(Table27[[#This Row],[Y2]], Table27[orig]), Table27[R]), Table27[orig]), Table27[Y2])</f>
        <v>orange</v>
      </c>
      <c r="AD17" s="5" t="str" cm="1">
        <f t="array" ref="AD17">_xlfn.XLOOKUP(TRUE, EXACT(Table27[[#This Row],[L]], Table27[orig]), Table27[L])</f>
        <v>orange</v>
      </c>
      <c r="AE17" s="5" t="str" cm="1">
        <f t="array" ref="AE17">_xlfn.XLOOKUP(TRUE, EXACT(Table27[[#This Row],[L2]], Table27[orig]), Table27[L])</f>
        <v>orange</v>
      </c>
      <c r="AF17" s="5" t="str" cm="1">
        <f t="array" ref="AF17">_xlfn.XLOOKUP(TRUE, EXACT(Table27[[#This Row],[r-lower]], Table27[orig]), Table27[R''])</f>
        <v>yellow</v>
      </c>
      <c r="AG17" s="5" t="str" cm="1">
        <f t="array" ref="AG17">_xlfn.XLOOKUP(TRUE, EXACT(Table27[[#This Row],[T]], Table27[orig]), Table27[T])</f>
        <v>red</v>
      </c>
      <c r="AH17" s="5" t="str" cm="1">
        <f t="array" ref="AH17">_xlfn.XLOOKUP(TRUE, EXACT(Table27[[#This Row],[T2]], Table27[orig]), Table27[T])</f>
        <v>white</v>
      </c>
      <c r="AI17" s="5" t="str" cm="1">
        <f t="array" ref="AI17">_xlfn.XLOOKUP(TRUE, EXACT(Table27[[#This Row],[X]], Table27[orig]), Table27[L])</f>
        <v>yellow</v>
      </c>
      <c r="AJ17" s="5" t="str" cm="1">
        <f t="array" ref="AJ17">_xlfn.XLOOKUP(TRUE, EXACT(Table27[[#This Row],[r-lower]], Table27[orig]), Table27[r-lower])</f>
        <v>red</v>
      </c>
      <c r="AK17" s="5" t="str" cm="1">
        <f t="array" ref="AK17">_xlfn.XLOOKUP(TRUE, EXACT(Table27[[#This Row],[r2-lower]], Table27[orig]), Table27[r-lower])</f>
        <v>white</v>
      </c>
      <c r="AL17" s="5" t="str" cm="1">
        <f t="array" ref="AL17">_xlfn.XLOOKUP(TRUE, EXACT(Table27[[#This Row],[X'']], Table27[orig]), Table27[R])</f>
        <v>white</v>
      </c>
      <c r="AM17" s="5" t="str" cm="1">
        <f t="array" ref="AM17">_xlfn.XLOOKUP(TRUE, EXACT(Table27[[#This Row],[l-lower]], Table27[orig]), Table27[l-lower])</f>
        <v>red</v>
      </c>
      <c r="AN17" s="5" t="str" cm="1">
        <f t="array" ref="AN17">_xlfn.XLOOKUP(TRUE, EXACT(Table27[[#This Row],[l2-lower]], Table27[orig]), Table27[l-lower])</f>
        <v>yellow</v>
      </c>
      <c r="AO17" s="5" t="str" cm="1">
        <f t="array" ref="AO17">_xlfn.XLOOKUP(TRUE, EXACT(Table27[[#This Row],[R]], Table27[orig]), Table27[L''])</f>
        <v>orange</v>
      </c>
      <c r="AP17" s="5" t="str" cm="1">
        <f t="array" ref="AP17">_xlfn.XLOOKUP(TRUE, EXACT(Table27[[#This Row],[RL'']], Table27[orig]), Table27[RL''])</f>
        <v>orange</v>
      </c>
      <c r="AQ17" s="5" t="str" cm="1">
        <f t="array" ref="AQ17">_xlfn.XLOOKUP(TRUE, EXACT(Table27[[#This Row],[R2L2]], Table27[orig]), Table27[RL''])</f>
        <v>orange</v>
      </c>
      <c r="AR17" s="5" t="str">
        <f>Table29[[#This Row],[U]]</f>
        <v>orange</v>
      </c>
      <c r="AS17" s="5" t="str" cm="1">
        <f t="array" ref="AS17">_xlfn.XLOOKUP(TRUE, EXACT(Table27[[#This Row],[U]], Table27[orig]), Table27[U])</f>
        <v>orange</v>
      </c>
      <c r="AT17" s="5" t="str" cm="1">
        <f t="array" ref="AT17">_xlfn.XLOOKUP(TRUE, EXACT(Table27[[#This Row],[U2]], Table27[orig]), Table27[U])</f>
        <v>orange</v>
      </c>
      <c r="AU17" s="5" t="str" cm="1">
        <f t="array" ref="AU17">_xlfn.XLOOKUP(TRUE, EXACT(_xlfn.XLOOKUP(TRUE, EXACT(Table27[[#This Row],[Z2]], Table27[orig]), Table27[U]), Table27[orig]), Table27[Z2])</f>
        <v>orange</v>
      </c>
      <c r="AV17" s="5" t="str" cm="1">
        <f t="array" ref="AV17">_xlfn.XLOOKUP(TRUE, EXACT(Table27[[#This Row],[D]], Table27[orig]), Table27[D])</f>
        <v>orange</v>
      </c>
      <c r="AW17" s="5" t="str" cm="1">
        <f t="array" ref="AW17">_xlfn.XLOOKUP(TRUE, EXACT(Table27[[#This Row],[D2]], Table27[orig]), Table27[D])</f>
        <v>orange</v>
      </c>
      <c r="AX17" s="5" t="str" cm="1">
        <f t="array" ref="AX17">_xlfn.XLOOKUP(TRUE, EXACT(Table27[[#This Row],[u-lower]], Table27[orig]), Table27[U''])</f>
        <v>blue</v>
      </c>
      <c r="AY17" s="5" t="str" cm="1">
        <f t="array" ref="AY17">_xlfn.XLOOKUP(TRUE, EXACT(Table27[[#This Row],[H]], Table27[orig]), Table27[H])</f>
        <v>red</v>
      </c>
      <c r="AZ17" s="5" t="str" cm="1">
        <f t="array" ref="AZ17">_xlfn.XLOOKUP(TRUE, EXACT(Table27[[#This Row],[H2]], Table27[orig]), Table27[H])</f>
        <v>green</v>
      </c>
      <c r="BA17" s="5" t="str" cm="1">
        <f t="array" ref="BA17">_xlfn.XLOOKUP(TRUE, EXACT(Table27[[#This Row],[Y]], Table27[orig]), Table27[D])</f>
        <v>blue</v>
      </c>
      <c r="BB17" s="5" t="str" cm="1">
        <f t="array" ref="BB17">_xlfn.XLOOKUP(TRUE, EXACT(Table27[[#This Row],[u-lower]], Table27[orig]), Table27[u-lower])</f>
        <v>red</v>
      </c>
      <c r="BC17" s="5" t="str" cm="1">
        <f t="array" ref="BC17">_xlfn.XLOOKUP(TRUE, EXACT(Table27[[#This Row],[u2-lower]], Table27[orig]), Table27[u-lower])</f>
        <v>green</v>
      </c>
      <c r="BD17" s="5" t="str" cm="1">
        <f t="array" ref="BD17">_xlfn.XLOOKUP(TRUE, EXACT(Table27[[#This Row],[Y'']], Table27[orig]), Table27[U])</f>
        <v>green</v>
      </c>
      <c r="BE17" s="5" t="str" cm="1">
        <f t="array" ref="BE17">_xlfn.XLOOKUP(TRUE, EXACT(Table27[[#This Row],[d-lower]], Table27[orig]), Table27[d-lower])</f>
        <v>red</v>
      </c>
      <c r="BF17" s="5" t="str" cm="1">
        <f t="array" ref="BF17">_xlfn.XLOOKUP(TRUE, EXACT(Table27[[#This Row],[d2-lower]], Table27[orig]), Table27[d-lower])</f>
        <v>blue</v>
      </c>
      <c r="BG17" s="5" t="str" cm="1">
        <f t="array" ref="BG17">_xlfn.XLOOKUP(TRUE, EXACT(Table27[[#This Row],[U]], Table27[orig]), Table27[D''])</f>
        <v>orange</v>
      </c>
      <c r="BH17" s="5" t="str" cm="1">
        <f t="array" ref="BH17">_xlfn.XLOOKUP(TRUE, EXACT(Table27[[#This Row],[UD'']], Table27[orig]), Table27[UD''])</f>
        <v>orange</v>
      </c>
      <c r="BI17" s="5" t="str" cm="1">
        <f t="array" ref="BI17">_xlfn.XLOOKUP(TRUE, EXACT(Table27[[#This Row],[U2D2]], Table27[orig]), Table27[UD''])</f>
        <v>orange</v>
      </c>
      <c r="BJ17" s="5" t="str">
        <f>Table29[[#This Row],[F]]</f>
        <v>orange</v>
      </c>
      <c r="BK17" s="5" t="str" cm="1">
        <f t="array" ref="BK17">_xlfn.XLOOKUP(TRUE, EXACT(Table27[[#This Row],[F]], Table27[orig]), Table27[F])</f>
        <v>orange</v>
      </c>
      <c r="BL17" s="5" t="str" cm="1">
        <f t="array" ref="BL17">_xlfn.XLOOKUP(TRUE, EXACT(Table27[[#This Row],[F2]], Table27[orig]), Table27[F])</f>
        <v>orange</v>
      </c>
      <c r="BM17" s="5" t="str" cm="1">
        <f t="array" ref="BM17">_xlfn.XLOOKUP(TRUE, EXACT(_xlfn.XLOOKUP(TRUE, EXACT(Table27[[#This Row],[X2]], Table27[orig]), Table27[F]), Table27[orig]), Table27[X2])</f>
        <v>orange</v>
      </c>
      <c r="BN17" s="5" t="str" cm="1">
        <f t="array" ref="BN17">_xlfn.XLOOKUP(TRUE, EXACT(Table27[[#This Row],[B]], Table27[orig]), Table27[B])</f>
        <v>orange</v>
      </c>
      <c r="BO17" s="5" t="str" cm="1">
        <f t="array" ref="BO17">_xlfn.XLOOKUP(TRUE, EXACT(Table27[[#This Row],[B2]], Table27[orig]), Table27[B])</f>
        <v>orange</v>
      </c>
      <c r="BP17" s="5" t="str" cm="1">
        <f t="array" ref="BP17">_xlfn.XLOOKUP(TRUE, EXACT(Table27[[#This Row],[f-lower]], Table27[orig]), Table27[F''])</f>
        <v>orange</v>
      </c>
      <c r="BQ17" s="5" t="str" cm="1">
        <f t="array" ref="BQ17">_xlfn.XLOOKUP(TRUE, EXACT(Table27[[#This Row],[S]], Table27[orig]), Table27[S])</f>
        <v>orange</v>
      </c>
      <c r="BR17" s="5" t="str" cm="1">
        <f t="array" ref="BR17">_xlfn.XLOOKUP(TRUE, EXACT(Table27[[#This Row],[S2]], Table27[orig]), Table27[S])</f>
        <v>orange</v>
      </c>
      <c r="BS17" s="5" t="str" cm="1">
        <f t="array" ref="BS17">_xlfn.XLOOKUP(TRUE, EXACT(Table27[[#This Row],[Z]], Table27[orig]), Table27[B])</f>
        <v>orange</v>
      </c>
      <c r="BT17" s="5" t="str" cm="1">
        <f t="array" ref="BT17">_xlfn.XLOOKUP(TRUE, EXACT(Table27[[#This Row],[f-lower]], Table27[orig]), Table27[f-lower])</f>
        <v>orange</v>
      </c>
      <c r="BU17" s="5" t="str" cm="1">
        <f t="array" ref="BU17">_xlfn.XLOOKUP(TRUE, EXACT(Table27[[#This Row],[f2-lower]], Table27[orig]), Table27[f-lower])</f>
        <v>orange</v>
      </c>
      <c r="BV17" s="5" t="str" cm="1">
        <f t="array" ref="BV17">_xlfn.XLOOKUP(TRUE, EXACT(Table27[[#This Row],[Z'']], Table27[orig]), Table27[F])</f>
        <v>orange</v>
      </c>
      <c r="BW17" s="5" t="str" cm="1">
        <f t="array" ref="BW17">_xlfn.XLOOKUP(TRUE, EXACT(Table27[[#This Row],[b-lower]], Table27[orig]), Table27[b-lower])</f>
        <v>orange</v>
      </c>
      <c r="BX17" s="5" t="str" cm="1">
        <f t="array" ref="BX17">_xlfn.XLOOKUP(TRUE, EXACT(Table27[[#This Row],[b2-lower]], Table27[orig]), Table27[b-lower])</f>
        <v>orange</v>
      </c>
      <c r="BY17" s="5" t="str" cm="1">
        <f t="array" ref="BY17">_xlfn.XLOOKUP(TRUE, EXACT(Table27[[#This Row],[F]], Table27[orig]), Table27[B''])</f>
        <v>orange</v>
      </c>
      <c r="BZ17" s="5" t="str" cm="1">
        <f t="array" ref="BZ17">_xlfn.XLOOKUP(TRUE, EXACT(Table27[[#This Row],[FB'']], Table27[orig]), Table27[FB''])</f>
        <v>orange</v>
      </c>
      <c r="CA17" s="5" t="str" cm="1">
        <f t="array" ref="CA17">_xlfn.XLOOKUP(TRUE, EXACT(Table27[[#This Row],[F2B2]], Table27[orig]), Table27[FB''])</f>
        <v>orange</v>
      </c>
      <c r="CB17"/>
      <c r="CC17"/>
      <c r="CD17" s="5" t="s">
        <v>125</v>
      </c>
      <c r="CE17" s="5" t="str">
        <f>Table28[[#This Row],[orig]]</f>
        <v>orange</v>
      </c>
      <c r="CF17" s="5" t="str">
        <f>Table29[[#This Row],[X]]</f>
        <v>yellow</v>
      </c>
      <c r="CG17" s="5" t="str" cm="1">
        <f t="array" ref="CG17">_xlfn.XLOOKUP(TRUE, EXACT(Table28[[#This Row],[X]], Table28[orig]), Table28[X])</f>
        <v>red</v>
      </c>
      <c r="CH17" s="5" t="str" cm="1">
        <f t="array" ref="CH17">_xlfn.XLOOKUP(TRUE, EXACT(Table28[[#This Row],[X2]], Table28[orig]), Table28[X])</f>
        <v>white</v>
      </c>
      <c r="CI17" s="5" t="str">
        <f>Table29[[#This Row],[Y]]</f>
        <v>blue</v>
      </c>
      <c r="CJ17" s="5" t="str" cm="1">
        <f t="array" ref="CJ17">_xlfn.XLOOKUP(TRUE, EXACT(Table28[[#This Row],[Y]], Table28[orig]), Table28[Y])</f>
        <v>red</v>
      </c>
      <c r="CK17" s="5" t="str" cm="1">
        <f t="array" ref="CK17">_xlfn.XLOOKUP(TRUE, EXACT(Table28[[#This Row],[Y2]], Table28[orig]), Table28[Y])</f>
        <v>green</v>
      </c>
      <c r="CL17" s="5" t="str">
        <f>Table29[[#This Row],[Z]]</f>
        <v>orange</v>
      </c>
      <c r="CM17" s="5" t="str" cm="1">
        <f t="array" ref="CM17">_xlfn.XLOOKUP(TRUE, EXACT(Table28[[#This Row],[Z]], Table28[orig]), Table28[Z])</f>
        <v>orange</v>
      </c>
      <c r="CN17" s="5" t="str" cm="1">
        <f t="array" ref="CN17">_xlfn.XLOOKUP(TRUE, EXACT(Table28[[#This Row],[Z2]], Table28[orig]), Table28[Z])</f>
        <v>orange</v>
      </c>
      <c r="CO17" s="5" t="str" cm="1">
        <f t="array" ref="CO17">_xlfn.XLOOKUP(TRUE, EXACT(Table28[[#This Row],[Z]], Table28[orig]), Table28[X])</f>
        <v>yellow</v>
      </c>
      <c r="CP17" s="5" t="str" cm="1">
        <f t="array" ref="CP17">_xlfn.XLOOKUP(TRUE, EXACT(Table28[[#This Row],[Y'']], Table28[orig]), Table28[X''])</f>
        <v>green</v>
      </c>
      <c r="CQ17" s="5" t="str" cm="1">
        <f t="array" ref="CQ17">_xlfn.XLOOKUP(TRUE, EXACT(Table28[[#This Row],[Y]], Table28[orig]), Table28[X''])</f>
        <v>blue</v>
      </c>
      <c r="CR17" s="5" t="str" cm="1">
        <f t="array" ref="CR17">_xlfn.XLOOKUP(TRUE, EXACT(Table28[[#This Row],[Z'']], Table28[orig]), Table28[X])</f>
        <v>yellow</v>
      </c>
      <c r="CS17" s="5" t="str" cm="1">
        <f t="array" ref="CS17">_xlfn.XLOOKUP(TRUE, EXACT(Table28[[#This Row],[Z'']], Table28[orig]), Table28[X''])</f>
        <v>white</v>
      </c>
      <c r="CT17" s="5" t="str" cm="1">
        <f t="array" ref="CT17">_xlfn.XLOOKUP(TRUE, EXACT(Table28[[#This Row],[Y'']], Table28[orig]), Table28[X])</f>
        <v>green</v>
      </c>
      <c r="CU17" s="5" t="str" cm="1">
        <f t="array" ref="CU17">_xlfn.XLOOKUP(TRUE, EXACT(Table28[[#This Row],[Y]], Table28[orig]), Table28[X])</f>
        <v>blue</v>
      </c>
      <c r="CV17" s="5" t="str" cm="1">
        <f t="array" ref="CV17">_xlfn.XLOOKUP(TRUE, EXACT(Table28[[#This Row],[Z]], Table28[orig]), Table28[X''])</f>
        <v>white</v>
      </c>
      <c r="CW17" s="5" t="str" cm="1">
        <f t="array" ref="CW17">_xlfn.XLOOKUP(TRUE, EXACT(Table28[[#This Row],[Y'']], Table28[orig]), Table28[X2])</f>
        <v>green</v>
      </c>
      <c r="CX17" s="5" t="str" cm="1">
        <f t="array" ref="CX17">_xlfn.XLOOKUP(TRUE, EXACT(Table28[[#This Row],[Y]], Table28[orig]), Table28[X2])</f>
        <v>blue</v>
      </c>
      <c r="CY17" s="5" t="str" cm="1">
        <f t="array" ref="CY17">_xlfn.XLOOKUP(TRUE, EXACT(Table28[[#This Row],[Z]], Table28[orig]), Table28[X2])</f>
        <v>red</v>
      </c>
      <c r="CZ17" s="5" t="str" cm="1">
        <f t="array" ref="CZ17">_xlfn.XLOOKUP(TRUE, EXACT(Table28[[#This Row],[Z'']], Table28[orig]), Table28[X2])</f>
        <v>red</v>
      </c>
      <c r="DA17" s="5" t="str" cm="1">
        <f t="array" ref="DA17">_xlfn.XLOOKUP(TRUE, EXACT(Table28[[#This Row],[Z2]], Table28[orig]), Table28[X])</f>
        <v>yellow</v>
      </c>
      <c r="DB17" s="5" t="str" cm="1">
        <f t="array" ref="DB17">_xlfn.XLOOKUP(TRUE, EXACT(Table28[[#This Row],[Z2]], Table28[orig]), Table28[X''])</f>
        <v>white</v>
      </c>
      <c r="DC17"/>
      <c r="DD17"/>
      <c r="DE17" s="8" t="s">
        <v>125</v>
      </c>
      <c r="DF17" s="8" t="str" cm="1">
        <f t="array" ref="DF17">_xlfn.XLOOKUP(TRUE, EXACT(Table28[[#This Row],[I]], Table29[orig]), Table29[T-reflection])</f>
        <v>orange</v>
      </c>
      <c r="DG17" s="8" t="str" cm="1">
        <f t="array" ref="DG17">_xlfn.XLOOKUP(TRUE, EXACT(Table28[[#This Row],[X]], Table29[orig]), Table29[T-reflection])</f>
        <v>yellow</v>
      </c>
      <c r="DH17" s="5" t="str" cm="1">
        <f t="array" ref="DH17">_xlfn.XLOOKUP(TRUE, EXACT(Table28[[#This Row],[X2]], Table29[orig]), Table29[T-reflection])</f>
        <v>red</v>
      </c>
      <c r="DI17" s="5" t="str" cm="1">
        <f t="array" ref="DI17">_xlfn.XLOOKUP(TRUE, EXACT(Table28[[#This Row],[X'']], Table29[orig]), Table29[T-reflection])</f>
        <v>white</v>
      </c>
      <c r="DJ17" s="8" t="str" cm="1">
        <f t="array" ref="DJ17">_xlfn.XLOOKUP(TRUE, EXACT(Table28[[#This Row],[Y]], Table29[orig]), Table29[T-reflection])</f>
        <v>green</v>
      </c>
      <c r="DK17" s="5" t="str" cm="1">
        <f t="array" ref="DK17">_xlfn.XLOOKUP(TRUE, EXACT(Table28[[#This Row],[Y2]], Table29[orig]), Table29[T-reflection])</f>
        <v>red</v>
      </c>
      <c r="DL17" s="5" t="str" cm="1">
        <f t="array" ref="DL17">_xlfn.XLOOKUP(TRUE, EXACT(Table28[[#This Row],[Y'']], Table29[orig]), Table29[T-reflection])</f>
        <v>blue</v>
      </c>
      <c r="DM17" s="8" t="str" cm="1">
        <f t="array" ref="DM17">_xlfn.XLOOKUP(TRUE, EXACT(Table28[[#This Row],[Z]], Table29[orig]), Table29[T-reflection])</f>
        <v>orange</v>
      </c>
      <c r="DN17" s="5" t="str" cm="1">
        <f t="array" ref="DN17">_xlfn.XLOOKUP(TRUE, EXACT(Table28[[#This Row],[Z2]], Table29[orig]), Table29[T-reflection])</f>
        <v>orange</v>
      </c>
      <c r="DO17" s="5" t="str" cm="1">
        <f t="array" ref="DO17">_xlfn.XLOOKUP(TRUE, EXACT(Table28[[#This Row],[Z'']], Table29[orig]), Table29[T-reflection])</f>
        <v>orange</v>
      </c>
      <c r="DP17" s="5" t="str" cm="1">
        <f t="array" ref="DP17">_xlfn.XLOOKUP(TRUE, EXACT(Table28[[#This Row],[Z X]], Table29[orig]), Table29[T-reflection])</f>
        <v>yellow</v>
      </c>
      <c r="DQ17" s="5" t="str" cm="1">
        <f t="array" ref="DQ17">_xlfn.XLOOKUP(TRUE, EXACT(Table28[[#This Row],[Y'' X'']], Table29[orig]), Table29[T-reflection])</f>
        <v>blue</v>
      </c>
      <c r="DR17" s="5" t="str" cm="1">
        <f t="array" ref="DR17">_xlfn.XLOOKUP(TRUE, EXACT(Table28[[#This Row],[Y X'']], Table29[orig]), Table29[T-reflection])</f>
        <v>green</v>
      </c>
      <c r="DS17" s="5" t="str" cm="1">
        <f t="array" ref="DS17">_xlfn.XLOOKUP(TRUE, EXACT(Table28[[#This Row],[Z'' X]], Table29[orig]), Table29[T-reflection])</f>
        <v>yellow</v>
      </c>
      <c r="DT17" s="5" t="str" cm="1">
        <f t="array" ref="DT17">_xlfn.XLOOKUP(TRUE, EXACT(Table28[[#This Row],[Z'' X'']], Table29[orig]), Table29[T-reflection])</f>
        <v>white</v>
      </c>
      <c r="DU17" s="5" t="str" cm="1">
        <f t="array" ref="DU17">_xlfn.XLOOKUP(TRUE, EXACT(Table28[[#This Row],[Y'' X]], Table29[orig]), Table29[T-reflection])</f>
        <v>blue</v>
      </c>
      <c r="DV17" s="5" t="str" cm="1">
        <f t="array" ref="DV17">_xlfn.XLOOKUP(TRUE, EXACT(Table28[[#This Row],[Y X]], Table29[orig]), Table29[T-reflection])</f>
        <v>green</v>
      </c>
      <c r="DW17" s="5" t="str" cm="1">
        <f t="array" ref="DW17">_xlfn.XLOOKUP(TRUE, EXACT(Table28[[#This Row],[Z X'']], Table29[orig]), Table29[T-reflection])</f>
        <v>white</v>
      </c>
      <c r="DX17" s="5" t="str" cm="1">
        <f t="array" ref="DX17">_xlfn.XLOOKUP(TRUE, EXACT(Table28[[#This Row],[Y'' X2]], Table29[orig]), Table29[T-reflection])</f>
        <v>blue</v>
      </c>
      <c r="DY17" s="5" t="str" cm="1">
        <f t="array" ref="DY17">_xlfn.XLOOKUP(TRUE, EXACT(Table28[[#This Row],[Y X2]], Table29[orig]), Table29[T-reflection])</f>
        <v>green</v>
      </c>
      <c r="DZ17" s="5" t="str" cm="1">
        <f t="array" ref="DZ17">_xlfn.XLOOKUP(TRUE, EXACT(Table28[[#This Row],[Z X2]], Table29[orig]), Table29[T-reflection])</f>
        <v>red</v>
      </c>
      <c r="EA17" s="5" t="str" cm="1">
        <f t="array" ref="EA17">_xlfn.XLOOKUP(TRUE, EXACT(Table28[[#This Row],[Z'' X2]], Table29[orig]), Table29[T-reflection])</f>
        <v>red</v>
      </c>
      <c r="EB17" s="5" t="str" cm="1">
        <f t="array" ref="EB17">_xlfn.XLOOKUP(TRUE, EXACT(Table28[[#This Row],[Z2 X]], Table29[orig]), Table29[T-reflection])</f>
        <v>yellow</v>
      </c>
      <c r="EC17" s="5" t="str" cm="1">
        <f t="array" ref="EC17">_xlfn.XLOOKUP(TRUE, EXACT(Table28[[#This Row],[Z2 X'']], Table29[orig]), Table29[T-reflection])</f>
        <v>white</v>
      </c>
      <c r="ED17"/>
      <c r="EE17"/>
      <c r="EF17"/>
      <c r="EG17"/>
      <c r="EH17"/>
      <c r="EI17"/>
      <c r="EJ17"/>
      <c r="EK17"/>
      <c r="EL17"/>
      <c r="EM17"/>
      <c r="EN17"/>
      <c r="EO17"/>
      <c r="EP17"/>
      <c r="EQ17"/>
      <c r="ER17"/>
      <c r="ES17"/>
      <c r="ET17"/>
      <c r="EU17"/>
      <c r="EV17"/>
      <c r="EW17"/>
      <c r="EX17"/>
      <c r="EY17"/>
      <c r="EZ17"/>
      <c r="FA17"/>
      <c r="FB17"/>
      <c r="FC17"/>
      <c r="FD17"/>
      <c r="FE17"/>
      <c r="FF17"/>
      <c r="FG17"/>
      <c r="FH17"/>
    </row>
    <row r="18" spans="1:164" ht="16" thickTop="1" x14ac:dyDescent="0.2">
      <c r="B18" t="s">
        <v>37</v>
      </c>
      <c r="C18" t="s">
        <v>37</v>
      </c>
      <c r="D18" t="s">
        <v>51</v>
      </c>
      <c r="E18" t="s">
        <v>38</v>
      </c>
      <c r="F18" t="s">
        <v>74</v>
      </c>
      <c r="G18" t="s">
        <v>38</v>
      </c>
      <c r="H18" t="s">
        <v>0</v>
      </c>
      <c r="I18" t="s">
        <v>40</v>
      </c>
      <c r="J18" t="s">
        <v>37</v>
      </c>
      <c r="K18" t="s">
        <v>38</v>
      </c>
      <c r="L18" t="s">
        <v>37</v>
      </c>
      <c r="O18" t="s">
        <v>37</v>
      </c>
      <c r="P18" t="str">
        <f>Table27[[#This Row],[orig]]</f>
        <v>A</v>
      </c>
      <c r="Q18" t="str">
        <f>Table29[[#This Row],[X]]</f>
        <v>S</v>
      </c>
      <c r="R18" t="str" cm="1">
        <f t="array" ref="R18">_xlfn.XLOOKUP(TRUE, EXACT(Table27[[#This Row],[X]], Table27[orig]), Table27[X])</f>
        <v>U</v>
      </c>
      <c r="S18" t="str" cm="1">
        <f t="array" ref="S18">_xlfn.XLOOKUP(TRUE, EXACT(Table27[[#This Row],[X2]], Table27[orig]), Table27[X])</f>
        <v>I</v>
      </c>
      <c r="T18" t="str">
        <f>Table29[[#This Row],[Y]]</f>
        <v>B</v>
      </c>
      <c r="U18" t="str" cm="1">
        <f t="array" ref="U18">_xlfn.XLOOKUP(TRUE, EXACT(Table27[[#This Row],[Y]], Table27[orig]), Table27[Y])</f>
        <v>C</v>
      </c>
      <c r="V18" t="str" cm="1">
        <f t="array" ref="V18">_xlfn.XLOOKUP(TRUE, EXACT(Table27[[#This Row],[Y2]], Table27[orig]), Table27[Y])</f>
        <v>D</v>
      </c>
      <c r="W18" t="str">
        <f>Table29[[#This Row],[Z]]</f>
        <v>N</v>
      </c>
      <c r="X18" t="str" cm="1">
        <f t="array" ref="X18">_xlfn.XLOOKUP(TRUE, EXACT(Table27[[#This Row],[Z]], Table27[orig]), Table27[Z])</f>
        <v>W</v>
      </c>
      <c r="Y18" t="str" cm="1">
        <f t="array" ref="Y18">_xlfn.XLOOKUP(TRUE, EXACT(Table27[[#This Row],[Z2]], Table27[orig]), Table27[Z])</f>
        <v>H</v>
      </c>
      <c r="Z18" t="str">
        <f>Table29[[#This Row],[R]]</f>
        <v>A</v>
      </c>
      <c r="AA18" t="str" cm="1">
        <f t="array" ref="AA18">_xlfn.XLOOKUP(TRUE, EXACT(Table27[[#This Row],[R]], Table27[orig]), Table27[R])</f>
        <v>A</v>
      </c>
      <c r="AB18" t="str" cm="1">
        <f t="array" ref="AB18">_xlfn.XLOOKUP(TRUE, EXACT(Table27[[#This Row],[R2]], Table27[orig]), Table27[R])</f>
        <v>A</v>
      </c>
      <c r="AC18" t="str" cm="1">
        <f t="array" ref="AC18">_xlfn.XLOOKUP(TRUE, EXACT(_xlfn.XLOOKUP(TRUE, EXACT(Table27[[#This Row],[Y2]], Table27[orig]), Table27[R]), Table27[orig]), Table27[Y2])</f>
        <v>I</v>
      </c>
      <c r="AD18" t="str" cm="1">
        <f t="array" ref="AD18">_xlfn.XLOOKUP(TRUE, EXACT(Table27[[#This Row],[L]], Table27[orig]), Table27[L])</f>
        <v>U</v>
      </c>
      <c r="AE18" t="str" cm="1">
        <f t="array" ref="AE18">_xlfn.XLOOKUP(TRUE, EXACT(Table27[[#This Row],[L2]], Table27[orig]), Table27[L])</f>
        <v>S</v>
      </c>
      <c r="AF18" t="str" cm="1">
        <f t="array" ref="AF18">_xlfn.XLOOKUP(TRUE, EXACT(Table27[[#This Row],[r-lower]], Table27[orig]), Table27[R''])</f>
        <v>A</v>
      </c>
      <c r="AG18" t="str" cm="1">
        <f t="array" ref="AG18">_xlfn.XLOOKUP(TRUE, EXACT(Table27[[#This Row],[T]], Table27[orig]), Table27[T])</f>
        <v>A</v>
      </c>
      <c r="AH18" t="str" cm="1">
        <f t="array" ref="AH18">_xlfn.XLOOKUP(TRUE, EXACT(Table27[[#This Row],[T2]], Table27[orig]), Table27[T])</f>
        <v>A</v>
      </c>
      <c r="AI18" t="str" cm="1">
        <f t="array" ref="AI18">_xlfn.XLOOKUP(TRUE, EXACT(Table27[[#This Row],[X]], Table27[orig]), Table27[L])</f>
        <v>A</v>
      </c>
      <c r="AJ18" t="str" cm="1">
        <f t="array" ref="AJ18">_xlfn.XLOOKUP(TRUE, EXACT(Table27[[#This Row],[r-lower]], Table27[orig]), Table27[r-lower])</f>
        <v>A</v>
      </c>
      <c r="AK18" t="str" cm="1">
        <f t="array" ref="AK18">_xlfn.XLOOKUP(TRUE, EXACT(Table27[[#This Row],[r2-lower]], Table27[orig]), Table27[r-lower])</f>
        <v>A</v>
      </c>
      <c r="AL18" t="str" cm="1">
        <f t="array" ref="AL18">_xlfn.XLOOKUP(TRUE, EXACT(Table27[[#This Row],[X'']], Table27[orig]), Table27[R])</f>
        <v>I</v>
      </c>
      <c r="AM18" t="str" cm="1">
        <f t="array" ref="AM18">_xlfn.XLOOKUP(TRUE, EXACT(Table27[[#This Row],[l-lower]], Table27[orig]), Table27[l-lower])</f>
        <v>U</v>
      </c>
      <c r="AN18" t="str" cm="1">
        <f t="array" ref="AN18">_xlfn.XLOOKUP(TRUE, EXACT(Table27[[#This Row],[l2-lower]], Table27[orig]), Table27[l-lower])</f>
        <v>S</v>
      </c>
      <c r="AO18" t="str" cm="1">
        <f t="array" ref="AO18">_xlfn.XLOOKUP(TRUE, EXACT(Table27[[#This Row],[R]], Table27[orig]), Table27[L''])</f>
        <v>S</v>
      </c>
      <c r="AP18" t="str" cm="1">
        <f t="array" ref="AP18">_xlfn.XLOOKUP(TRUE, EXACT(Table27[[#This Row],[RL'']], Table27[orig]), Table27[RL''])</f>
        <v>U</v>
      </c>
      <c r="AQ18" t="str" cm="1">
        <f t="array" ref="AQ18">_xlfn.XLOOKUP(TRUE, EXACT(Table27[[#This Row],[R2L2]], Table27[orig]), Table27[RL''])</f>
        <v>I</v>
      </c>
      <c r="AR18" t="str">
        <f>Table29[[#This Row],[U]]</f>
        <v>B</v>
      </c>
      <c r="AS18" t="str" cm="1">
        <f t="array" ref="AS18">_xlfn.XLOOKUP(TRUE, EXACT(Table27[[#This Row],[U]], Table27[orig]), Table27[U])</f>
        <v>C</v>
      </c>
      <c r="AT18" t="str" cm="1">
        <f t="array" ref="AT18">_xlfn.XLOOKUP(TRUE, EXACT(Table27[[#This Row],[U2]], Table27[orig]), Table27[U])</f>
        <v>D</v>
      </c>
      <c r="AU18" t="str" cm="1">
        <f t="array" ref="AU18">_xlfn.XLOOKUP(TRUE, EXACT(_xlfn.XLOOKUP(TRUE, EXACT(Table27[[#This Row],[Z2]], Table27[orig]), Table27[U]), Table27[orig]), Table27[Z2])</f>
        <v>A</v>
      </c>
      <c r="AV18" t="str" cm="1">
        <f t="array" ref="AV18">_xlfn.XLOOKUP(TRUE, EXACT(Table27[[#This Row],[D]], Table27[orig]), Table27[D])</f>
        <v>A</v>
      </c>
      <c r="AW18" t="str" cm="1">
        <f t="array" ref="AW18">_xlfn.XLOOKUP(TRUE, EXACT(Table27[[#This Row],[D2]], Table27[orig]), Table27[D])</f>
        <v>A</v>
      </c>
      <c r="AX18" t="str" cm="1">
        <f t="array" ref="AX18">_xlfn.XLOOKUP(TRUE, EXACT(Table27[[#This Row],[u-lower]], Table27[orig]), Table27[U''])</f>
        <v>A</v>
      </c>
      <c r="AY18" t="str" cm="1">
        <f t="array" ref="AY18">_xlfn.XLOOKUP(TRUE, EXACT(Table27[[#This Row],[H]], Table27[orig]), Table27[H])</f>
        <v>A</v>
      </c>
      <c r="AZ18" t="str" cm="1">
        <f t="array" ref="AZ18">_xlfn.XLOOKUP(TRUE, EXACT(Table27[[#This Row],[H2]], Table27[orig]), Table27[H])</f>
        <v>A</v>
      </c>
      <c r="BA18" t="str" cm="1">
        <f t="array" ref="BA18">_xlfn.XLOOKUP(TRUE, EXACT(Table27[[#This Row],[Y]], Table27[orig]), Table27[D])</f>
        <v>B</v>
      </c>
      <c r="BB18" t="str" cm="1">
        <f t="array" ref="BB18">_xlfn.XLOOKUP(TRUE, EXACT(Table27[[#This Row],[u-lower]], Table27[orig]), Table27[u-lower])</f>
        <v>C</v>
      </c>
      <c r="BC18" t="str" cm="1">
        <f t="array" ref="BC18">_xlfn.XLOOKUP(TRUE, EXACT(Table27[[#This Row],[u2-lower]], Table27[orig]), Table27[u-lower])</f>
        <v>D</v>
      </c>
      <c r="BD18" t="str" cm="1">
        <f t="array" ref="BD18">_xlfn.XLOOKUP(TRUE, EXACT(Table27[[#This Row],[Y'']], Table27[orig]), Table27[U])</f>
        <v>A</v>
      </c>
      <c r="BE18" t="str" cm="1">
        <f t="array" ref="BE18">_xlfn.XLOOKUP(TRUE, EXACT(Table27[[#This Row],[d-lower]], Table27[orig]), Table27[d-lower])</f>
        <v>A</v>
      </c>
      <c r="BF18" t="str" cm="1">
        <f t="array" ref="BF18">_xlfn.XLOOKUP(TRUE, EXACT(Table27[[#This Row],[d2-lower]], Table27[orig]), Table27[d-lower])</f>
        <v>A</v>
      </c>
      <c r="BG18" t="str" cm="1">
        <f t="array" ref="BG18">_xlfn.XLOOKUP(TRUE, EXACT(Table27[[#This Row],[U]], Table27[orig]), Table27[D''])</f>
        <v>B</v>
      </c>
      <c r="BH18" t="str" cm="1">
        <f t="array" ref="BH18">_xlfn.XLOOKUP(TRUE, EXACT(Table27[[#This Row],[UD'']], Table27[orig]), Table27[UD''])</f>
        <v>C</v>
      </c>
      <c r="BI18" t="str" cm="1">
        <f t="array" ref="BI18">_xlfn.XLOOKUP(TRUE, EXACT(Table27[[#This Row],[U2D2]], Table27[orig]), Table27[UD''])</f>
        <v>D</v>
      </c>
      <c r="BJ18" t="str">
        <f>Table29[[#This Row],[F]]</f>
        <v>A</v>
      </c>
      <c r="BK18" t="str" cm="1">
        <f t="array" ref="BK18">_xlfn.XLOOKUP(TRUE, EXACT(Table27[[#This Row],[F]], Table27[orig]), Table27[F])</f>
        <v>A</v>
      </c>
      <c r="BL18" t="str" cm="1">
        <f t="array" ref="BL18">_xlfn.XLOOKUP(TRUE, EXACT(Table27[[#This Row],[F2]], Table27[orig]), Table27[F])</f>
        <v>A</v>
      </c>
      <c r="BM18" t="str" cm="1">
        <f t="array" ref="BM18">_xlfn.XLOOKUP(TRUE, EXACT(_xlfn.XLOOKUP(TRUE, EXACT(Table27[[#This Row],[X2]], Table27[orig]), Table27[F]), Table27[orig]), Table27[X2])</f>
        <v>H</v>
      </c>
      <c r="BN18" t="str" cm="1">
        <f t="array" ref="BN18">_xlfn.XLOOKUP(TRUE, EXACT(Table27[[#This Row],[B]], Table27[orig]), Table27[B])</f>
        <v>W</v>
      </c>
      <c r="BO18" t="str" cm="1">
        <f t="array" ref="BO18">_xlfn.XLOOKUP(TRUE, EXACT(Table27[[#This Row],[B2]], Table27[orig]), Table27[B])</f>
        <v>N</v>
      </c>
      <c r="BP18" t="str" cm="1">
        <f t="array" ref="BP18">_xlfn.XLOOKUP(TRUE, EXACT(Table27[[#This Row],[f-lower]], Table27[orig]), Table27[F''])</f>
        <v>A</v>
      </c>
      <c r="BQ18" t="str" cm="1">
        <f t="array" ref="BQ18">_xlfn.XLOOKUP(TRUE, EXACT(Table27[[#This Row],[S]], Table27[orig]), Table27[S])</f>
        <v>A</v>
      </c>
      <c r="BR18" t="str" cm="1">
        <f t="array" ref="BR18">_xlfn.XLOOKUP(TRUE, EXACT(Table27[[#This Row],[S2]], Table27[orig]), Table27[S])</f>
        <v>A</v>
      </c>
      <c r="BS18" t="str" cm="1">
        <f t="array" ref="BS18">_xlfn.XLOOKUP(TRUE, EXACT(Table27[[#This Row],[Z]], Table27[orig]), Table27[B])</f>
        <v>A</v>
      </c>
      <c r="BT18" t="str" cm="1">
        <f t="array" ref="BT18">_xlfn.XLOOKUP(TRUE, EXACT(Table27[[#This Row],[f-lower]], Table27[orig]), Table27[f-lower])</f>
        <v>A</v>
      </c>
      <c r="BU18" t="str" cm="1">
        <f t="array" ref="BU18">_xlfn.XLOOKUP(TRUE, EXACT(Table27[[#This Row],[f2-lower]], Table27[orig]), Table27[f-lower])</f>
        <v>A</v>
      </c>
      <c r="BV18" t="str" cm="1">
        <f t="array" ref="BV18">_xlfn.XLOOKUP(TRUE, EXACT(Table27[[#This Row],[Z'']], Table27[orig]), Table27[F])</f>
        <v>H</v>
      </c>
      <c r="BW18" t="str" cm="1">
        <f t="array" ref="BW18">_xlfn.XLOOKUP(TRUE, EXACT(Table27[[#This Row],[b-lower]], Table27[orig]), Table27[b-lower])</f>
        <v>W</v>
      </c>
      <c r="BX18" t="str" cm="1">
        <f t="array" ref="BX18">_xlfn.XLOOKUP(TRUE, EXACT(Table27[[#This Row],[b2-lower]], Table27[orig]), Table27[b-lower])</f>
        <v>N</v>
      </c>
      <c r="BY18" t="str" cm="1">
        <f t="array" ref="BY18">_xlfn.XLOOKUP(TRUE, EXACT(Table27[[#This Row],[F]], Table27[orig]), Table27[B''])</f>
        <v>N</v>
      </c>
      <c r="BZ18" t="str" cm="1">
        <f t="array" ref="BZ18">_xlfn.XLOOKUP(TRUE, EXACT(Table27[[#This Row],[FB'']], Table27[orig]), Table27[FB''])</f>
        <v>W</v>
      </c>
      <c r="CA18" t="str" cm="1">
        <f t="array" ref="CA18">_xlfn.XLOOKUP(TRUE, EXACT(Table27[[#This Row],[F2B2]], Table27[orig]), Table27[FB''])</f>
        <v>H</v>
      </c>
      <c r="CD18" t="s">
        <v>37</v>
      </c>
      <c r="CE18" t="str">
        <f>Table28[[#This Row],[orig]]</f>
        <v>A</v>
      </c>
      <c r="CF18" t="str">
        <f>Table29[[#This Row],[X]]</f>
        <v>S</v>
      </c>
      <c r="CG18" t="str" cm="1">
        <f t="array" ref="CG18">_xlfn.XLOOKUP(TRUE, EXACT(Table28[[#This Row],[X]], Table28[orig]), Table28[X])</f>
        <v>U</v>
      </c>
      <c r="CH18" t="str" cm="1">
        <f t="array" ref="CH18">_xlfn.XLOOKUP(TRUE, EXACT(Table28[[#This Row],[X2]], Table28[orig]), Table28[X])</f>
        <v>I</v>
      </c>
      <c r="CI18" t="str">
        <f>Table29[[#This Row],[Y]]</f>
        <v>B</v>
      </c>
      <c r="CJ18" t="str" cm="1">
        <f t="array" ref="CJ18">_xlfn.XLOOKUP(TRUE, EXACT(Table28[[#This Row],[Y]], Table28[orig]), Table28[Y])</f>
        <v>C</v>
      </c>
      <c r="CK18" t="str" cm="1">
        <f t="array" ref="CK18">_xlfn.XLOOKUP(TRUE, EXACT(Table28[[#This Row],[Y2]], Table28[orig]), Table28[Y])</f>
        <v>D</v>
      </c>
      <c r="CL18" t="str">
        <f>Table29[[#This Row],[Z]]</f>
        <v>N</v>
      </c>
      <c r="CM18" t="str" cm="1">
        <f t="array" ref="CM18">_xlfn.XLOOKUP(TRUE, EXACT(Table28[[#This Row],[Z]], Table28[orig]), Table28[Z])</f>
        <v>W</v>
      </c>
      <c r="CN18" t="str" cm="1">
        <f t="array" ref="CN18">_xlfn.XLOOKUP(TRUE, EXACT(Table28[[#This Row],[Z2]], Table28[orig]), Table28[Z])</f>
        <v>H</v>
      </c>
      <c r="CO18" t="str" cm="1">
        <f t="array" ref="CO18">_xlfn.XLOOKUP(TRUE, EXACT(Table28[[#This Row],[Z]], Table28[orig]), Table28[X])</f>
        <v>O</v>
      </c>
      <c r="CP18" t="str" cm="1">
        <f t="array" ref="CP18">_xlfn.XLOOKUP(TRUE, EXACT(Table28[[#This Row],[Y'']], Table28[orig]), Table28[X''])</f>
        <v>L</v>
      </c>
      <c r="CQ18" t="str" cm="1">
        <f t="array" ref="CQ18">_xlfn.XLOOKUP(TRUE, EXACT(Table28[[#This Row],[Y]], Table28[orig]), Table28[X''])</f>
        <v>J</v>
      </c>
      <c r="CR18" t="str" cm="1">
        <f t="array" ref="CR18">_xlfn.XLOOKUP(TRUE, EXACT(Table28[[#This Row],[Z'']], Table28[orig]), Table28[X])</f>
        <v>G</v>
      </c>
      <c r="CS18" t="str" cm="1">
        <f t="array" ref="CS18">_xlfn.XLOOKUP(TRUE, EXACT(Table28[[#This Row],[Z'']], Table28[orig]), Table28[X''])</f>
        <v>E</v>
      </c>
      <c r="CT18" t="str" cm="1">
        <f t="array" ref="CT18">_xlfn.XLOOKUP(TRUE, EXACT(Table28[[#This Row],[Y'']], Table28[orig]), Table28[X])</f>
        <v>R</v>
      </c>
      <c r="CU18" t="str" cm="1">
        <f t="array" ref="CU18">_xlfn.XLOOKUP(TRUE, EXACT(Table28[[#This Row],[Y]], Table28[orig]), Table28[X])</f>
        <v>T</v>
      </c>
      <c r="CV18" t="str" cm="1">
        <f t="array" ref="CV18">_xlfn.XLOOKUP(TRUE, EXACT(Table28[[#This Row],[Z]], Table28[orig]), Table28[X''])</f>
        <v>M</v>
      </c>
      <c r="CW18" t="str" cm="1">
        <f t="array" ref="CW18">_xlfn.XLOOKUP(TRUE, EXACT(Table28[[#This Row],[Y'']], Table28[orig]), Table28[X2])</f>
        <v>X</v>
      </c>
      <c r="CX18" t="str" cm="1">
        <f t="array" ref="CX18">_xlfn.XLOOKUP(TRUE, EXACT(Table28[[#This Row],[Y]], Table28[orig]), Table28[X2])</f>
        <v>V</v>
      </c>
      <c r="CY18" t="str" cm="1">
        <f t="array" ref="CY18">_xlfn.XLOOKUP(TRUE, EXACT(Table28[[#This Row],[Z]], Table28[orig]), Table28[X2])</f>
        <v>P</v>
      </c>
      <c r="CZ18" t="str" cm="1">
        <f t="array" ref="CZ18">_xlfn.XLOOKUP(TRUE, EXACT(Table28[[#This Row],[Z'']], Table28[orig]), Table28[X2])</f>
        <v>F</v>
      </c>
      <c r="DA18" t="str" cm="1">
        <f t="array" ref="DA18">_xlfn.XLOOKUP(TRUE, EXACT(Table28[[#This Row],[Z2]], Table28[orig]), Table28[X])</f>
        <v>K</v>
      </c>
      <c r="DB18" t="str" cm="1">
        <f t="array" ref="DB18">_xlfn.XLOOKUP(TRUE, EXACT(Table28[[#This Row],[Z2]], Table28[orig]), Table28[X''])</f>
        <v>Q</v>
      </c>
      <c r="DE18" s="6" t="s">
        <v>37</v>
      </c>
      <c r="DF18" s="6" t="str" cm="1">
        <f t="array" ref="DF18">_xlfn.XLOOKUP(TRUE, EXACT(Table28[[#This Row],[I]], Table29[orig]), Table29[T-reflection])</f>
        <v>B</v>
      </c>
      <c r="DG18" s="6" t="str" cm="1">
        <f t="array" ref="DG18">_xlfn.XLOOKUP(TRUE, EXACT(Table28[[#This Row],[X]], Table29[orig]), Table29[T-reflection])</f>
        <v>T</v>
      </c>
      <c r="DH18" t="str" cm="1">
        <f t="array" ref="DH18">_xlfn.XLOOKUP(TRUE, EXACT(Table28[[#This Row],[X2]], Table29[orig]), Table29[T-reflection])</f>
        <v>V</v>
      </c>
      <c r="DI18" t="str" cm="1">
        <f t="array" ref="DI18">_xlfn.XLOOKUP(TRUE, EXACT(Table28[[#This Row],[X'']], Table29[orig]), Table29[T-reflection])</f>
        <v>J</v>
      </c>
      <c r="DJ18" s="6" t="str" cm="1">
        <f t="array" ref="DJ18">_xlfn.XLOOKUP(TRUE, EXACT(Table28[[#This Row],[Y]], Table29[orig]), Table29[T-reflection])</f>
        <v>A</v>
      </c>
      <c r="DK18" t="str" cm="1">
        <f t="array" ref="DK18">_xlfn.XLOOKUP(TRUE, EXACT(Table28[[#This Row],[Y2]], Table29[orig]), Table29[T-reflection])</f>
        <v>D</v>
      </c>
      <c r="DL18" t="str" cm="1">
        <f t="array" ref="DL18">_xlfn.XLOOKUP(TRUE, EXACT(Table28[[#This Row],[Y'']], Table29[orig]), Table29[T-reflection])</f>
        <v>C</v>
      </c>
      <c r="DM18" s="6" t="str" cm="1">
        <f t="array" ref="DM18">_xlfn.XLOOKUP(TRUE, EXACT(Table28[[#This Row],[Z]], Table29[orig]), Table29[T-reflection])</f>
        <v>E</v>
      </c>
      <c r="DN18" t="str" cm="1">
        <f t="array" ref="DN18">_xlfn.XLOOKUP(TRUE, EXACT(Table28[[#This Row],[Z2]], Table29[orig]), Table29[T-reflection])</f>
        <v>X</v>
      </c>
      <c r="DO18" t="str" cm="1">
        <f t="array" ref="DO18">_xlfn.XLOOKUP(TRUE, EXACT(Table28[[#This Row],[Z'']], Table29[orig]), Table29[T-reflection])</f>
        <v>O</v>
      </c>
      <c r="DP18" t="str" cm="1">
        <f t="array" ref="DP18">_xlfn.XLOOKUP(TRUE, EXACT(Table28[[#This Row],[Z X]], Table29[orig]), Table29[T-reflection])</f>
        <v>H</v>
      </c>
      <c r="DQ18" t="str" cm="1">
        <f t="array" ref="DQ18">_xlfn.XLOOKUP(TRUE, EXACT(Table28[[#This Row],[Y'' X'']], Table29[orig]), Table29[T-reflection])</f>
        <v>K</v>
      </c>
      <c r="DR18" t="str" cm="1">
        <f t="array" ref="DR18">_xlfn.XLOOKUP(TRUE, EXACT(Table28[[#This Row],[Y X'']], Table29[orig]), Table29[T-reflection])</f>
        <v>I</v>
      </c>
      <c r="DS18" t="str" cm="1">
        <f t="array" ref="DS18">_xlfn.XLOOKUP(TRUE, EXACT(Table28[[#This Row],[Z'' X]], Table29[orig]), Table29[T-reflection])</f>
        <v>P</v>
      </c>
      <c r="DT18" t="str" cm="1">
        <f t="array" ref="DT18">_xlfn.XLOOKUP(TRUE, EXACT(Table28[[#This Row],[Z'' X'']], Table29[orig]), Table29[T-reflection])</f>
        <v>N</v>
      </c>
      <c r="DU18" t="str" cm="1">
        <f t="array" ref="DU18">_xlfn.XLOOKUP(TRUE, EXACT(Table28[[#This Row],[Y'' X]], Table29[orig]), Table29[T-reflection])</f>
        <v>Q</v>
      </c>
      <c r="DV18" t="str" cm="1">
        <f t="array" ref="DV18">_xlfn.XLOOKUP(TRUE, EXACT(Table28[[#This Row],[Y X]], Table29[orig]), Table29[T-reflection])</f>
        <v>S</v>
      </c>
      <c r="DW18" t="str" cm="1">
        <f t="array" ref="DW18">_xlfn.XLOOKUP(TRUE, EXACT(Table28[[#This Row],[Z X'']], Table29[orig]), Table29[T-reflection])</f>
        <v>F</v>
      </c>
      <c r="DX18" t="str" cm="1">
        <f t="array" ref="DX18">_xlfn.XLOOKUP(TRUE, EXACT(Table28[[#This Row],[Y'' X2]], Table29[orig]), Table29[T-reflection])</f>
        <v>W</v>
      </c>
      <c r="DY18" t="str" cm="1">
        <f t="array" ref="DY18">_xlfn.XLOOKUP(TRUE, EXACT(Table28[[#This Row],[Y X2]], Table29[orig]), Table29[T-reflection])</f>
        <v>U</v>
      </c>
      <c r="DZ18" t="str" cm="1">
        <f t="array" ref="DZ18">_xlfn.XLOOKUP(TRUE, EXACT(Table28[[#This Row],[Z X2]], Table29[orig]), Table29[T-reflection])</f>
        <v>G</v>
      </c>
      <c r="EA18" t="str" cm="1">
        <f t="array" ref="EA18">_xlfn.XLOOKUP(TRUE, EXACT(Table28[[#This Row],[Z'' X2]], Table29[orig]), Table29[T-reflection])</f>
        <v>M</v>
      </c>
      <c r="EB18" t="str" cm="1">
        <f t="array" ref="EB18">_xlfn.XLOOKUP(TRUE, EXACT(Table28[[#This Row],[Z2 X]], Table29[orig]), Table29[T-reflection])</f>
        <v>L</v>
      </c>
      <c r="EC18" t="str" cm="1">
        <f t="array" ref="EC18">_xlfn.XLOOKUP(TRUE, EXACT(Table28[[#This Row],[Z2 X'']], Table29[orig]), Table29[T-reflection])</f>
        <v>R</v>
      </c>
    </row>
    <row r="19" spans="1:164" x14ac:dyDescent="0.2">
      <c r="B19" t="s">
        <v>38</v>
      </c>
      <c r="C19" t="s">
        <v>38</v>
      </c>
      <c r="D19" t="s">
        <v>48</v>
      </c>
      <c r="E19" t="s">
        <v>39</v>
      </c>
      <c r="F19" t="s">
        <v>128</v>
      </c>
      <c r="G19" t="s">
        <v>37</v>
      </c>
      <c r="H19" t="s">
        <v>129</v>
      </c>
      <c r="I19" t="s">
        <v>39</v>
      </c>
      <c r="J19" t="s">
        <v>48</v>
      </c>
      <c r="K19" t="s">
        <v>39</v>
      </c>
      <c r="L19" t="s">
        <v>38</v>
      </c>
      <c r="O19" t="s">
        <v>38</v>
      </c>
      <c r="P19" t="str">
        <f>Table27[[#This Row],[orig]]</f>
        <v>B</v>
      </c>
      <c r="Q19" t="str">
        <f>Table29[[#This Row],[X]]</f>
        <v>T</v>
      </c>
      <c r="R19" t="str" cm="1">
        <f t="array" ref="R19">_xlfn.XLOOKUP(TRUE, EXACT(Table27[[#This Row],[X]], Table27[orig]), Table27[X])</f>
        <v>V</v>
      </c>
      <c r="S19" t="str" cm="1">
        <f t="array" ref="S19">_xlfn.XLOOKUP(TRUE, EXACT(Table27[[#This Row],[X2]], Table27[orig]), Table27[X])</f>
        <v>J</v>
      </c>
      <c r="T19" t="str">
        <f>Table29[[#This Row],[Y]]</f>
        <v>C</v>
      </c>
      <c r="U19" t="str" cm="1">
        <f t="array" ref="U19">_xlfn.XLOOKUP(TRUE, EXACT(Table27[[#This Row],[Y]], Table27[orig]), Table27[Y])</f>
        <v>D</v>
      </c>
      <c r="V19" t="str" cm="1">
        <f t="array" ref="V19">_xlfn.XLOOKUP(TRUE, EXACT(Table27[[#This Row],[Y2]], Table27[orig]), Table27[Y])</f>
        <v>A</v>
      </c>
      <c r="W19" t="str">
        <f>Table29[[#This Row],[Z]]</f>
        <v>O</v>
      </c>
      <c r="X19" t="str" cm="1">
        <f t="array" ref="X19">_xlfn.XLOOKUP(TRUE, EXACT(Table27[[#This Row],[Z]], Table27[orig]), Table27[Z])</f>
        <v>X</v>
      </c>
      <c r="Y19" t="str" cm="1">
        <f t="array" ref="Y19">_xlfn.XLOOKUP(TRUE, EXACT(Table27[[#This Row],[Z2]], Table27[orig]), Table27[Z])</f>
        <v>E</v>
      </c>
      <c r="Z19" t="str">
        <f>Table29[[#This Row],[R]]</f>
        <v>T</v>
      </c>
      <c r="AA19" t="str" cm="1">
        <f t="array" ref="AA19">_xlfn.XLOOKUP(TRUE, EXACT(Table27[[#This Row],[R]], Table27[orig]), Table27[R])</f>
        <v>V</v>
      </c>
      <c r="AB19" t="str" cm="1">
        <f t="array" ref="AB19">_xlfn.XLOOKUP(TRUE, EXACT(Table27[[#This Row],[R2]], Table27[orig]), Table27[R])</f>
        <v>J</v>
      </c>
      <c r="AC19" t="str" cm="1">
        <f t="array" ref="AC19">_xlfn.XLOOKUP(TRUE, EXACT(_xlfn.XLOOKUP(TRUE, EXACT(Table27[[#This Row],[Y2]], Table27[orig]), Table27[R]), Table27[orig]), Table27[Y2])</f>
        <v>B</v>
      </c>
      <c r="AD19" t="str" cm="1">
        <f t="array" ref="AD19">_xlfn.XLOOKUP(TRUE, EXACT(Table27[[#This Row],[L]], Table27[orig]), Table27[L])</f>
        <v>B</v>
      </c>
      <c r="AE19" t="str" cm="1">
        <f t="array" ref="AE19">_xlfn.XLOOKUP(TRUE, EXACT(Table27[[#This Row],[L2]], Table27[orig]), Table27[L])</f>
        <v>B</v>
      </c>
      <c r="AF19" t="str" cm="1">
        <f t="array" ref="AF19">_xlfn.XLOOKUP(TRUE, EXACT(Table27[[#This Row],[r-lower]], Table27[orig]), Table27[R''])</f>
        <v>B</v>
      </c>
      <c r="AG19" t="str" cm="1">
        <f t="array" ref="AG19">_xlfn.XLOOKUP(TRUE, EXACT(Table27[[#This Row],[T]], Table27[orig]), Table27[T])</f>
        <v>B</v>
      </c>
      <c r="AH19" t="str" cm="1">
        <f t="array" ref="AH19">_xlfn.XLOOKUP(TRUE, EXACT(Table27[[#This Row],[T2]], Table27[orig]), Table27[T])</f>
        <v>B</v>
      </c>
      <c r="AI19" t="str" cm="1">
        <f t="array" ref="AI19">_xlfn.XLOOKUP(TRUE, EXACT(Table27[[#This Row],[X]], Table27[orig]), Table27[L])</f>
        <v>T</v>
      </c>
      <c r="AJ19" t="str" cm="1">
        <f t="array" ref="AJ19">_xlfn.XLOOKUP(TRUE, EXACT(Table27[[#This Row],[r-lower]], Table27[orig]), Table27[r-lower])</f>
        <v>V</v>
      </c>
      <c r="AK19" t="str" cm="1">
        <f t="array" ref="AK19">_xlfn.XLOOKUP(TRUE, EXACT(Table27[[#This Row],[r2-lower]], Table27[orig]), Table27[r-lower])</f>
        <v>J</v>
      </c>
      <c r="AL19" t="str" cm="1">
        <f t="array" ref="AL19">_xlfn.XLOOKUP(TRUE, EXACT(Table27[[#This Row],[X'']], Table27[orig]), Table27[R])</f>
        <v>B</v>
      </c>
      <c r="AM19" t="str" cm="1">
        <f t="array" ref="AM19">_xlfn.XLOOKUP(TRUE, EXACT(Table27[[#This Row],[l-lower]], Table27[orig]), Table27[l-lower])</f>
        <v>B</v>
      </c>
      <c r="AN19" t="str" cm="1">
        <f t="array" ref="AN19">_xlfn.XLOOKUP(TRUE, EXACT(Table27[[#This Row],[l2-lower]], Table27[orig]), Table27[l-lower])</f>
        <v>B</v>
      </c>
      <c r="AO19" t="str" cm="1">
        <f t="array" ref="AO19">_xlfn.XLOOKUP(TRUE, EXACT(Table27[[#This Row],[R]], Table27[orig]), Table27[L''])</f>
        <v>T</v>
      </c>
      <c r="AP19" t="str" cm="1">
        <f t="array" ref="AP19">_xlfn.XLOOKUP(TRUE, EXACT(Table27[[#This Row],[RL'']], Table27[orig]), Table27[RL''])</f>
        <v>V</v>
      </c>
      <c r="AQ19" t="str" cm="1">
        <f t="array" ref="AQ19">_xlfn.XLOOKUP(TRUE, EXACT(Table27[[#This Row],[R2L2]], Table27[orig]), Table27[RL''])</f>
        <v>J</v>
      </c>
      <c r="AR19" t="str">
        <f>Table29[[#This Row],[U]]</f>
        <v>C</v>
      </c>
      <c r="AS19" t="str" cm="1">
        <f t="array" ref="AS19">_xlfn.XLOOKUP(TRUE, EXACT(Table27[[#This Row],[U]], Table27[orig]), Table27[U])</f>
        <v>D</v>
      </c>
      <c r="AT19" t="str" cm="1">
        <f t="array" ref="AT19">_xlfn.XLOOKUP(TRUE, EXACT(Table27[[#This Row],[U2]], Table27[orig]), Table27[U])</f>
        <v>A</v>
      </c>
      <c r="AU19" t="str" cm="1">
        <f t="array" ref="AU19">_xlfn.XLOOKUP(TRUE, EXACT(_xlfn.XLOOKUP(TRUE, EXACT(Table27[[#This Row],[Z2]], Table27[orig]), Table27[U]), Table27[orig]), Table27[Z2])</f>
        <v>B</v>
      </c>
      <c r="AV19" t="str" cm="1">
        <f t="array" ref="AV19">_xlfn.XLOOKUP(TRUE, EXACT(Table27[[#This Row],[D]], Table27[orig]), Table27[D])</f>
        <v>B</v>
      </c>
      <c r="AW19" t="str" cm="1">
        <f t="array" ref="AW19">_xlfn.XLOOKUP(TRUE, EXACT(Table27[[#This Row],[D2]], Table27[orig]), Table27[D])</f>
        <v>B</v>
      </c>
      <c r="AX19" t="str" cm="1">
        <f t="array" ref="AX19">_xlfn.XLOOKUP(TRUE, EXACT(Table27[[#This Row],[u-lower]], Table27[orig]), Table27[U''])</f>
        <v>B</v>
      </c>
      <c r="AY19" t="str" cm="1">
        <f t="array" ref="AY19">_xlfn.XLOOKUP(TRUE, EXACT(Table27[[#This Row],[H]], Table27[orig]), Table27[H])</f>
        <v>B</v>
      </c>
      <c r="AZ19" t="str" cm="1">
        <f t="array" ref="AZ19">_xlfn.XLOOKUP(TRUE, EXACT(Table27[[#This Row],[H2]], Table27[orig]), Table27[H])</f>
        <v>B</v>
      </c>
      <c r="BA19" t="str" cm="1">
        <f t="array" ref="BA19">_xlfn.XLOOKUP(TRUE, EXACT(Table27[[#This Row],[Y]], Table27[orig]), Table27[D])</f>
        <v>C</v>
      </c>
      <c r="BB19" t="str" cm="1">
        <f t="array" ref="BB19">_xlfn.XLOOKUP(TRUE, EXACT(Table27[[#This Row],[u-lower]], Table27[orig]), Table27[u-lower])</f>
        <v>D</v>
      </c>
      <c r="BC19" t="str" cm="1">
        <f t="array" ref="BC19">_xlfn.XLOOKUP(TRUE, EXACT(Table27[[#This Row],[u2-lower]], Table27[orig]), Table27[u-lower])</f>
        <v>A</v>
      </c>
      <c r="BD19" t="str" cm="1">
        <f t="array" ref="BD19">_xlfn.XLOOKUP(TRUE, EXACT(Table27[[#This Row],[Y'']], Table27[orig]), Table27[U])</f>
        <v>B</v>
      </c>
      <c r="BE19" t="str" cm="1">
        <f t="array" ref="BE19">_xlfn.XLOOKUP(TRUE, EXACT(Table27[[#This Row],[d-lower]], Table27[orig]), Table27[d-lower])</f>
        <v>B</v>
      </c>
      <c r="BF19" t="str" cm="1">
        <f t="array" ref="BF19">_xlfn.XLOOKUP(TRUE, EXACT(Table27[[#This Row],[d2-lower]], Table27[orig]), Table27[d-lower])</f>
        <v>B</v>
      </c>
      <c r="BG19" t="str" cm="1">
        <f t="array" ref="BG19">_xlfn.XLOOKUP(TRUE, EXACT(Table27[[#This Row],[U]], Table27[orig]), Table27[D''])</f>
        <v>C</v>
      </c>
      <c r="BH19" t="str" cm="1">
        <f t="array" ref="BH19">_xlfn.XLOOKUP(TRUE, EXACT(Table27[[#This Row],[UD'']], Table27[orig]), Table27[UD''])</f>
        <v>D</v>
      </c>
      <c r="BI19" t="str" cm="1">
        <f t="array" ref="BI19">_xlfn.XLOOKUP(TRUE, EXACT(Table27[[#This Row],[U2D2]], Table27[orig]), Table27[UD''])</f>
        <v>A</v>
      </c>
      <c r="BJ19" t="str">
        <f>Table29[[#This Row],[F]]</f>
        <v>B</v>
      </c>
      <c r="BK19" t="str" cm="1">
        <f t="array" ref="BK19">_xlfn.XLOOKUP(TRUE, EXACT(Table27[[#This Row],[F]], Table27[orig]), Table27[F])</f>
        <v>B</v>
      </c>
      <c r="BL19" t="str" cm="1">
        <f t="array" ref="BL19">_xlfn.XLOOKUP(TRUE, EXACT(Table27[[#This Row],[F2]], Table27[orig]), Table27[F])</f>
        <v>B</v>
      </c>
      <c r="BM19" t="str" cm="1">
        <f t="array" ref="BM19">_xlfn.XLOOKUP(TRUE, EXACT(_xlfn.XLOOKUP(TRUE, EXACT(Table27[[#This Row],[X2]], Table27[orig]), Table27[F]), Table27[orig]), Table27[X2])</f>
        <v>E</v>
      </c>
      <c r="BN19" t="str" cm="1">
        <f t="array" ref="BN19">_xlfn.XLOOKUP(TRUE, EXACT(Table27[[#This Row],[B]], Table27[orig]), Table27[B])</f>
        <v>X</v>
      </c>
      <c r="BO19" t="str" cm="1">
        <f t="array" ref="BO19">_xlfn.XLOOKUP(TRUE, EXACT(Table27[[#This Row],[B2]], Table27[orig]), Table27[B])</f>
        <v>O</v>
      </c>
      <c r="BP19" t="str" cm="1">
        <f t="array" ref="BP19">_xlfn.XLOOKUP(TRUE, EXACT(Table27[[#This Row],[f-lower]], Table27[orig]), Table27[F''])</f>
        <v>B</v>
      </c>
      <c r="BQ19" t="str" cm="1">
        <f t="array" ref="BQ19">_xlfn.XLOOKUP(TRUE, EXACT(Table27[[#This Row],[S]], Table27[orig]), Table27[S])</f>
        <v>B</v>
      </c>
      <c r="BR19" t="str" cm="1">
        <f t="array" ref="BR19">_xlfn.XLOOKUP(TRUE, EXACT(Table27[[#This Row],[S2]], Table27[orig]), Table27[S])</f>
        <v>B</v>
      </c>
      <c r="BS19" t="str" cm="1">
        <f t="array" ref="BS19">_xlfn.XLOOKUP(TRUE, EXACT(Table27[[#This Row],[Z]], Table27[orig]), Table27[B])</f>
        <v>B</v>
      </c>
      <c r="BT19" t="str" cm="1">
        <f t="array" ref="BT19">_xlfn.XLOOKUP(TRUE, EXACT(Table27[[#This Row],[f-lower]], Table27[orig]), Table27[f-lower])</f>
        <v>B</v>
      </c>
      <c r="BU19" t="str" cm="1">
        <f t="array" ref="BU19">_xlfn.XLOOKUP(TRUE, EXACT(Table27[[#This Row],[f2-lower]], Table27[orig]), Table27[f-lower])</f>
        <v>B</v>
      </c>
      <c r="BV19" t="str" cm="1">
        <f t="array" ref="BV19">_xlfn.XLOOKUP(TRUE, EXACT(Table27[[#This Row],[Z'']], Table27[orig]), Table27[F])</f>
        <v>E</v>
      </c>
      <c r="BW19" t="str" cm="1">
        <f t="array" ref="BW19">_xlfn.XLOOKUP(TRUE, EXACT(Table27[[#This Row],[b-lower]], Table27[orig]), Table27[b-lower])</f>
        <v>X</v>
      </c>
      <c r="BX19" t="str" cm="1">
        <f t="array" ref="BX19">_xlfn.XLOOKUP(TRUE, EXACT(Table27[[#This Row],[b2-lower]], Table27[orig]), Table27[b-lower])</f>
        <v>O</v>
      </c>
      <c r="BY19" t="str" cm="1">
        <f t="array" ref="BY19">_xlfn.XLOOKUP(TRUE, EXACT(Table27[[#This Row],[F]], Table27[orig]), Table27[B''])</f>
        <v>O</v>
      </c>
      <c r="BZ19" t="str" cm="1">
        <f t="array" ref="BZ19">_xlfn.XLOOKUP(TRUE, EXACT(Table27[[#This Row],[FB'']], Table27[orig]), Table27[FB''])</f>
        <v>X</v>
      </c>
      <c r="CA19" t="str" cm="1">
        <f t="array" ref="CA19">_xlfn.XLOOKUP(TRUE, EXACT(Table27[[#This Row],[F2B2]], Table27[orig]), Table27[FB''])</f>
        <v>E</v>
      </c>
      <c r="CD19" t="s">
        <v>38</v>
      </c>
      <c r="CE19" t="str">
        <f>Table28[[#This Row],[orig]]</f>
        <v>B</v>
      </c>
      <c r="CF19" t="str">
        <f>Table29[[#This Row],[X]]</f>
        <v>T</v>
      </c>
      <c r="CG19" t="str" cm="1">
        <f t="array" ref="CG19">_xlfn.XLOOKUP(TRUE, EXACT(Table28[[#This Row],[X]], Table28[orig]), Table28[X])</f>
        <v>V</v>
      </c>
      <c r="CH19" t="str" cm="1">
        <f t="array" ref="CH19">_xlfn.XLOOKUP(TRUE, EXACT(Table28[[#This Row],[X2]], Table28[orig]), Table28[X])</f>
        <v>J</v>
      </c>
      <c r="CI19" t="str">
        <f>Table29[[#This Row],[Y]]</f>
        <v>C</v>
      </c>
      <c r="CJ19" t="str" cm="1">
        <f t="array" ref="CJ19">_xlfn.XLOOKUP(TRUE, EXACT(Table28[[#This Row],[Y]], Table28[orig]), Table28[Y])</f>
        <v>D</v>
      </c>
      <c r="CK19" t="str" cm="1">
        <f t="array" ref="CK19">_xlfn.XLOOKUP(TRUE, EXACT(Table28[[#This Row],[Y2]], Table28[orig]), Table28[Y])</f>
        <v>A</v>
      </c>
      <c r="CL19" t="str">
        <f>Table29[[#This Row],[Z]]</f>
        <v>O</v>
      </c>
      <c r="CM19" t="str" cm="1">
        <f t="array" ref="CM19">_xlfn.XLOOKUP(TRUE, EXACT(Table28[[#This Row],[Z]], Table28[orig]), Table28[Z])</f>
        <v>X</v>
      </c>
      <c r="CN19" t="str" cm="1">
        <f t="array" ref="CN19">_xlfn.XLOOKUP(TRUE, EXACT(Table28[[#This Row],[Z2]], Table28[orig]), Table28[Z])</f>
        <v>E</v>
      </c>
      <c r="CO19" t="str" cm="1">
        <f t="array" ref="CO19">_xlfn.XLOOKUP(TRUE, EXACT(Table28[[#This Row],[Z]], Table28[orig]), Table28[X])</f>
        <v>P</v>
      </c>
      <c r="CP19" t="str" cm="1">
        <f t="array" ref="CP19">_xlfn.XLOOKUP(TRUE, EXACT(Table28[[#This Row],[Y'']], Table28[orig]), Table28[X''])</f>
        <v>I</v>
      </c>
      <c r="CQ19" t="str" cm="1">
        <f t="array" ref="CQ19">_xlfn.XLOOKUP(TRUE, EXACT(Table28[[#This Row],[Y]], Table28[orig]), Table28[X''])</f>
        <v>K</v>
      </c>
      <c r="CR19" t="str" cm="1">
        <f t="array" ref="CR19">_xlfn.XLOOKUP(TRUE, EXACT(Table28[[#This Row],[Z'']], Table28[orig]), Table28[X])</f>
        <v>H</v>
      </c>
      <c r="CS19" t="str" cm="1">
        <f t="array" ref="CS19">_xlfn.XLOOKUP(TRUE, EXACT(Table28[[#This Row],[Z'']], Table28[orig]), Table28[X''])</f>
        <v>F</v>
      </c>
      <c r="CT19" t="str" cm="1">
        <f t="array" ref="CT19">_xlfn.XLOOKUP(TRUE, EXACT(Table28[[#This Row],[Y'']], Table28[orig]), Table28[X])</f>
        <v>S</v>
      </c>
      <c r="CU19" t="str" cm="1">
        <f t="array" ref="CU19">_xlfn.XLOOKUP(TRUE, EXACT(Table28[[#This Row],[Y]], Table28[orig]), Table28[X])</f>
        <v>Q</v>
      </c>
      <c r="CV19" t="str" cm="1">
        <f t="array" ref="CV19">_xlfn.XLOOKUP(TRUE, EXACT(Table28[[#This Row],[Z]], Table28[orig]), Table28[X''])</f>
        <v>N</v>
      </c>
      <c r="CW19" t="str" cm="1">
        <f t="array" ref="CW19">_xlfn.XLOOKUP(TRUE, EXACT(Table28[[#This Row],[Y'']], Table28[orig]), Table28[X2])</f>
        <v>U</v>
      </c>
      <c r="CX19" t="str" cm="1">
        <f t="array" ref="CX19">_xlfn.XLOOKUP(TRUE, EXACT(Table28[[#This Row],[Y]], Table28[orig]), Table28[X2])</f>
        <v>W</v>
      </c>
      <c r="CY19" t="str" cm="1">
        <f t="array" ref="CY19">_xlfn.XLOOKUP(TRUE, EXACT(Table28[[#This Row],[Z]], Table28[orig]), Table28[X2])</f>
        <v>M</v>
      </c>
      <c r="CZ19" t="str" cm="1">
        <f t="array" ref="CZ19">_xlfn.XLOOKUP(TRUE, EXACT(Table28[[#This Row],[Z'']], Table28[orig]), Table28[X2])</f>
        <v>G</v>
      </c>
      <c r="DA19" t="str" cm="1">
        <f t="array" ref="DA19">_xlfn.XLOOKUP(TRUE, EXACT(Table28[[#This Row],[Z2]], Table28[orig]), Table28[X])</f>
        <v>L</v>
      </c>
      <c r="DB19" t="str" cm="1">
        <f t="array" ref="DB19">_xlfn.XLOOKUP(TRUE, EXACT(Table28[[#This Row],[Z2]], Table28[orig]), Table28[X''])</f>
        <v>R</v>
      </c>
      <c r="DE19" s="4" t="s">
        <v>38</v>
      </c>
      <c r="DF19" s="4" t="str" cm="1">
        <f t="array" ref="DF19">_xlfn.XLOOKUP(TRUE, EXACT(Table28[[#This Row],[I]], Table29[orig]), Table29[T-reflection])</f>
        <v>A</v>
      </c>
      <c r="DG19" s="4" t="str" cm="1">
        <f t="array" ref="DG19">_xlfn.XLOOKUP(TRUE, EXACT(Table28[[#This Row],[X]], Table29[orig]), Table29[T-reflection])</f>
        <v>S</v>
      </c>
      <c r="DH19" t="str" cm="1">
        <f t="array" ref="DH19">_xlfn.XLOOKUP(TRUE, EXACT(Table28[[#This Row],[X2]], Table29[orig]), Table29[T-reflection])</f>
        <v>U</v>
      </c>
      <c r="DI19" t="str" cm="1">
        <f t="array" ref="DI19">_xlfn.XLOOKUP(TRUE, EXACT(Table28[[#This Row],[X'']], Table29[orig]), Table29[T-reflection])</f>
        <v>I</v>
      </c>
      <c r="DJ19" s="4" t="str" cm="1">
        <f t="array" ref="DJ19">_xlfn.XLOOKUP(TRUE, EXACT(Table28[[#This Row],[Y]], Table29[orig]), Table29[T-reflection])</f>
        <v>D</v>
      </c>
      <c r="DK19" t="str" cm="1">
        <f t="array" ref="DK19">_xlfn.XLOOKUP(TRUE, EXACT(Table28[[#This Row],[Y2]], Table29[orig]), Table29[T-reflection])</f>
        <v>C</v>
      </c>
      <c r="DL19" t="str" cm="1">
        <f t="array" ref="DL19">_xlfn.XLOOKUP(TRUE, EXACT(Table28[[#This Row],[Y'']], Table29[orig]), Table29[T-reflection])</f>
        <v>B</v>
      </c>
      <c r="DM19" s="4" t="str" cm="1">
        <f t="array" ref="DM19">_xlfn.XLOOKUP(TRUE, EXACT(Table28[[#This Row],[Z]], Table29[orig]), Table29[T-reflection])</f>
        <v>H</v>
      </c>
      <c r="DN19" t="str" cm="1">
        <f t="array" ref="DN19">_xlfn.XLOOKUP(TRUE, EXACT(Table28[[#This Row],[Z2]], Table29[orig]), Table29[T-reflection])</f>
        <v>W</v>
      </c>
      <c r="DO19" t="str" cm="1">
        <f t="array" ref="DO19">_xlfn.XLOOKUP(TRUE, EXACT(Table28[[#This Row],[Z'']], Table29[orig]), Table29[T-reflection])</f>
        <v>N</v>
      </c>
      <c r="DP19" t="str" cm="1">
        <f t="array" ref="DP19">_xlfn.XLOOKUP(TRUE, EXACT(Table28[[#This Row],[Z X]], Table29[orig]), Table29[T-reflection])</f>
        <v>G</v>
      </c>
      <c r="DQ19" t="str" cm="1">
        <f t="array" ref="DQ19">_xlfn.XLOOKUP(TRUE, EXACT(Table28[[#This Row],[Y'' X'']], Table29[orig]), Table29[T-reflection])</f>
        <v>J</v>
      </c>
      <c r="DR19" t="str" cm="1">
        <f t="array" ref="DR19">_xlfn.XLOOKUP(TRUE, EXACT(Table28[[#This Row],[Y X'']], Table29[orig]), Table29[T-reflection])</f>
        <v>L</v>
      </c>
      <c r="DS19" t="str" cm="1">
        <f t="array" ref="DS19">_xlfn.XLOOKUP(TRUE, EXACT(Table28[[#This Row],[Z'' X]], Table29[orig]), Table29[T-reflection])</f>
        <v>O</v>
      </c>
      <c r="DT19" t="str" cm="1">
        <f t="array" ref="DT19">_xlfn.XLOOKUP(TRUE, EXACT(Table28[[#This Row],[Z'' X'']], Table29[orig]), Table29[T-reflection])</f>
        <v>M</v>
      </c>
      <c r="DU19" t="str" cm="1">
        <f t="array" ref="DU19">_xlfn.XLOOKUP(TRUE, EXACT(Table28[[#This Row],[Y'' X]], Table29[orig]), Table29[T-reflection])</f>
        <v>T</v>
      </c>
      <c r="DV19" t="str" cm="1">
        <f t="array" ref="DV19">_xlfn.XLOOKUP(TRUE, EXACT(Table28[[#This Row],[Y X]], Table29[orig]), Table29[T-reflection])</f>
        <v>R</v>
      </c>
      <c r="DW19" t="str" cm="1">
        <f t="array" ref="DW19">_xlfn.XLOOKUP(TRUE, EXACT(Table28[[#This Row],[Z X'']], Table29[orig]), Table29[T-reflection])</f>
        <v>E</v>
      </c>
      <c r="DX19" t="str" cm="1">
        <f t="array" ref="DX19">_xlfn.XLOOKUP(TRUE, EXACT(Table28[[#This Row],[Y'' X2]], Table29[orig]), Table29[T-reflection])</f>
        <v>V</v>
      </c>
      <c r="DY19" t="str" cm="1">
        <f t="array" ref="DY19">_xlfn.XLOOKUP(TRUE, EXACT(Table28[[#This Row],[Y X2]], Table29[orig]), Table29[T-reflection])</f>
        <v>X</v>
      </c>
      <c r="DZ19" t="str" cm="1">
        <f t="array" ref="DZ19">_xlfn.XLOOKUP(TRUE, EXACT(Table28[[#This Row],[Z X2]], Table29[orig]), Table29[T-reflection])</f>
        <v>F</v>
      </c>
      <c r="EA19" t="str" cm="1">
        <f t="array" ref="EA19">_xlfn.XLOOKUP(TRUE, EXACT(Table28[[#This Row],[Z'' X2]], Table29[orig]), Table29[T-reflection])</f>
        <v>P</v>
      </c>
      <c r="EB19" t="str" cm="1">
        <f t="array" ref="EB19">_xlfn.XLOOKUP(TRUE, EXACT(Table28[[#This Row],[Z2 X]], Table29[orig]), Table29[T-reflection])</f>
        <v>K</v>
      </c>
      <c r="EC19" t="str" cm="1">
        <f t="array" ref="EC19">_xlfn.XLOOKUP(TRUE, EXACT(Table28[[#This Row],[Z2 X'']], Table29[orig]), Table29[T-reflection])</f>
        <v>Q</v>
      </c>
    </row>
    <row r="20" spans="1:164" x14ac:dyDescent="0.2">
      <c r="B20" t="s">
        <v>39</v>
      </c>
      <c r="C20" t="s">
        <v>39</v>
      </c>
      <c r="D20" t="s">
        <v>79</v>
      </c>
      <c r="E20" t="s">
        <v>40</v>
      </c>
      <c r="F20" t="s">
        <v>77</v>
      </c>
      <c r="G20" t="s">
        <v>40</v>
      </c>
      <c r="H20" t="s">
        <v>81</v>
      </c>
      <c r="I20" t="s">
        <v>38</v>
      </c>
      <c r="J20" t="s">
        <v>79</v>
      </c>
      <c r="K20" t="s">
        <v>40</v>
      </c>
      <c r="L20" t="s">
        <v>77</v>
      </c>
      <c r="O20" t="s">
        <v>39</v>
      </c>
      <c r="P20" t="str">
        <f>Table27[[#This Row],[orig]]</f>
        <v>C</v>
      </c>
      <c r="Q20" t="str">
        <f>Table29[[#This Row],[X]]</f>
        <v>Q</v>
      </c>
      <c r="R20" t="str" cm="1">
        <f t="array" ref="R20">_xlfn.XLOOKUP(TRUE, EXACT(Table27[[#This Row],[X]], Table27[orig]), Table27[X])</f>
        <v>W</v>
      </c>
      <c r="S20" t="str" cm="1">
        <f t="array" ref="S20">_xlfn.XLOOKUP(TRUE, EXACT(Table27[[#This Row],[X2]], Table27[orig]), Table27[X])</f>
        <v>K</v>
      </c>
      <c r="T20" t="str">
        <f>Table29[[#This Row],[Y]]</f>
        <v>D</v>
      </c>
      <c r="U20" t="str" cm="1">
        <f t="array" ref="U20">_xlfn.XLOOKUP(TRUE, EXACT(Table27[[#This Row],[Y]], Table27[orig]), Table27[Y])</f>
        <v>A</v>
      </c>
      <c r="V20" t="str" cm="1">
        <f t="array" ref="V20">_xlfn.XLOOKUP(TRUE, EXACT(Table27[[#This Row],[Y2]], Table27[orig]), Table27[Y])</f>
        <v>B</v>
      </c>
      <c r="W20" t="str">
        <f>Table29[[#This Row],[Z]]</f>
        <v>P</v>
      </c>
      <c r="X20" t="str" cm="1">
        <f t="array" ref="X20">_xlfn.XLOOKUP(TRUE, EXACT(Table27[[#This Row],[Z]], Table27[orig]), Table27[Z])</f>
        <v>U</v>
      </c>
      <c r="Y20" t="str" cm="1">
        <f t="array" ref="Y20">_xlfn.XLOOKUP(TRUE, EXACT(Table27[[#This Row],[Z2]], Table27[orig]), Table27[Z])</f>
        <v>F</v>
      </c>
      <c r="Z20" t="str">
        <f>Table29[[#This Row],[R]]</f>
        <v>Q</v>
      </c>
      <c r="AA20" t="str" cm="1">
        <f t="array" ref="AA20">_xlfn.XLOOKUP(TRUE, EXACT(Table27[[#This Row],[R]], Table27[orig]), Table27[R])</f>
        <v>W</v>
      </c>
      <c r="AB20" t="str" cm="1">
        <f t="array" ref="AB20">_xlfn.XLOOKUP(TRUE, EXACT(Table27[[#This Row],[R2]], Table27[orig]), Table27[R])</f>
        <v>K</v>
      </c>
      <c r="AC20" t="str" cm="1">
        <f t="array" ref="AC20">_xlfn.XLOOKUP(TRUE, EXACT(_xlfn.XLOOKUP(TRUE, EXACT(Table27[[#This Row],[Y2]], Table27[orig]), Table27[R]), Table27[orig]), Table27[Y2])</f>
        <v>C</v>
      </c>
      <c r="AD20" t="str" cm="1">
        <f t="array" ref="AD20">_xlfn.XLOOKUP(TRUE, EXACT(Table27[[#This Row],[L]], Table27[orig]), Table27[L])</f>
        <v>C</v>
      </c>
      <c r="AE20" t="str" cm="1">
        <f t="array" ref="AE20">_xlfn.XLOOKUP(TRUE, EXACT(Table27[[#This Row],[L2]], Table27[orig]), Table27[L])</f>
        <v>C</v>
      </c>
      <c r="AF20" t="str" cm="1">
        <f t="array" ref="AF20">_xlfn.XLOOKUP(TRUE, EXACT(Table27[[#This Row],[r-lower]], Table27[orig]), Table27[R''])</f>
        <v>C</v>
      </c>
      <c r="AG20" t="str" cm="1">
        <f t="array" ref="AG20">_xlfn.XLOOKUP(TRUE, EXACT(Table27[[#This Row],[T]], Table27[orig]), Table27[T])</f>
        <v>C</v>
      </c>
      <c r="AH20" t="str" cm="1">
        <f t="array" ref="AH20">_xlfn.XLOOKUP(TRUE, EXACT(Table27[[#This Row],[T2]], Table27[orig]), Table27[T])</f>
        <v>C</v>
      </c>
      <c r="AI20" t="str" cm="1">
        <f t="array" ref="AI20">_xlfn.XLOOKUP(TRUE, EXACT(Table27[[#This Row],[X]], Table27[orig]), Table27[L])</f>
        <v>Q</v>
      </c>
      <c r="AJ20" t="str" cm="1">
        <f t="array" ref="AJ20">_xlfn.XLOOKUP(TRUE, EXACT(Table27[[#This Row],[r-lower]], Table27[orig]), Table27[r-lower])</f>
        <v>W</v>
      </c>
      <c r="AK20" t="str" cm="1">
        <f t="array" ref="AK20">_xlfn.XLOOKUP(TRUE, EXACT(Table27[[#This Row],[r2-lower]], Table27[orig]), Table27[r-lower])</f>
        <v>K</v>
      </c>
      <c r="AL20" t="str" cm="1">
        <f t="array" ref="AL20">_xlfn.XLOOKUP(TRUE, EXACT(Table27[[#This Row],[X'']], Table27[orig]), Table27[R])</f>
        <v>C</v>
      </c>
      <c r="AM20" t="str" cm="1">
        <f t="array" ref="AM20">_xlfn.XLOOKUP(TRUE, EXACT(Table27[[#This Row],[l-lower]], Table27[orig]), Table27[l-lower])</f>
        <v>C</v>
      </c>
      <c r="AN20" t="str" cm="1">
        <f t="array" ref="AN20">_xlfn.XLOOKUP(TRUE, EXACT(Table27[[#This Row],[l2-lower]], Table27[orig]), Table27[l-lower])</f>
        <v>C</v>
      </c>
      <c r="AO20" t="str" cm="1">
        <f t="array" ref="AO20">_xlfn.XLOOKUP(TRUE, EXACT(Table27[[#This Row],[R]], Table27[orig]), Table27[L''])</f>
        <v>Q</v>
      </c>
      <c r="AP20" t="str" cm="1">
        <f t="array" ref="AP20">_xlfn.XLOOKUP(TRUE, EXACT(Table27[[#This Row],[RL'']], Table27[orig]), Table27[RL''])</f>
        <v>W</v>
      </c>
      <c r="AQ20" t="str" cm="1">
        <f t="array" ref="AQ20">_xlfn.XLOOKUP(TRUE, EXACT(Table27[[#This Row],[R2L2]], Table27[orig]), Table27[RL''])</f>
        <v>K</v>
      </c>
      <c r="AR20" t="str">
        <f>Table29[[#This Row],[U]]</f>
        <v>D</v>
      </c>
      <c r="AS20" t="str" cm="1">
        <f t="array" ref="AS20">_xlfn.XLOOKUP(TRUE, EXACT(Table27[[#This Row],[U]], Table27[orig]), Table27[U])</f>
        <v>A</v>
      </c>
      <c r="AT20" t="str" cm="1">
        <f t="array" ref="AT20">_xlfn.XLOOKUP(TRUE, EXACT(Table27[[#This Row],[U2]], Table27[orig]), Table27[U])</f>
        <v>B</v>
      </c>
      <c r="AU20" t="str" cm="1">
        <f t="array" ref="AU20">_xlfn.XLOOKUP(TRUE, EXACT(_xlfn.XLOOKUP(TRUE, EXACT(Table27[[#This Row],[Z2]], Table27[orig]), Table27[U]), Table27[orig]), Table27[Z2])</f>
        <v>C</v>
      </c>
      <c r="AV20" t="str" cm="1">
        <f t="array" ref="AV20">_xlfn.XLOOKUP(TRUE, EXACT(Table27[[#This Row],[D]], Table27[orig]), Table27[D])</f>
        <v>C</v>
      </c>
      <c r="AW20" t="str" cm="1">
        <f t="array" ref="AW20">_xlfn.XLOOKUP(TRUE, EXACT(Table27[[#This Row],[D2]], Table27[orig]), Table27[D])</f>
        <v>C</v>
      </c>
      <c r="AX20" t="str" cm="1">
        <f t="array" ref="AX20">_xlfn.XLOOKUP(TRUE, EXACT(Table27[[#This Row],[u-lower]], Table27[orig]), Table27[U''])</f>
        <v>C</v>
      </c>
      <c r="AY20" t="str" cm="1">
        <f t="array" ref="AY20">_xlfn.XLOOKUP(TRUE, EXACT(Table27[[#This Row],[H]], Table27[orig]), Table27[H])</f>
        <v>C</v>
      </c>
      <c r="AZ20" t="str" cm="1">
        <f t="array" ref="AZ20">_xlfn.XLOOKUP(TRUE, EXACT(Table27[[#This Row],[H2]], Table27[orig]), Table27[H])</f>
        <v>C</v>
      </c>
      <c r="BA20" t="str" cm="1">
        <f t="array" ref="BA20">_xlfn.XLOOKUP(TRUE, EXACT(Table27[[#This Row],[Y]], Table27[orig]), Table27[D])</f>
        <v>D</v>
      </c>
      <c r="BB20" t="str" cm="1">
        <f t="array" ref="BB20">_xlfn.XLOOKUP(TRUE, EXACT(Table27[[#This Row],[u-lower]], Table27[orig]), Table27[u-lower])</f>
        <v>A</v>
      </c>
      <c r="BC20" t="str" cm="1">
        <f t="array" ref="BC20">_xlfn.XLOOKUP(TRUE, EXACT(Table27[[#This Row],[u2-lower]], Table27[orig]), Table27[u-lower])</f>
        <v>B</v>
      </c>
      <c r="BD20" t="str" cm="1">
        <f t="array" ref="BD20">_xlfn.XLOOKUP(TRUE, EXACT(Table27[[#This Row],[Y'']], Table27[orig]), Table27[U])</f>
        <v>C</v>
      </c>
      <c r="BE20" t="str" cm="1">
        <f t="array" ref="BE20">_xlfn.XLOOKUP(TRUE, EXACT(Table27[[#This Row],[d-lower]], Table27[orig]), Table27[d-lower])</f>
        <v>C</v>
      </c>
      <c r="BF20" t="str" cm="1">
        <f t="array" ref="BF20">_xlfn.XLOOKUP(TRUE, EXACT(Table27[[#This Row],[d2-lower]], Table27[orig]), Table27[d-lower])</f>
        <v>C</v>
      </c>
      <c r="BG20" t="str" cm="1">
        <f t="array" ref="BG20">_xlfn.XLOOKUP(TRUE, EXACT(Table27[[#This Row],[U]], Table27[orig]), Table27[D''])</f>
        <v>D</v>
      </c>
      <c r="BH20" t="str" cm="1">
        <f t="array" ref="BH20">_xlfn.XLOOKUP(TRUE, EXACT(Table27[[#This Row],[UD'']], Table27[orig]), Table27[UD''])</f>
        <v>A</v>
      </c>
      <c r="BI20" t="str" cm="1">
        <f t="array" ref="BI20">_xlfn.XLOOKUP(TRUE, EXACT(Table27[[#This Row],[U2D2]], Table27[orig]), Table27[UD''])</f>
        <v>B</v>
      </c>
      <c r="BJ20" t="str">
        <f>Table29[[#This Row],[F]]</f>
        <v>P</v>
      </c>
      <c r="BK20" t="str" cm="1">
        <f t="array" ref="BK20">_xlfn.XLOOKUP(TRUE, EXACT(Table27[[#This Row],[F]], Table27[orig]), Table27[F])</f>
        <v>U</v>
      </c>
      <c r="BL20" t="str" cm="1">
        <f t="array" ref="BL20">_xlfn.XLOOKUP(TRUE, EXACT(Table27[[#This Row],[F2]], Table27[orig]), Table27[F])</f>
        <v>F</v>
      </c>
      <c r="BM20" t="str" cm="1">
        <f t="array" ref="BM20">_xlfn.XLOOKUP(TRUE, EXACT(_xlfn.XLOOKUP(TRUE, EXACT(Table27[[#This Row],[X2]], Table27[orig]), Table27[F]), Table27[orig]), Table27[X2])</f>
        <v>C</v>
      </c>
      <c r="BN20" t="str" cm="1">
        <f t="array" ref="BN20">_xlfn.XLOOKUP(TRUE, EXACT(Table27[[#This Row],[B]], Table27[orig]), Table27[B])</f>
        <v>C</v>
      </c>
      <c r="BO20" t="str" cm="1">
        <f t="array" ref="BO20">_xlfn.XLOOKUP(TRUE, EXACT(Table27[[#This Row],[B2]], Table27[orig]), Table27[B])</f>
        <v>C</v>
      </c>
      <c r="BP20" t="str" cm="1">
        <f t="array" ref="BP20">_xlfn.XLOOKUP(TRUE, EXACT(Table27[[#This Row],[f-lower]], Table27[orig]), Table27[F''])</f>
        <v>C</v>
      </c>
      <c r="BQ20" t="str" cm="1">
        <f t="array" ref="BQ20">_xlfn.XLOOKUP(TRUE, EXACT(Table27[[#This Row],[S]], Table27[orig]), Table27[S])</f>
        <v>C</v>
      </c>
      <c r="BR20" t="str" cm="1">
        <f t="array" ref="BR20">_xlfn.XLOOKUP(TRUE, EXACT(Table27[[#This Row],[S2]], Table27[orig]), Table27[S])</f>
        <v>C</v>
      </c>
      <c r="BS20" t="str" cm="1">
        <f t="array" ref="BS20">_xlfn.XLOOKUP(TRUE, EXACT(Table27[[#This Row],[Z]], Table27[orig]), Table27[B])</f>
        <v>P</v>
      </c>
      <c r="BT20" t="str" cm="1">
        <f t="array" ref="BT20">_xlfn.XLOOKUP(TRUE, EXACT(Table27[[#This Row],[f-lower]], Table27[orig]), Table27[f-lower])</f>
        <v>U</v>
      </c>
      <c r="BU20" t="str" cm="1">
        <f t="array" ref="BU20">_xlfn.XLOOKUP(TRUE, EXACT(Table27[[#This Row],[f2-lower]], Table27[orig]), Table27[f-lower])</f>
        <v>F</v>
      </c>
      <c r="BV20" t="str" cm="1">
        <f t="array" ref="BV20">_xlfn.XLOOKUP(TRUE, EXACT(Table27[[#This Row],[Z'']], Table27[orig]), Table27[F])</f>
        <v>C</v>
      </c>
      <c r="BW20" t="str" cm="1">
        <f t="array" ref="BW20">_xlfn.XLOOKUP(TRUE, EXACT(Table27[[#This Row],[b-lower]], Table27[orig]), Table27[b-lower])</f>
        <v>C</v>
      </c>
      <c r="BX20" t="str" cm="1">
        <f t="array" ref="BX20">_xlfn.XLOOKUP(TRUE, EXACT(Table27[[#This Row],[b2-lower]], Table27[orig]), Table27[b-lower])</f>
        <v>C</v>
      </c>
      <c r="BY20" t="str" cm="1">
        <f t="array" ref="BY20">_xlfn.XLOOKUP(TRUE, EXACT(Table27[[#This Row],[F]], Table27[orig]), Table27[B''])</f>
        <v>P</v>
      </c>
      <c r="BZ20" t="str" cm="1">
        <f t="array" ref="BZ20">_xlfn.XLOOKUP(TRUE, EXACT(Table27[[#This Row],[FB'']], Table27[orig]), Table27[FB''])</f>
        <v>U</v>
      </c>
      <c r="CA20" t="str" cm="1">
        <f t="array" ref="CA20">_xlfn.XLOOKUP(TRUE, EXACT(Table27[[#This Row],[F2B2]], Table27[orig]), Table27[FB''])</f>
        <v>F</v>
      </c>
      <c r="CD20" t="s">
        <v>39</v>
      </c>
      <c r="CE20" t="str">
        <f>Table28[[#This Row],[orig]]</f>
        <v>C</v>
      </c>
      <c r="CF20" t="str">
        <f>Table29[[#This Row],[X]]</f>
        <v>Q</v>
      </c>
      <c r="CG20" t="str" cm="1">
        <f t="array" ref="CG20">_xlfn.XLOOKUP(TRUE, EXACT(Table28[[#This Row],[X]], Table28[orig]), Table28[X])</f>
        <v>W</v>
      </c>
      <c r="CH20" t="str" cm="1">
        <f t="array" ref="CH20">_xlfn.XLOOKUP(TRUE, EXACT(Table28[[#This Row],[X2]], Table28[orig]), Table28[X])</f>
        <v>K</v>
      </c>
      <c r="CI20" t="str">
        <f>Table29[[#This Row],[Y]]</f>
        <v>D</v>
      </c>
      <c r="CJ20" t="str" cm="1">
        <f t="array" ref="CJ20">_xlfn.XLOOKUP(TRUE, EXACT(Table28[[#This Row],[Y]], Table28[orig]), Table28[Y])</f>
        <v>A</v>
      </c>
      <c r="CK20" t="str" cm="1">
        <f t="array" ref="CK20">_xlfn.XLOOKUP(TRUE, EXACT(Table28[[#This Row],[Y2]], Table28[orig]), Table28[Y])</f>
        <v>B</v>
      </c>
      <c r="CL20" t="str">
        <f>Table29[[#This Row],[Z]]</f>
        <v>P</v>
      </c>
      <c r="CM20" t="str" cm="1">
        <f t="array" ref="CM20">_xlfn.XLOOKUP(TRUE, EXACT(Table28[[#This Row],[Z]], Table28[orig]), Table28[Z])</f>
        <v>U</v>
      </c>
      <c r="CN20" t="str" cm="1">
        <f t="array" ref="CN20">_xlfn.XLOOKUP(TRUE, EXACT(Table28[[#This Row],[Z2]], Table28[orig]), Table28[Z])</f>
        <v>F</v>
      </c>
      <c r="CO20" t="str" cm="1">
        <f t="array" ref="CO20">_xlfn.XLOOKUP(TRUE, EXACT(Table28[[#This Row],[Z]], Table28[orig]), Table28[X])</f>
        <v>M</v>
      </c>
      <c r="CP20" t="str" cm="1">
        <f t="array" ref="CP20">_xlfn.XLOOKUP(TRUE, EXACT(Table28[[#This Row],[Y'']], Table28[orig]), Table28[X''])</f>
        <v>J</v>
      </c>
      <c r="CQ20" t="str" cm="1">
        <f t="array" ref="CQ20">_xlfn.XLOOKUP(TRUE, EXACT(Table28[[#This Row],[Y]], Table28[orig]), Table28[X''])</f>
        <v>L</v>
      </c>
      <c r="CR20" t="str" cm="1">
        <f t="array" ref="CR20">_xlfn.XLOOKUP(TRUE, EXACT(Table28[[#This Row],[Z'']], Table28[orig]), Table28[X])</f>
        <v>E</v>
      </c>
      <c r="CS20" t="str" cm="1">
        <f t="array" ref="CS20">_xlfn.XLOOKUP(TRUE, EXACT(Table28[[#This Row],[Z'']], Table28[orig]), Table28[X''])</f>
        <v>G</v>
      </c>
      <c r="CT20" t="str" cm="1">
        <f t="array" ref="CT20">_xlfn.XLOOKUP(TRUE, EXACT(Table28[[#This Row],[Y'']], Table28[orig]), Table28[X])</f>
        <v>T</v>
      </c>
      <c r="CU20" t="str" cm="1">
        <f t="array" ref="CU20">_xlfn.XLOOKUP(TRUE, EXACT(Table28[[#This Row],[Y]], Table28[orig]), Table28[X])</f>
        <v>R</v>
      </c>
      <c r="CV20" t="str" cm="1">
        <f t="array" ref="CV20">_xlfn.XLOOKUP(TRUE, EXACT(Table28[[#This Row],[Z]], Table28[orig]), Table28[X''])</f>
        <v>O</v>
      </c>
      <c r="CW20" t="str" cm="1">
        <f t="array" ref="CW20">_xlfn.XLOOKUP(TRUE, EXACT(Table28[[#This Row],[Y'']], Table28[orig]), Table28[X2])</f>
        <v>V</v>
      </c>
      <c r="CX20" t="str" cm="1">
        <f t="array" ref="CX20">_xlfn.XLOOKUP(TRUE, EXACT(Table28[[#This Row],[Y]], Table28[orig]), Table28[X2])</f>
        <v>X</v>
      </c>
      <c r="CY20" t="str" cm="1">
        <f t="array" ref="CY20">_xlfn.XLOOKUP(TRUE, EXACT(Table28[[#This Row],[Z]], Table28[orig]), Table28[X2])</f>
        <v>N</v>
      </c>
      <c r="CZ20" t="str" cm="1">
        <f t="array" ref="CZ20">_xlfn.XLOOKUP(TRUE, EXACT(Table28[[#This Row],[Z'']], Table28[orig]), Table28[X2])</f>
        <v>H</v>
      </c>
      <c r="DA20" t="str" cm="1">
        <f t="array" ref="DA20">_xlfn.XLOOKUP(TRUE, EXACT(Table28[[#This Row],[Z2]], Table28[orig]), Table28[X])</f>
        <v>I</v>
      </c>
      <c r="DB20" t="str" cm="1">
        <f t="array" ref="DB20">_xlfn.XLOOKUP(TRUE, EXACT(Table28[[#This Row],[Z2]], Table28[orig]), Table28[X''])</f>
        <v>S</v>
      </c>
      <c r="DE20" s="6" t="s">
        <v>39</v>
      </c>
      <c r="DF20" s="6" t="str" cm="1">
        <f t="array" ref="DF20">_xlfn.XLOOKUP(TRUE, EXACT(Table28[[#This Row],[I]], Table29[orig]), Table29[T-reflection])</f>
        <v>D</v>
      </c>
      <c r="DG20" s="6" t="str" cm="1">
        <f t="array" ref="DG20">_xlfn.XLOOKUP(TRUE, EXACT(Table28[[#This Row],[X]], Table29[orig]), Table29[T-reflection])</f>
        <v>R</v>
      </c>
      <c r="DH20" t="str" cm="1">
        <f t="array" ref="DH20">_xlfn.XLOOKUP(TRUE, EXACT(Table28[[#This Row],[X2]], Table29[orig]), Table29[T-reflection])</f>
        <v>X</v>
      </c>
      <c r="DI20" t="str" cm="1">
        <f t="array" ref="DI20">_xlfn.XLOOKUP(TRUE, EXACT(Table28[[#This Row],[X'']], Table29[orig]), Table29[T-reflection])</f>
        <v>L</v>
      </c>
      <c r="DJ20" s="6" t="str" cm="1">
        <f t="array" ref="DJ20">_xlfn.XLOOKUP(TRUE, EXACT(Table28[[#This Row],[Y]], Table29[orig]), Table29[T-reflection])</f>
        <v>C</v>
      </c>
      <c r="DK20" t="str" cm="1">
        <f t="array" ref="DK20">_xlfn.XLOOKUP(TRUE, EXACT(Table28[[#This Row],[Y2]], Table29[orig]), Table29[T-reflection])</f>
        <v>B</v>
      </c>
      <c r="DL20" t="str" cm="1">
        <f t="array" ref="DL20">_xlfn.XLOOKUP(TRUE, EXACT(Table28[[#This Row],[Y'']], Table29[orig]), Table29[T-reflection])</f>
        <v>A</v>
      </c>
      <c r="DM20" s="6" t="str" cm="1">
        <f t="array" ref="DM20">_xlfn.XLOOKUP(TRUE, EXACT(Table28[[#This Row],[Z]], Table29[orig]), Table29[T-reflection])</f>
        <v>G</v>
      </c>
      <c r="DN20" t="str" cm="1">
        <f t="array" ref="DN20">_xlfn.XLOOKUP(TRUE, EXACT(Table28[[#This Row],[Z2]], Table29[orig]), Table29[T-reflection])</f>
        <v>V</v>
      </c>
      <c r="DO20" t="str" cm="1">
        <f t="array" ref="DO20">_xlfn.XLOOKUP(TRUE, EXACT(Table28[[#This Row],[Z'']], Table29[orig]), Table29[T-reflection])</f>
        <v>M</v>
      </c>
      <c r="DP20" t="str" cm="1">
        <f t="array" ref="DP20">_xlfn.XLOOKUP(TRUE, EXACT(Table28[[#This Row],[Z X]], Table29[orig]), Table29[T-reflection])</f>
        <v>F</v>
      </c>
      <c r="DQ20" t="str" cm="1">
        <f t="array" ref="DQ20">_xlfn.XLOOKUP(TRUE, EXACT(Table28[[#This Row],[Y'' X'']], Table29[orig]), Table29[T-reflection])</f>
        <v>I</v>
      </c>
      <c r="DR20" t="str" cm="1">
        <f t="array" ref="DR20">_xlfn.XLOOKUP(TRUE, EXACT(Table28[[#This Row],[Y X'']], Table29[orig]), Table29[T-reflection])</f>
        <v>K</v>
      </c>
      <c r="DS20" t="str" cm="1">
        <f t="array" ref="DS20">_xlfn.XLOOKUP(TRUE, EXACT(Table28[[#This Row],[Z'' X]], Table29[orig]), Table29[T-reflection])</f>
        <v>N</v>
      </c>
      <c r="DT20" t="str" cm="1">
        <f t="array" ref="DT20">_xlfn.XLOOKUP(TRUE, EXACT(Table28[[#This Row],[Z'' X'']], Table29[orig]), Table29[T-reflection])</f>
        <v>P</v>
      </c>
      <c r="DU20" t="str" cm="1">
        <f t="array" ref="DU20">_xlfn.XLOOKUP(TRUE, EXACT(Table28[[#This Row],[Y'' X]], Table29[orig]), Table29[T-reflection])</f>
        <v>S</v>
      </c>
      <c r="DV20" t="str" cm="1">
        <f t="array" ref="DV20">_xlfn.XLOOKUP(TRUE, EXACT(Table28[[#This Row],[Y X]], Table29[orig]), Table29[T-reflection])</f>
        <v>Q</v>
      </c>
      <c r="DW20" t="str" cm="1">
        <f t="array" ref="DW20">_xlfn.XLOOKUP(TRUE, EXACT(Table28[[#This Row],[Z X'']], Table29[orig]), Table29[T-reflection])</f>
        <v>H</v>
      </c>
      <c r="DX20" t="str" cm="1">
        <f t="array" ref="DX20">_xlfn.XLOOKUP(TRUE, EXACT(Table28[[#This Row],[Y'' X2]], Table29[orig]), Table29[T-reflection])</f>
        <v>U</v>
      </c>
      <c r="DY20" t="str" cm="1">
        <f t="array" ref="DY20">_xlfn.XLOOKUP(TRUE, EXACT(Table28[[#This Row],[Y X2]], Table29[orig]), Table29[T-reflection])</f>
        <v>W</v>
      </c>
      <c r="DZ20" t="str" cm="1">
        <f t="array" ref="DZ20">_xlfn.XLOOKUP(TRUE, EXACT(Table28[[#This Row],[Z X2]], Table29[orig]), Table29[T-reflection])</f>
        <v>E</v>
      </c>
      <c r="EA20" t="str" cm="1">
        <f t="array" ref="EA20">_xlfn.XLOOKUP(TRUE, EXACT(Table28[[#This Row],[Z'' X2]], Table29[orig]), Table29[T-reflection])</f>
        <v>O</v>
      </c>
      <c r="EB20" t="str" cm="1">
        <f t="array" ref="EB20">_xlfn.XLOOKUP(TRUE, EXACT(Table28[[#This Row],[Z2 X]], Table29[orig]), Table29[T-reflection])</f>
        <v>J</v>
      </c>
      <c r="EC20" t="str" cm="1">
        <f t="array" ref="EC20">_xlfn.XLOOKUP(TRUE, EXACT(Table28[[#This Row],[Z2 X'']], Table29[orig]), Table29[T-reflection])</f>
        <v>T</v>
      </c>
    </row>
    <row r="21" spans="1:164" s="5" customFormat="1" ht="16" thickBot="1" x14ac:dyDescent="0.25">
      <c r="A21"/>
      <c r="B21" s="5" t="s">
        <v>40</v>
      </c>
      <c r="C21" s="5" t="s">
        <v>40</v>
      </c>
      <c r="D21" s="5" t="s">
        <v>27</v>
      </c>
      <c r="E21" s="5" t="s">
        <v>37</v>
      </c>
      <c r="F21" s="5" t="s">
        <v>127</v>
      </c>
      <c r="G21" s="5" t="s">
        <v>39</v>
      </c>
      <c r="H21" s="5" t="s">
        <v>54</v>
      </c>
      <c r="I21" s="5" t="s">
        <v>37</v>
      </c>
      <c r="J21" s="5" t="s">
        <v>40</v>
      </c>
      <c r="K21" s="5" t="s">
        <v>37</v>
      </c>
      <c r="L21" s="5" t="s">
        <v>127</v>
      </c>
      <c r="M21"/>
      <c r="N21"/>
      <c r="O21" s="5" t="s">
        <v>40</v>
      </c>
      <c r="P21" s="5" t="str">
        <f>Table27[[#This Row],[orig]]</f>
        <v>D</v>
      </c>
      <c r="Q21" s="5" t="str">
        <f>Table29[[#This Row],[X]]</f>
        <v>R</v>
      </c>
      <c r="R21" s="5" t="str" cm="1">
        <f t="array" ref="R21">_xlfn.XLOOKUP(TRUE, EXACT(Table27[[#This Row],[X]], Table27[orig]), Table27[X])</f>
        <v>X</v>
      </c>
      <c r="S21" s="5" t="str" cm="1">
        <f t="array" ref="S21">_xlfn.XLOOKUP(TRUE, EXACT(Table27[[#This Row],[X2]], Table27[orig]), Table27[X])</f>
        <v>L</v>
      </c>
      <c r="T21" s="5" t="str">
        <f>Table29[[#This Row],[Y]]</f>
        <v>A</v>
      </c>
      <c r="U21" s="5" t="str" cm="1">
        <f t="array" ref="U21">_xlfn.XLOOKUP(TRUE, EXACT(Table27[[#This Row],[Y]], Table27[orig]), Table27[Y])</f>
        <v>B</v>
      </c>
      <c r="V21" s="5" t="str" cm="1">
        <f t="array" ref="V21">_xlfn.XLOOKUP(TRUE, EXACT(Table27[[#This Row],[Y2]], Table27[orig]), Table27[Y])</f>
        <v>C</v>
      </c>
      <c r="W21" s="5" t="str">
        <f>Table29[[#This Row],[Z]]</f>
        <v>M</v>
      </c>
      <c r="X21" s="5" t="str" cm="1">
        <f t="array" ref="X21">_xlfn.XLOOKUP(TRUE, EXACT(Table27[[#This Row],[Z]], Table27[orig]), Table27[Z])</f>
        <v>V</v>
      </c>
      <c r="Y21" s="5" t="str" cm="1">
        <f t="array" ref="Y21">_xlfn.XLOOKUP(TRUE, EXACT(Table27[[#This Row],[Z2]], Table27[orig]), Table27[Z])</f>
        <v>G</v>
      </c>
      <c r="Z21" s="5" t="str">
        <f>Table29[[#This Row],[R]]</f>
        <v>D</v>
      </c>
      <c r="AA21" s="5" t="str" cm="1">
        <f t="array" ref="AA21">_xlfn.XLOOKUP(TRUE, EXACT(Table27[[#This Row],[R]], Table27[orig]), Table27[R])</f>
        <v>D</v>
      </c>
      <c r="AB21" s="5" t="str" cm="1">
        <f t="array" ref="AB21">_xlfn.XLOOKUP(TRUE, EXACT(Table27[[#This Row],[R2]], Table27[orig]), Table27[R])</f>
        <v>D</v>
      </c>
      <c r="AC21" s="5" t="str" cm="1">
        <f t="array" ref="AC21">_xlfn.XLOOKUP(TRUE, EXACT(_xlfn.XLOOKUP(TRUE, EXACT(Table27[[#This Row],[Y2]], Table27[orig]), Table27[R]), Table27[orig]), Table27[Y2])</f>
        <v>L</v>
      </c>
      <c r="AD21" s="5" t="str" cm="1">
        <f t="array" ref="AD21">_xlfn.XLOOKUP(TRUE, EXACT(Table27[[#This Row],[L]], Table27[orig]), Table27[L])</f>
        <v>X</v>
      </c>
      <c r="AE21" s="5" t="str" cm="1">
        <f t="array" ref="AE21">_xlfn.XLOOKUP(TRUE, EXACT(Table27[[#This Row],[L2]], Table27[orig]), Table27[L])</f>
        <v>R</v>
      </c>
      <c r="AF21" s="5" t="str" cm="1">
        <f t="array" ref="AF21">_xlfn.XLOOKUP(TRUE, EXACT(Table27[[#This Row],[r-lower]], Table27[orig]), Table27[R''])</f>
        <v>D</v>
      </c>
      <c r="AG21" s="5" t="str" cm="1">
        <f t="array" ref="AG21">_xlfn.XLOOKUP(TRUE, EXACT(Table27[[#This Row],[T]], Table27[orig]), Table27[T])</f>
        <v>D</v>
      </c>
      <c r="AH21" s="5" t="str" cm="1">
        <f t="array" ref="AH21">_xlfn.XLOOKUP(TRUE, EXACT(Table27[[#This Row],[T2]], Table27[orig]), Table27[T])</f>
        <v>D</v>
      </c>
      <c r="AI21" s="5" t="str" cm="1">
        <f t="array" ref="AI21">_xlfn.XLOOKUP(TRUE, EXACT(Table27[[#This Row],[X]], Table27[orig]), Table27[L])</f>
        <v>D</v>
      </c>
      <c r="AJ21" s="5" t="str" cm="1">
        <f t="array" ref="AJ21">_xlfn.XLOOKUP(TRUE, EXACT(Table27[[#This Row],[r-lower]], Table27[orig]), Table27[r-lower])</f>
        <v>D</v>
      </c>
      <c r="AK21" s="5" t="str" cm="1">
        <f t="array" ref="AK21">_xlfn.XLOOKUP(TRUE, EXACT(Table27[[#This Row],[r2-lower]], Table27[orig]), Table27[r-lower])</f>
        <v>D</v>
      </c>
      <c r="AL21" s="5" t="str" cm="1">
        <f t="array" ref="AL21">_xlfn.XLOOKUP(TRUE, EXACT(Table27[[#This Row],[X'']], Table27[orig]), Table27[R])</f>
        <v>L</v>
      </c>
      <c r="AM21" s="5" t="str" cm="1">
        <f t="array" ref="AM21">_xlfn.XLOOKUP(TRUE, EXACT(Table27[[#This Row],[l-lower]], Table27[orig]), Table27[l-lower])</f>
        <v>X</v>
      </c>
      <c r="AN21" s="5" t="str" cm="1">
        <f t="array" ref="AN21">_xlfn.XLOOKUP(TRUE, EXACT(Table27[[#This Row],[l2-lower]], Table27[orig]), Table27[l-lower])</f>
        <v>R</v>
      </c>
      <c r="AO21" s="5" t="str" cm="1">
        <f t="array" ref="AO21">_xlfn.XLOOKUP(TRUE, EXACT(Table27[[#This Row],[R]], Table27[orig]), Table27[L''])</f>
        <v>R</v>
      </c>
      <c r="AP21" s="5" t="str" cm="1">
        <f t="array" ref="AP21">_xlfn.XLOOKUP(TRUE, EXACT(Table27[[#This Row],[RL'']], Table27[orig]), Table27[RL''])</f>
        <v>X</v>
      </c>
      <c r="AQ21" s="5" t="str" cm="1">
        <f t="array" ref="AQ21">_xlfn.XLOOKUP(TRUE, EXACT(Table27[[#This Row],[R2L2]], Table27[orig]), Table27[RL''])</f>
        <v>L</v>
      </c>
      <c r="AR21" s="5" t="str">
        <f>Table29[[#This Row],[U]]</f>
        <v>A</v>
      </c>
      <c r="AS21" s="5" t="str" cm="1">
        <f t="array" ref="AS21">_xlfn.XLOOKUP(TRUE, EXACT(Table27[[#This Row],[U]], Table27[orig]), Table27[U])</f>
        <v>B</v>
      </c>
      <c r="AT21" s="5" t="str" cm="1">
        <f t="array" ref="AT21">_xlfn.XLOOKUP(TRUE, EXACT(Table27[[#This Row],[U2]], Table27[orig]), Table27[U])</f>
        <v>C</v>
      </c>
      <c r="AU21" s="5" t="str" cm="1">
        <f t="array" ref="AU21">_xlfn.XLOOKUP(TRUE, EXACT(_xlfn.XLOOKUP(TRUE, EXACT(Table27[[#This Row],[Z2]], Table27[orig]), Table27[U]), Table27[orig]), Table27[Z2])</f>
        <v>D</v>
      </c>
      <c r="AV21" s="5" t="str" cm="1">
        <f t="array" ref="AV21">_xlfn.XLOOKUP(TRUE, EXACT(Table27[[#This Row],[D]], Table27[orig]), Table27[D])</f>
        <v>D</v>
      </c>
      <c r="AW21" s="5" t="str" cm="1">
        <f t="array" ref="AW21">_xlfn.XLOOKUP(TRUE, EXACT(Table27[[#This Row],[D2]], Table27[orig]), Table27[D])</f>
        <v>D</v>
      </c>
      <c r="AX21" s="5" t="str" cm="1">
        <f t="array" ref="AX21">_xlfn.XLOOKUP(TRUE, EXACT(Table27[[#This Row],[u-lower]], Table27[orig]), Table27[U''])</f>
        <v>D</v>
      </c>
      <c r="AY21" s="5" t="str" cm="1">
        <f t="array" ref="AY21">_xlfn.XLOOKUP(TRUE, EXACT(Table27[[#This Row],[H]], Table27[orig]), Table27[H])</f>
        <v>D</v>
      </c>
      <c r="AZ21" s="5" t="str" cm="1">
        <f t="array" ref="AZ21">_xlfn.XLOOKUP(TRUE, EXACT(Table27[[#This Row],[H2]], Table27[orig]), Table27[H])</f>
        <v>D</v>
      </c>
      <c r="BA21" s="5" t="str" cm="1">
        <f t="array" ref="BA21">_xlfn.XLOOKUP(TRUE, EXACT(Table27[[#This Row],[Y]], Table27[orig]), Table27[D])</f>
        <v>A</v>
      </c>
      <c r="BB21" s="5" t="str" cm="1">
        <f t="array" ref="BB21">_xlfn.XLOOKUP(TRUE, EXACT(Table27[[#This Row],[u-lower]], Table27[orig]), Table27[u-lower])</f>
        <v>B</v>
      </c>
      <c r="BC21" s="5" t="str" cm="1">
        <f t="array" ref="BC21">_xlfn.XLOOKUP(TRUE, EXACT(Table27[[#This Row],[u2-lower]], Table27[orig]), Table27[u-lower])</f>
        <v>C</v>
      </c>
      <c r="BD21" s="5" t="str" cm="1">
        <f t="array" ref="BD21">_xlfn.XLOOKUP(TRUE, EXACT(Table27[[#This Row],[Y'']], Table27[orig]), Table27[U])</f>
        <v>D</v>
      </c>
      <c r="BE21" s="5" t="str" cm="1">
        <f t="array" ref="BE21">_xlfn.XLOOKUP(TRUE, EXACT(Table27[[#This Row],[d-lower]], Table27[orig]), Table27[d-lower])</f>
        <v>D</v>
      </c>
      <c r="BF21" s="5" t="str" cm="1">
        <f t="array" ref="BF21">_xlfn.XLOOKUP(TRUE, EXACT(Table27[[#This Row],[d2-lower]], Table27[orig]), Table27[d-lower])</f>
        <v>D</v>
      </c>
      <c r="BG21" s="5" t="str" cm="1">
        <f t="array" ref="BG21">_xlfn.XLOOKUP(TRUE, EXACT(Table27[[#This Row],[U]], Table27[orig]), Table27[D''])</f>
        <v>A</v>
      </c>
      <c r="BH21" s="5" t="str" cm="1">
        <f t="array" ref="BH21">_xlfn.XLOOKUP(TRUE, EXACT(Table27[[#This Row],[UD'']], Table27[orig]), Table27[UD''])</f>
        <v>B</v>
      </c>
      <c r="BI21" s="5" t="str" cm="1">
        <f t="array" ref="BI21">_xlfn.XLOOKUP(TRUE, EXACT(Table27[[#This Row],[U2D2]], Table27[orig]), Table27[UD''])</f>
        <v>C</v>
      </c>
      <c r="BJ21" s="5" t="str">
        <f>Table29[[#This Row],[F]]</f>
        <v>M</v>
      </c>
      <c r="BK21" s="5" t="str" cm="1">
        <f t="array" ref="BK21">_xlfn.XLOOKUP(TRUE, EXACT(Table27[[#This Row],[F]], Table27[orig]), Table27[F])</f>
        <v>V</v>
      </c>
      <c r="BL21" s="5" t="str" cm="1">
        <f t="array" ref="BL21">_xlfn.XLOOKUP(TRUE, EXACT(Table27[[#This Row],[F2]], Table27[orig]), Table27[F])</f>
        <v>G</v>
      </c>
      <c r="BM21" s="5" t="str" cm="1">
        <f t="array" ref="BM21">_xlfn.XLOOKUP(TRUE, EXACT(_xlfn.XLOOKUP(TRUE, EXACT(Table27[[#This Row],[X2]], Table27[orig]), Table27[F]), Table27[orig]), Table27[X2])</f>
        <v>D</v>
      </c>
      <c r="BN21" s="5" t="str" cm="1">
        <f t="array" ref="BN21">_xlfn.XLOOKUP(TRUE, EXACT(Table27[[#This Row],[B]], Table27[orig]), Table27[B])</f>
        <v>D</v>
      </c>
      <c r="BO21" s="5" t="str" cm="1">
        <f t="array" ref="BO21">_xlfn.XLOOKUP(TRUE, EXACT(Table27[[#This Row],[B2]], Table27[orig]), Table27[B])</f>
        <v>D</v>
      </c>
      <c r="BP21" s="5" t="str" cm="1">
        <f t="array" ref="BP21">_xlfn.XLOOKUP(TRUE, EXACT(Table27[[#This Row],[f-lower]], Table27[orig]), Table27[F''])</f>
        <v>D</v>
      </c>
      <c r="BQ21" s="5" t="str" cm="1">
        <f t="array" ref="BQ21">_xlfn.XLOOKUP(TRUE, EXACT(Table27[[#This Row],[S]], Table27[orig]), Table27[S])</f>
        <v>D</v>
      </c>
      <c r="BR21" s="5" t="str" cm="1">
        <f t="array" ref="BR21">_xlfn.XLOOKUP(TRUE, EXACT(Table27[[#This Row],[S2]], Table27[orig]), Table27[S])</f>
        <v>D</v>
      </c>
      <c r="BS21" s="5" t="str" cm="1">
        <f t="array" ref="BS21">_xlfn.XLOOKUP(TRUE, EXACT(Table27[[#This Row],[Z]], Table27[orig]), Table27[B])</f>
        <v>M</v>
      </c>
      <c r="BT21" s="5" t="str" cm="1">
        <f t="array" ref="BT21">_xlfn.XLOOKUP(TRUE, EXACT(Table27[[#This Row],[f-lower]], Table27[orig]), Table27[f-lower])</f>
        <v>V</v>
      </c>
      <c r="BU21" s="5" t="str" cm="1">
        <f t="array" ref="BU21">_xlfn.XLOOKUP(TRUE, EXACT(Table27[[#This Row],[f2-lower]], Table27[orig]), Table27[f-lower])</f>
        <v>G</v>
      </c>
      <c r="BV21" s="5" t="str" cm="1">
        <f t="array" ref="BV21">_xlfn.XLOOKUP(TRUE, EXACT(Table27[[#This Row],[Z'']], Table27[orig]), Table27[F])</f>
        <v>D</v>
      </c>
      <c r="BW21" s="5" t="str" cm="1">
        <f t="array" ref="BW21">_xlfn.XLOOKUP(TRUE, EXACT(Table27[[#This Row],[b-lower]], Table27[orig]), Table27[b-lower])</f>
        <v>D</v>
      </c>
      <c r="BX21" s="5" t="str" cm="1">
        <f t="array" ref="BX21">_xlfn.XLOOKUP(TRUE, EXACT(Table27[[#This Row],[b2-lower]], Table27[orig]), Table27[b-lower])</f>
        <v>D</v>
      </c>
      <c r="BY21" s="5" t="str" cm="1">
        <f t="array" ref="BY21">_xlfn.XLOOKUP(TRUE, EXACT(Table27[[#This Row],[F]], Table27[orig]), Table27[B''])</f>
        <v>M</v>
      </c>
      <c r="BZ21" s="5" t="str" cm="1">
        <f t="array" ref="BZ21">_xlfn.XLOOKUP(TRUE, EXACT(Table27[[#This Row],[FB'']], Table27[orig]), Table27[FB''])</f>
        <v>V</v>
      </c>
      <c r="CA21" s="5" t="str" cm="1">
        <f t="array" ref="CA21">_xlfn.XLOOKUP(TRUE, EXACT(Table27[[#This Row],[F2B2]], Table27[orig]), Table27[FB''])</f>
        <v>G</v>
      </c>
      <c r="CB21"/>
      <c r="CC21"/>
      <c r="CD21" s="5" t="s">
        <v>40</v>
      </c>
      <c r="CE21" s="5" t="str">
        <f>Table28[[#This Row],[orig]]</f>
        <v>D</v>
      </c>
      <c r="CF21" s="5" t="str">
        <f>Table29[[#This Row],[X]]</f>
        <v>R</v>
      </c>
      <c r="CG21" s="5" t="str" cm="1">
        <f t="array" ref="CG21">_xlfn.XLOOKUP(TRUE, EXACT(Table28[[#This Row],[X]], Table28[orig]), Table28[X])</f>
        <v>X</v>
      </c>
      <c r="CH21" s="5" t="str" cm="1">
        <f t="array" ref="CH21">_xlfn.XLOOKUP(TRUE, EXACT(Table28[[#This Row],[X2]], Table28[orig]), Table28[X])</f>
        <v>L</v>
      </c>
      <c r="CI21" s="5" t="str">
        <f>Table29[[#This Row],[Y]]</f>
        <v>A</v>
      </c>
      <c r="CJ21" s="5" t="str" cm="1">
        <f t="array" ref="CJ21">_xlfn.XLOOKUP(TRUE, EXACT(Table28[[#This Row],[Y]], Table28[orig]), Table28[Y])</f>
        <v>B</v>
      </c>
      <c r="CK21" s="5" t="str" cm="1">
        <f t="array" ref="CK21">_xlfn.XLOOKUP(TRUE, EXACT(Table28[[#This Row],[Y2]], Table28[orig]), Table28[Y])</f>
        <v>C</v>
      </c>
      <c r="CL21" s="5" t="str">
        <f>Table29[[#This Row],[Z]]</f>
        <v>M</v>
      </c>
      <c r="CM21" s="5" t="str" cm="1">
        <f t="array" ref="CM21">_xlfn.XLOOKUP(TRUE, EXACT(Table28[[#This Row],[Z]], Table28[orig]), Table28[Z])</f>
        <v>V</v>
      </c>
      <c r="CN21" s="5" t="str" cm="1">
        <f t="array" ref="CN21">_xlfn.XLOOKUP(TRUE, EXACT(Table28[[#This Row],[Z2]], Table28[orig]), Table28[Z])</f>
        <v>G</v>
      </c>
      <c r="CO21" s="5" t="str" cm="1">
        <f t="array" ref="CO21">_xlfn.XLOOKUP(TRUE, EXACT(Table28[[#This Row],[Z]], Table28[orig]), Table28[X])</f>
        <v>N</v>
      </c>
      <c r="CP21" s="5" t="str" cm="1">
        <f t="array" ref="CP21">_xlfn.XLOOKUP(TRUE, EXACT(Table28[[#This Row],[Y'']], Table28[orig]), Table28[X''])</f>
        <v>K</v>
      </c>
      <c r="CQ21" s="5" t="str" cm="1">
        <f t="array" ref="CQ21">_xlfn.XLOOKUP(TRUE, EXACT(Table28[[#This Row],[Y]], Table28[orig]), Table28[X''])</f>
        <v>I</v>
      </c>
      <c r="CR21" s="5" t="str" cm="1">
        <f t="array" ref="CR21">_xlfn.XLOOKUP(TRUE, EXACT(Table28[[#This Row],[Z'']], Table28[orig]), Table28[X])</f>
        <v>F</v>
      </c>
      <c r="CS21" s="5" t="str" cm="1">
        <f t="array" ref="CS21">_xlfn.XLOOKUP(TRUE, EXACT(Table28[[#This Row],[Z'']], Table28[orig]), Table28[X''])</f>
        <v>H</v>
      </c>
      <c r="CT21" s="5" t="str" cm="1">
        <f t="array" ref="CT21">_xlfn.XLOOKUP(TRUE, EXACT(Table28[[#This Row],[Y'']], Table28[orig]), Table28[X])</f>
        <v>Q</v>
      </c>
      <c r="CU21" s="5" t="str" cm="1">
        <f t="array" ref="CU21">_xlfn.XLOOKUP(TRUE, EXACT(Table28[[#This Row],[Y]], Table28[orig]), Table28[X])</f>
        <v>S</v>
      </c>
      <c r="CV21" s="5" t="str" cm="1">
        <f t="array" ref="CV21">_xlfn.XLOOKUP(TRUE, EXACT(Table28[[#This Row],[Z]], Table28[orig]), Table28[X''])</f>
        <v>P</v>
      </c>
      <c r="CW21" s="5" t="str" cm="1">
        <f t="array" ref="CW21">_xlfn.XLOOKUP(TRUE, EXACT(Table28[[#This Row],[Y'']], Table28[orig]), Table28[X2])</f>
        <v>W</v>
      </c>
      <c r="CX21" s="5" t="str" cm="1">
        <f t="array" ref="CX21">_xlfn.XLOOKUP(TRUE, EXACT(Table28[[#This Row],[Y]], Table28[orig]), Table28[X2])</f>
        <v>U</v>
      </c>
      <c r="CY21" s="5" t="str" cm="1">
        <f t="array" ref="CY21">_xlfn.XLOOKUP(TRUE, EXACT(Table28[[#This Row],[Z]], Table28[orig]), Table28[X2])</f>
        <v>O</v>
      </c>
      <c r="CZ21" s="5" t="str" cm="1">
        <f t="array" ref="CZ21">_xlfn.XLOOKUP(TRUE, EXACT(Table28[[#This Row],[Z'']], Table28[orig]), Table28[X2])</f>
        <v>E</v>
      </c>
      <c r="DA21" s="5" t="str" cm="1">
        <f t="array" ref="DA21">_xlfn.XLOOKUP(TRUE, EXACT(Table28[[#This Row],[Z2]], Table28[orig]), Table28[X])</f>
        <v>J</v>
      </c>
      <c r="DB21" s="5" t="str" cm="1">
        <f t="array" ref="DB21">_xlfn.XLOOKUP(TRUE, EXACT(Table28[[#This Row],[Z2]], Table28[orig]), Table28[X''])</f>
        <v>T</v>
      </c>
      <c r="DC21"/>
      <c r="DD21"/>
      <c r="DE21" s="8" t="s">
        <v>40</v>
      </c>
      <c r="DF21" s="8" t="str" cm="1">
        <f t="array" ref="DF21">_xlfn.XLOOKUP(TRUE, EXACT(Table28[[#This Row],[I]], Table29[orig]), Table29[T-reflection])</f>
        <v>C</v>
      </c>
      <c r="DG21" s="8" t="str" cm="1">
        <f t="array" ref="DG21">_xlfn.XLOOKUP(TRUE, EXACT(Table28[[#This Row],[X]], Table29[orig]), Table29[T-reflection])</f>
        <v>Q</v>
      </c>
      <c r="DH21" s="5" t="str" cm="1">
        <f t="array" ref="DH21">_xlfn.XLOOKUP(TRUE, EXACT(Table28[[#This Row],[X2]], Table29[orig]), Table29[T-reflection])</f>
        <v>W</v>
      </c>
      <c r="DI21" s="5" t="str" cm="1">
        <f t="array" ref="DI21">_xlfn.XLOOKUP(TRUE, EXACT(Table28[[#This Row],[X'']], Table29[orig]), Table29[T-reflection])</f>
        <v>K</v>
      </c>
      <c r="DJ21" s="8" t="str" cm="1">
        <f t="array" ref="DJ21">_xlfn.XLOOKUP(TRUE, EXACT(Table28[[#This Row],[Y]], Table29[orig]), Table29[T-reflection])</f>
        <v>B</v>
      </c>
      <c r="DK21" s="5" t="str" cm="1">
        <f t="array" ref="DK21">_xlfn.XLOOKUP(TRUE, EXACT(Table28[[#This Row],[Y2]], Table29[orig]), Table29[T-reflection])</f>
        <v>A</v>
      </c>
      <c r="DL21" s="5" t="str" cm="1">
        <f t="array" ref="DL21">_xlfn.XLOOKUP(TRUE, EXACT(Table28[[#This Row],[Y'']], Table29[orig]), Table29[T-reflection])</f>
        <v>D</v>
      </c>
      <c r="DM21" s="8" t="str" cm="1">
        <f t="array" ref="DM21">_xlfn.XLOOKUP(TRUE, EXACT(Table28[[#This Row],[Z]], Table29[orig]), Table29[T-reflection])</f>
        <v>F</v>
      </c>
      <c r="DN21" s="5" t="str" cm="1">
        <f t="array" ref="DN21">_xlfn.XLOOKUP(TRUE, EXACT(Table28[[#This Row],[Z2]], Table29[orig]), Table29[T-reflection])</f>
        <v>U</v>
      </c>
      <c r="DO21" s="5" t="str" cm="1">
        <f t="array" ref="DO21">_xlfn.XLOOKUP(TRUE, EXACT(Table28[[#This Row],[Z'']], Table29[orig]), Table29[T-reflection])</f>
        <v>P</v>
      </c>
      <c r="DP21" s="5" t="str" cm="1">
        <f t="array" ref="DP21">_xlfn.XLOOKUP(TRUE, EXACT(Table28[[#This Row],[Z X]], Table29[orig]), Table29[T-reflection])</f>
        <v>E</v>
      </c>
      <c r="DQ21" s="5" t="str" cm="1">
        <f t="array" ref="DQ21">_xlfn.XLOOKUP(TRUE, EXACT(Table28[[#This Row],[Y'' X'']], Table29[orig]), Table29[T-reflection])</f>
        <v>L</v>
      </c>
      <c r="DR21" s="5" t="str" cm="1">
        <f t="array" ref="DR21">_xlfn.XLOOKUP(TRUE, EXACT(Table28[[#This Row],[Y X'']], Table29[orig]), Table29[T-reflection])</f>
        <v>J</v>
      </c>
      <c r="DS21" s="5" t="str" cm="1">
        <f t="array" ref="DS21">_xlfn.XLOOKUP(TRUE, EXACT(Table28[[#This Row],[Z'' X]], Table29[orig]), Table29[T-reflection])</f>
        <v>M</v>
      </c>
      <c r="DT21" s="5" t="str" cm="1">
        <f t="array" ref="DT21">_xlfn.XLOOKUP(TRUE, EXACT(Table28[[#This Row],[Z'' X'']], Table29[orig]), Table29[T-reflection])</f>
        <v>O</v>
      </c>
      <c r="DU21" s="5" t="str" cm="1">
        <f t="array" ref="DU21">_xlfn.XLOOKUP(TRUE, EXACT(Table28[[#This Row],[Y'' X]], Table29[orig]), Table29[T-reflection])</f>
        <v>R</v>
      </c>
      <c r="DV21" s="5" t="str" cm="1">
        <f t="array" ref="DV21">_xlfn.XLOOKUP(TRUE, EXACT(Table28[[#This Row],[Y X]], Table29[orig]), Table29[T-reflection])</f>
        <v>T</v>
      </c>
      <c r="DW21" s="5" t="str" cm="1">
        <f t="array" ref="DW21">_xlfn.XLOOKUP(TRUE, EXACT(Table28[[#This Row],[Z X'']], Table29[orig]), Table29[T-reflection])</f>
        <v>G</v>
      </c>
      <c r="DX21" s="5" t="str" cm="1">
        <f t="array" ref="DX21">_xlfn.XLOOKUP(TRUE, EXACT(Table28[[#This Row],[Y'' X2]], Table29[orig]), Table29[T-reflection])</f>
        <v>X</v>
      </c>
      <c r="DY21" s="5" t="str" cm="1">
        <f t="array" ref="DY21">_xlfn.XLOOKUP(TRUE, EXACT(Table28[[#This Row],[Y X2]], Table29[orig]), Table29[T-reflection])</f>
        <v>V</v>
      </c>
      <c r="DZ21" s="5" t="str" cm="1">
        <f t="array" ref="DZ21">_xlfn.XLOOKUP(TRUE, EXACT(Table28[[#This Row],[Z X2]], Table29[orig]), Table29[T-reflection])</f>
        <v>H</v>
      </c>
      <c r="EA21" s="5" t="str" cm="1">
        <f t="array" ref="EA21">_xlfn.XLOOKUP(TRUE, EXACT(Table28[[#This Row],[Z'' X2]], Table29[orig]), Table29[T-reflection])</f>
        <v>N</v>
      </c>
      <c r="EB21" s="5" t="str" cm="1">
        <f t="array" ref="EB21">_xlfn.XLOOKUP(TRUE, EXACT(Table28[[#This Row],[Z2 X]], Table29[orig]), Table29[T-reflection])</f>
        <v>I</v>
      </c>
      <c r="EC21" s="5" t="str" cm="1">
        <f t="array" ref="EC21">_xlfn.XLOOKUP(TRUE, EXACT(Table28[[#This Row],[Z2 X'']], Table29[orig]), Table29[T-reflection])</f>
        <v>S</v>
      </c>
      <c r="ED21"/>
      <c r="EE21"/>
      <c r="EF21"/>
      <c r="EG21"/>
      <c r="EH21"/>
      <c r="EI21"/>
      <c r="EJ21"/>
      <c r="EK21"/>
      <c r="EL21"/>
      <c r="EM21"/>
      <c r="EN21"/>
      <c r="EO21"/>
      <c r="EP21"/>
      <c r="EQ21"/>
      <c r="ER21"/>
      <c r="ES21"/>
      <c r="ET21"/>
      <c r="EU21"/>
      <c r="EV21"/>
      <c r="EW21"/>
      <c r="EX21"/>
      <c r="EY21"/>
      <c r="EZ21"/>
      <c r="FA21"/>
      <c r="FB21"/>
      <c r="FC21"/>
      <c r="FD21"/>
      <c r="FE21"/>
      <c r="FF21"/>
      <c r="FG21"/>
      <c r="FH21"/>
    </row>
    <row r="22" spans="1:164" ht="16" thickTop="1" x14ac:dyDescent="0.2">
      <c r="B22" t="s">
        <v>126</v>
      </c>
      <c r="C22" t="s">
        <v>126</v>
      </c>
      <c r="D22" t="s">
        <v>59</v>
      </c>
      <c r="E22" t="s">
        <v>79</v>
      </c>
      <c r="F22" t="s">
        <v>38</v>
      </c>
      <c r="G22" t="s">
        <v>74</v>
      </c>
      <c r="H22" t="s">
        <v>59</v>
      </c>
      <c r="I22" t="s">
        <v>45</v>
      </c>
      <c r="J22" t="s">
        <v>126</v>
      </c>
      <c r="K22" t="s">
        <v>79</v>
      </c>
      <c r="L22" t="s">
        <v>126</v>
      </c>
      <c r="O22" t="s">
        <v>126</v>
      </c>
      <c r="P22" t="str">
        <f>Table27[[#This Row],[orig]]</f>
        <v>E</v>
      </c>
      <c r="Q22" t="str">
        <f>Table29[[#This Row],[X]]</f>
        <v>H</v>
      </c>
      <c r="R22" t="str" cm="1">
        <f t="array" ref="R22">_xlfn.XLOOKUP(TRUE, EXACT(Table27[[#This Row],[X]], Table27[orig]), Table27[X])</f>
        <v>G</v>
      </c>
      <c r="S22" t="str" cm="1">
        <f t="array" ref="S22">_xlfn.XLOOKUP(TRUE, EXACT(Table27[[#This Row],[X2]], Table27[orig]), Table27[X])</f>
        <v>F</v>
      </c>
      <c r="T22" t="str">
        <f>Table29[[#This Row],[Y]]</f>
        <v>Q</v>
      </c>
      <c r="U22" t="str" cm="1">
        <f t="array" ref="U22">_xlfn.XLOOKUP(TRUE, EXACT(Table27[[#This Row],[Y]], Table27[orig]), Table27[Y])</f>
        <v>M</v>
      </c>
      <c r="V22" t="str" cm="1">
        <f t="array" ref="V22">_xlfn.XLOOKUP(TRUE, EXACT(Table27[[#This Row],[Y2]], Table27[orig]), Table27[Y])</f>
        <v>I</v>
      </c>
      <c r="W22" t="str">
        <f>Table29[[#This Row],[Z]]</f>
        <v>B</v>
      </c>
      <c r="X22" t="str" cm="1">
        <f t="array" ref="X22">_xlfn.XLOOKUP(TRUE, EXACT(Table27[[#This Row],[Z]], Table27[orig]), Table27[Z])</f>
        <v>O</v>
      </c>
      <c r="Y22" t="str" cm="1">
        <f t="array" ref="Y22">_xlfn.XLOOKUP(TRUE, EXACT(Table27[[#This Row],[Z2]], Table27[orig]), Table27[Z])</f>
        <v>X</v>
      </c>
      <c r="Z22" t="str">
        <f>Table29[[#This Row],[R]]</f>
        <v>E</v>
      </c>
      <c r="AA22" t="str" cm="1">
        <f t="array" ref="AA22">_xlfn.XLOOKUP(TRUE, EXACT(Table27[[#This Row],[R]], Table27[orig]), Table27[R])</f>
        <v>E</v>
      </c>
      <c r="AB22" t="str" cm="1">
        <f t="array" ref="AB22">_xlfn.XLOOKUP(TRUE, EXACT(Table27[[#This Row],[R2]], Table27[orig]), Table27[R])</f>
        <v>E</v>
      </c>
      <c r="AC22" t="str" cm="1">
        <f t="array" ref="AC22">_xlfn.XLOOKUP(TRUE, EXACT(_xlfn.XLOOKUP(TRUE, EXACT(Table27[[#This Row],[Y2]], Table27[orig]), Table27[R]), Table27[orig]), Table27[Y2])</f>
        <v>F</v>
      </c>
      <c r="AD22" t="str" cm="1">
        <f t="array" ref="AD22">_xlfn.XLOOKUP(TRUE, EXACT(Table27[[#This Row],[L]], Table27[orig]), Table27[L])</f>
        <v>G</v>
      </c>
      <c r="AE22" t="str" cm="1">
        <f t="array" ref="AE22">_xlfn.XLOOKUP(TRUE, EXACT(Table27[[#This Row],[L2]], Table27[orig]), Table27[L])</f>
        <v>H</v>
      </c>
      <c r="AF22" t="str" cm="1">
        <f t="array" ref="AF22">_xlfn.XLOOKUP(TRUE, EXACT(Table27[[#This Row],[r-lower]], Table27[orig]), Table27[R''])</f>
        <v>E</v>
      </c>
      <c r="AG22" t="str" cm="1">
        <f t="array" ref="AG22">_xlfn.XLOOKUP(TRUE, EXACT(Table27[[#This Row],[T]], Table27[orig]), Table27[T])</f>
        <v>E</v>
      </c>
      <c r="AH22" t="str" cm="1">
        <f t="array" ref="AH22">_xlfn.XLOOKUP(TRUE, EXACT(Table27[[#This Row],[T2]], Table27[orig]), Table27[T])</f>
        <v>E</v>
      </c>
      <c r="AI22" t="str" cm="1">
        <f t="array" ref="AI22">_xlfn.XLOOKUP(TRUE, EXACT(Table27[[#This Row],[X]], Table27[orig]), Table27[L])</f>
        <v>E</v>
      </c>
      <c r="AJ22" t="str" cm="1">
        <f t="array" ref="AJ22">_xlfn.XLOOKUP(TRUE, EXACT(Table27[[#This Row],[r-lower]], Table27[orig]), Table27[r-lower])</f>
        <v>E</v>
      </c>
      <c r="AK22" t="str" cm="1">
        <f t="array" ref="AK22">_xlfn.XLOOKUP(TRUE, EXACT(Table27[[#This Row],[r2-lower]], Table27[orig]), Table27[r-lower])</f>
        <v>E</v>
      </c>
      <c r="AL22" t="str" cm="1">
        <f t="array" ref="AL22">_xlfn.XLOOKUP(TRUE, EXACT(Table27[[#This Row],[X'']], Table27[orig]), Table27[R])</f>
        <v>F</v>
      </c>
      <c r="AM22" t="str" cm="1">
        <f t="array" ref="AM22">_xlfn.XLOOKUP(TRUE, EXACT(Table27[[#This Row],[l-lower]], Table27[orig]), Table27[l-lower])</f>
        <v>G</v>
      </c>
      <c r="AN22" t="str" cm="1">
        <f t="array" ref="AN22">_xlfn.XLOOKUP(TRUE, EXACT(Table27[[#This Row],[l2-lower]], Table27[orig]), Table27[l-lower])</f>
        <v>H</v>
      </c>
      <c r="AO22" t="str" cm="1">
        <f t="array" ref="AO22">_xlfn.XLOOKUP(TRUE, EXACT(Table27[[#This Row],[R]], Table27[orig]), Table27[L''])</f>
        <v>H</v>
      </c>
      <c r="AP22" t="str" cm="1">
        <f t="array" ref="AP22">_xlfn.XLOOKUP(TRUE, EXACT(Table27[[#This Row],[RL'']], Table27[orig]), Table27[RL''])</f>
        <v>G</v>
      </c>
      <c r="AQ22" t="str" cm="1">
        <f t="array" ref="AQ22">_xlfn.XLOOKUP(TRUE, EXACT(Table27[[#This Row],[R2L2]], Table27[orig]), Table27[RL''])</f>
        <v>F</v>
      </c>
      <c r="AR22" t="str">
        <f>Table29[[#This Row],[U]]</f>
        <v>Q</v>
      </c>
      <c r="AS22" t="str" cm="1">
        <f t="array" ref="AS22">_xlfn.XLOOKUP(TRUE, EXACT(Table27[[#This Row],[U]], Table27[orig]), Table27[U])</f>
        <v>M</v>
      </c>
      <c r="AT22" t="str" cm="1">
        <f t="array" ref="AT22">_xlfn.XLOOKUP(TRUE, EXACT(Table27[[#This Row],[U2]], Table27[orig]), Table27[U])</f>
        <v>I</v>
      </c>
      <c r="AU22" t="str" cm="1">
        <f t="array" ref="AU22">_xlfn.XLOOKUP(TRUE, EXACT(_xlfn.XLOOKUP(TRUE, EXACT(Table27[[#This Row],[Z2]], Table27[orig]), Table27[U]), Table27[orig]), Table27[Z2])</f>
        <v>E</v>
      </c>
      <c r="AV22" t="str" cm="1">
        <f t="array" ref="AV22">_xlfn.XLOOKUP(TRUE, EXACT(Table27[[#This Row],[D]], Table27[orig]), Table27[D])</f>
        <v>E</v>
      </c>
      <c r="AW22" t="str" cm="1">
        <f t="array" ref="AW22">_xlfn.XLOOKUP(TRUE, EXACT(Table27[[#This Row],[D2]], Table27[orig]), Table27[D])</f>
        <v>E</v>
      </c>
      <c r="AX22" t="str" cm="1">
        <f t="array" ref="AX22">_xlfn.XLOOKUP(TRUE, EXACT(Table27[[#This Row],[u-lower]], Table27[orig]), Table27[U''])</f>
        <v>E</v>
      </c>
      <c r="AY22" t="str" cm="1">
        <f t="array" ref="AY22">_xlfn.XLOOKUP(TRUE, EXACT(Table27[[#This Row],[H]], Table27[orig]), Table27[H])</f>
        <v>E</v>
      </c>
      <c r="AZ22" t="str" cm="1">
        <f t="array" ref="AZ22">_xlfn.XLOOKUP(TRUE, EXACT(Table27[[#This Row],[H2]], Table27[orig]), Table27[H])</f>
        <v>E</v>
      </c>
      <c r="BA22" t="str" cm="1">
        <f t="array" ref="BA22">_xlfn.XLOOKUP(TRUE, EXACT(Table27[[#This Row],[Y]], Table27[orig]), Table27[D])</f>
        <v>Q</v>
      </c>
      <c r="BB22" t="str" cm="1">
        <f t="array" ref="BB22">_xlfn.XLOOKUP(TRUE, EXACT(Table27[[#This Row],[u-lower]], Table27[orig]), Table27[u-lower])</f>
        <v>M</v>
      </c>
      <c r="BC22" t="str" cm="1">
        <f t="array" ref="BC22">_xlfn.XLOOKUP(TRUE, EXACT(Table27[[#This Row],[u2-lower]], Table27[orig]), Table27[u-lower])</f>
        <v>I</v>
      </c>
      <c r="BD22" t="str" cm="1">
        <f t="array" ref="BD22">_xlfn.XLOOKUP(TRUE, EXACT(Table27[[#This Row],[Y'']], Table27[orig]), Table27[U])</f>
        <v>E</v>
      </c>
      <c r="BE22" t="str" cm="1">
        <f t="array" ref="BE22">_xlfn.XLOOKUP(TRUE, EXACT(Table27[[#This Row],[d-lower]], Table27[orig]), Table27[d-lower])</f>
        <v>E</v>
      </c>
      <c r="BF22" t="str" cm="1">
        <f t="array" ref="BF22">_xlfn.XLOOKUP(TRUE, EXACT(Table27[[#This Row],[d2-lower]], Table27[orig]), Table27[d-lower])</f>
        <v>E</v>
      </c>
      <c r="BG22" t="str" cm="1">
        <f t="array" ref="BG22">_xlfn.XLOOKUP(TRUE, EXACT(Table27[[#This Row],[U]], Table27[orig]), Table27[D''])</f>
        <v>Q</v>
      </c>
      <c r="BH22" t="str" cm="1">
        <f t="array" ref="BH22">_xlfn.XLOOKUP(TRUE, EXACT(Table27[[#This Row],[UD'']], Table27[orig]), Table27[UD''])</f>
        <v>M</v>
      </c>
      <c r="BI22" t="str" cm="1">
        <f t="array" ref="BI22">_xlfn.XLOOKUP(TRUE, EXACT(Table27[[#This Row],[U2D2]], Table27[orig]), Table27[UD''])</f>
        <v>I</v>
      </c>
      <c r="BJ22" t="str">
        <f>Table29[[#This Row],[F]]</f>
        <v>E</v>
      </c>
      <c r="BK22" t="str" cm="1">
        <f t="array" ref="BK22">_xlfn.XLOOKUP(TRUE, EXACT(Table27[[#This Row],[F]], Table27[orig]), Table27[F])</f>
        <v>E</v>
      </c>
      <c r="BL22" t="str" cm="1">
        <f t="array" ref="BL22">_xlfn.XLOOKUP(TRUE, EXACT(Table27[[#This Row],[F2]], Table27[orig]), Table27[F])</f>
        <v>E</v>
      </c>
      <c r="BM22" t="str" cm="1">
        <f t="array" ref="BM22">_xlfn.XLOOKUP(TRUE, EXACT(_xlfn.XLOOKUP(TRUE, EXACT(Table27[[#This Row],[X2]], Table27[orig]), Table27[F]), Table27[orig]), Table27[X2])</f>
        <v>X</v>
      </c>
      <c r="BN22" t="str" cm="1">
        <f t="array" ref="BN22">_xlfn.XLOOKUP(TRUE, EXACT(Table27[[#This Row],[B]], Table27[orig]), Table27[B])</f>
        <v>O</v>
      </c>
      <c r="BO22" t="str" cm="1">
        <f t="array" ref="BO22">_xlfn.XLOOKUP(TRUE, EXACT(Table27[[#This Row],[B2]], Table27[orig]), Table27[B])</f>
        <v>B</v>
      </c>
      <c r="BP22" t="str" cm="1">
        <f t="array" ref="BP22">_xlfn.XLOOKUP(TRUE, EXACT(Table27[[#This Row],[f-lower]], Table27[orig]), Table27[F''])</f>
        <v>E</v>
      </c>
      <c r="BQ22" t="str" cm="1">
        <f t="array" ref="BQ22">_xlfn.XLOOKUP(TRUE, EXACT(Table27[[#This Row],[S]], Table27[orig]), Table27[S])</f>
        <v>E</v>
      </c>
      <c r="BR22" t="str" cm="1">
        <f t="array" ref="BR22">_xlfn.XLOOKUP(TRUE, EXACT(Table27[[#This Row],[S2]], Table27[orig]), Table27[S])</f>
        <v>E</v>
      </c>
      <c r="BS22" t="str" cm="1">
        <f t="array" ref="BS22">_xlfn.XLOOKUP(TRUE, EXACT(Table27[[#This Row],[Z]], Table27[orig]), Table27[B])</f>
        <v>E</v>
      </c>
      <c r="BT22" t="str" cm="1">
        <f t="array" ref="BT22">_xlfn.XLOOKUP(TRUE, EXACT(Table27[[#This Row],[f-lower]], Table27[orig]), Table27[f-lower])</f>
        <v>E</v>
      </c>
      <c r="BU22" t="str" cm="1">
        <f t="array" ref="BU22">_xlfn.XLOOKUP(TRUE, EXACT(Table27[[#This Row],[f2-lower]], Table27[orig]), Table27[f-lower])</f>
        <v>E</v>
      </c>
      <c r="BV22" t="str" cm="1">
        <f t="array" ref="BV22">_xlfn.XLOOKUP(TRUE, EXACT(Table27[[#This Row],[Z'']], Table27[orig]), Table27[F])</f>
        <v>X</v>
      </c>
      <c r="BW22" t="str" cm="1">
        <f t="array" ref="BW22">_xlfn.XLOOKUP(TRUE, EXACT(Table27[[#This Row],[b-lower]], Table27[orig]), Table27[b-lower])</f>
        <v>O</v>
      </c>
      <c r="BX22" t="str" cm="1">
        <f t="array" ref="BX22">_xlfn.XLOOKUP(TRUE, EXACT(Table27[[#This Row],[b2-lower]], Table27[orig]), Table27[b-lower])</f>
        <v>B</v>
      </c>
      <c r="BY22" t="str" cm="1">
        <f t="array" ref="BY22">_xlfn.XLOOKUP(TRUE, EXACT(Table27[[#This Row],[F]], Table27[orig]), Table27[B''])</f>
        <v>B</v>
      </c>
      <c r="BZ22" t="str" cm="1">
        <f t="array" ref="BZ22">_xlfn.XLOOKUP(TRUE, EXACT(Table27[[#This Row],[FB'']], Table27[orig]), Table27[FB''])</f>
        <v>O</v>
      </c>
      <c r="CA22" t="str" cm="1">
        <f t="array" ref="CA22">_xlfn.XLOOKUP(TRUE, EXACT(Table27[[#This Row],[F2B2]], Table27[orig]), Table27[FB''])</f>
        <v>X</v>
      </c>
      <c r="CD22" t="s">
        <v>126</v>
      </c>
      <c r="CE22" t="str">
        <f>Table28[[#This Row],[orig]]</f>
        <v>E</v>
      </c>
      <c r="CF22" t="str">
        <f>Table29[[#This Row],[X]]</f>
        <v>H</v>
      </c>
      <c r="CG22" t="str" cm="1">
        <f t="array" ref="CG22">_xlfn.XLOOKUP(TRUE, EXACT(Table28[[#This Row],[X]], Table28[orig]), Table28[X])</f>
        <v>G</v>
      </c>
      <c r="CH22" t="str" cm="1">
        <f t="array" ref="CH22">_xlfn.XLOOKUP(TRUE, EXACT(Table28[[#This Row],[X2]], Table28[orig]), Table28[X])</f>
        <v>F</v>
      </c>
      <c r="CI22" t="str">
        <f>Table29[[#This Row],[Y]]</f>
        <v>Q</v>
      </c>
      <c r="CJ22" t="str" cm="1">
        <f t="array" ref="CJ22">_xlfn.XLOOKUP(TRUE, EXACT(Table28[[#This Row],[Y]], Table28[orig]), Table28[Y])</f>
        <v>M</v>
      </c>
      <c r="CK22" t="str" cm="1">
        <f t="array" ref="CK22">_xlfn.XLOOKUP(TRUE, EXACT(Table28[[#This Row],[Y2]], Table28[orig]), Table28[Y])</f>
        <v>I</v>
      </c>
      <c r="CL22" t="str">
        <f>Table29[[#This Row],[Z]]</f>
        <v>B</v>
      </c>
      <c r="CM22" t="str" cm="1">
        <f t="array" ref="CM22">_xlfn.XLOOKUP(TRUE, EXACT(Table28[[#This Row],[Z]], Table28[orig]), Table28[Z])</f>
        <v>O</v>
      </c>
      <c r="CN22" t="str" cm="1">
        <f t="array" ref="CN22">_xlfn.XLOOKUP(TRUE, EXACT(Table28[[#This Row],[Z2]], Table28[orig]), Table28[Z])</f>
        <v>X</v>
      </c>
      <c r="CO22" t="str" cm="1">
        <f t="array" ref="CO22">_xlfn.XLOOKUP(TRUE, EXACT(Table28[[#This Row],[Z]], Table28[orig]), Table28[X])</f>
        <v>T</v>
      </c>
      <c r="CP22" t="str" cm="1">
        <f t="array" ref="CP22">_xlfn.XLOOKUP(TRUE, EXACT(Table28[[#This Row],[Y'']], Table28[orig]), Table28[X''])</f>
        <v>U</v>
      </c>
      <c r="CQ22" t="str" cm="1">
        <f t="array" ref="CQ22">_xlfn.XLOOKUP(TRUE, EXACT(Table28[[#This Row],[Y]], Table28[orig]), Table28[X''])</f>
        <v>C</v>
      </c>
      <c r="CR22" t="str" cm="1">
        <f t="array" ref="CR22">_xlfn.XLOOKUP(TRUE, EXACT(Table28[[#This Row],[Z'']], Table28[orig]), Table28[X])</f>
        <v>L</v>
      </c>
      <c r="CS22" t="str" cm="1">
        <f t="array" ref="CS22">_xlfn.XLOOKUP(TRUE, EXACT(Table28[[#This Row],[Z'']], Table28[orig]), Table28[X''])</f>
        <v>R</v>
      </c>
      <c r="CT22" t="str" cm="1">
        <f t="array" ref="CT22">_xlfn.XLOOKUP(TRUE, EXACT(Table28[[#This Row],[Y'']], Table28[orig]), Table28[X])</f>
        <v>A</v>
      </c>
      <c r="CU22" t="str" cm="1">
        <f t="array" ref="CU22">_xlfn.XLOOKUP(TRUE, EXACT(Table28[[#This Row],[Y]], Table28[orig]), Table28[X])</f>
        <v>W</v>
      </c>
      <c r="CV22" t="str" cm="1">
        <f t="array" ref="CV22">_xlfn.XLOOKUP(TRUE, EXACT(Table28[[#This Row],[Z]], Table28[orig]), Table28[X''])</f>
        <v>J</v>
      </c>
      <c r="CW22" t="str" cm="1">
        <f t="array" ref="CW22">_xlfn.XLOOKUP(TRUE, EXACT(Table28[[#This Row],[Y'']], Table28[orig]), Table28[X2])</f>
        <v>S</v>
      </c>
      <c r="CX22" t="str" cm="1">
        <f t="array" ref="CX22">_xlfn.XLOOKUP(TRUE, EXACT(Table28[[#This Row],[Y]], Table28[orig]), Table28[X2])</f>
        <v>K</v>
      </c>
      <c r="CY22" t="str" cm="1">
        <f t="array" ref="CY22">_xlfn.XLOOKUP(TRUE, EXACT(Table28[[#This Row],[Z]], Table28[orig]), Table28[X2])</f>
        <v>V</v>
      </c>
      <c r="CZ22" t="str" cm="1">
        <f t="array" ref="CZ22">_xlfn.XLOOKUP(TRUE, EXACT(Table28[[#This Row],[Z'']], Table28[orig]), Table28[X2])</f>
        <v>D</v>
      </c>
      <c r="DA22" t="str" cm="1">
        <f t="array" ref="DA22">_xlfn.XLOOKUP(TRUE, EXACT(Table28[[#This Row],[Z2]], Table28[orig]), Table28[X])</f>
        <v>P</v>
      </c>
      <c r="DB22" t="str" cm="1">
        <f t="array" ref="DB22">_xlfn.XLOOKUP(TRUE, EXACT(Table28[[#This Row],[Z2]], Table28[orig]), Table28[X''])</f>
        <v>N</v>
      </c>
      <c r="DE22" s="6" t="s">
        <v>126</v>
      </c>
      <c r="DF22" s="6" t="str" cm="1">
        <f t="array" ref="DF22">_xlfn.XLOOKUP(TRUE, EXACT(Table28[[#This Row],[I]], Table29[orig]), Table29[T-reflection])</f>
        <v>N</v>
      </c>
      <c r="DG22" s="6" t="str" cm="1">
        <f t="array" ref="DG22">_xlfn.XLOOKUP(TRUE, EXACT(Table28[[#This Row],[X]], Table29[orig]), Table29[T-reflection])</f>
        <v>O</v>
      </c>
      <c r="DH22" t="str" cm="1">
        <f t="array" ref="DH22">_xlfn.XLOOKUP(TRUE, EXACT(Table28[[#This Row],[X2]], Table29[orig]), Table29[T-reflection])</f>
        <v>P</v>
      </c>
      <c r="DI22" t="str" cm="1">
        <f t="array" ref="DI22">_xlfn.XLOOKUP(TRUE, EXACT(Table28[[#This Row],[X'']], Table29[orig]), Table29[T-reflection])</f>
        <v>M</v>
      </c>
      <c r="DJ22" s="6" t="str" cm="1">
        <f t="array" ref="DJ22">_xlfn.XLOOKUP(TRUE, EXACT(Table28[[#This Row],[Y]], Table29[orig]), Table29[T-reflection])</f>
        <v>R</v>
      </c>
      <c r="DK22" t="str" cm="1">
        <f t="array" ref="DK22">_xlfn.XLOOKUP(TRUE, EXACT(Table28[[#This Row],[Y2]], Table29[orig]), Table29[T-reflection])</f>
        <v>F</v>
      </c>
      <c r="DL22" t="str" cm="1">
        <f t="array" ref="DL22">_xlfn.XLOOKUP(TRUE, EXACT(Table28[[#This Row],[Y'']], Table29[orig]), Table29[T-reflection])</f>
        <v>J</v>
      </c>
      <c r="DM22" s="6" t="str" cm="1">
        <f t="array" ref="DM22">_xlfn.XLOOKUP(TRUE, EXACT(Table28[[#This Row],[Z]], Table29[orig]), Table29[T-reflection])</f>
        <v>A</v>
      </c>
      <c r="DN22" t="str" cm="1">
        <f t="array" ref="DN22">_xlfn.XLOOKUP(TRUE, EXACT(Table28[[#This Row],[Z2]], Table29[orig]), Table29[T-reflection])</f>
        <v>H</v>
      </c>
      <c r="DO22" t="str" cm="1">
        <f t="array" ref="DO22">_xlfn.XLOOKUP(TRUE, EXACT(Table28[[#This Row],[Z'']], Table29[orig]), Table29[T-reflection])</f>
        <v>W</v>
      </c>
      <c r="DP22" t="str" cm="1">
        <f t="array" ref="DP22">_xlfn.XLOOKUP(TRUE, EXACT(Table28[[#This Row],[Z X]], Table29[orig]), Table29[T-reflection])</f>
        <v>S</v>
      </c>
      <c r="DQ22" t="str" cm="1">
        <f t="array" ref="DQ22">_xlfn.XLOOKUP(TRUE, EXACT(Table28[[#This Row],[Y'' X'']], Table29[orig]), Table29[T-reflection])</f>
        <v>V</v>
      </c>
      <c r="DR22" t="str" cm="1">
        <f t="array" ref="DR22">_xlfn.XLOOKUP(TRUE, EXACT(Table28[[#This Row],[Y X'']], Table29[orig]), Table29[T-reflection])</f>
        <v>D</v>
      </c>
      <c r="DS22" t="str" cm="1">
        <f t="array" ref="DS22">_xlfn.XLOOKUP(TRUE, EXACT(Table28[[#This Row],[Z'' X]], Table29[orig]), Table29[T-reflection])</f>
        <v>K</v>
      </c>
      <c r="DT22" t="str" cm="1">
        <f t="array" ref="DT22">_xlfn.XLOOKUP(TRUE, EXACT(Table28[[#This Row],[Z'' X'']], Table29[orig]), Table29[T-reflection])</f>
        <v>Q</v>
      </c>
      <c r="DU22" t="str" cm="1">
        <f t="array" ref="DU22">_xlfn.XLOOKUP(TRUE, EXACT(Table28[[#This Row],[Y'' X]], Table29[orig]), Table29[T-reflection])</f>
        <v>B</v>
      </c>
      <c r="DV22" t="str" cm="1">
        <f t="array" ref="DV22">_xlfn.XLOOKUP(TRUE, EXACT(Table28[[#This Row],[Y X]], Table29[orig]), Table29[T-reflection])</f>
        <v>X</v>
      </c>
      <c r="DW22" t="str" cm="1">
        <f t="array" ref="DW22">_xlfn.XLOOKUP(TRUE, EXACT(Table28[[#This Row],[Z X'']], Table29[orig]), Table29[T-reflection])</f>
        <v>I</v>
      </c>
      <c r="DX22" t="str" cm="1">
        <f t="array" ref="DX22">_xlfn.XLOOKUP(TRUE, EXACT(Table28[[#This Row],[Y'' X2]], Table29[orig]), Table29[T-reflection])</f>
        <v>T</v>
      </c>
      <c r="DY22" t="str" cm="1">
        <f t="array" ref="DY22">_xlfn.XLOOKUP(TRUE, EXACT(Table28[[#This Row],[Y X2]], Table29[orig]), Table29[T-reflection])</f>
        <v>L</v>
      </c>
      <c r="DZ22" t="str" cm="1">
        <f t="array" ref="DZ22">_xlfn.XLOOKUP(TRUE, EXACT(Table28[[#This Row],[Z X2]], Table29[orig]), Table29[T-reflection])</f>
        <v>U</v>
      </c>
      <c r="EA22" t="str" cm="1">
        <f t="array" ref="EA22">_xlfn.XLOOKUP(TRUE, EXACT(Table28[[#This Row],[Z'' X2]], Table29[orig]), Table29[T-reflection])</f>
        <v>C</v>
      </c>
      <c r="EB22" t="str" cm="1">
        <f t="array" ref="EB22">_xlfn.XLOOKUP(TRUE, EXACT(Table28[[#This Row],[Z2 X]], Table29[orig]), Table29[T-reflection])</f>
        <v>G</v>
      </c>
      <c r="EC22" t="str" cm="1">
        <f t="array" ref="EC22">_xlfn.XLOOKUP(TRUE, EXACT(Table28[[#This Row],[Z2 X'']], Table29[orig]), Table29[T-reflection])</f>
        <v>E</v>
      </c>
    </row>
    <row r="23" spans="1:164" x14ac:dyDescent="0.2">
      <c r="B23" t="s">
        <v>45</v>
      </c>
      <c r="C23" t="s">
        <v>45</v>
      </c>
      <c r="D23" t="s">
        <v>126</v>
      </c>
      <c r="E23" t="s">
        <v>27</v>
      </c>
      <c r="F23" t="s">
        <v>39</v>
      </c>
      <c r="G23" t="s">
        <v>127</v>
      </c>
      <c r="H23" t="s">
        <v>61</v>
      </c>
      <c r="I23" t="s">
        <v>126</v>
      </c>
      <c r="J23" t="s">
        <v>45</v>
      </c>
      <c r="K23" t="s">
        <v>27</v>
      </c>
      <c r="L23" t="s">
        <v>39</v>
      </c>
      <c r="O23" t="s">
        <v>45</v>
      </c>
      <c r="P23" t="str">
        <f>Table27[[#This Row],[orig]]</f>
        <v>F</v>
      </c>
      <c r="Q23" t="str">
        <f>Table29[[#This Row],[X]]</f>
        <v>E</v>
      </c>
      <c r="R23" t="str" cm="1">
        <f t="array" ref="R23">_xlfn.XLOOKUP(TRUE, EXACT(Table27[[#This Row],[X]], Table27[orig]), Table27[X])</f>
        <v>H</v>
      </c>
      <c r="S23" t="str" cm="1">
        <f t="array" ref="S23">_xlfn.XLOOKUP(TRUE, EXACT(Table27[[#This Row],[X2]], Table27[orig]), Table27[X])</f>
        <v>G</v>
      </c>
      <c r="T23" t="str">
        <f>Table29[[#This Row],[Y]]</f>
        <v>R</v>
      </c>
      <c r="U23" t="str" cm="1">
        <f t="array" ref="U23">_xlfn.XLOOKUP(TRUE, EXACT(Table27[[#This Row],[Y]], Table27[orig]), Table27[Y])</f>
        <v>N</v>
      </c>
      <c r="V23" t="str" cm="1">
        <f t="array" ref="V23">_xlfn.XLOOKUP(TRUE, EXACT(Table27[[#This Row],[Y2]], Table27[orig]), Table27[Y])</f>
        <v>J</v>
      </c>
      <c r="W23" t="str">
        <f>Table29[[#This Row],[Z]]</f>
        <v>C</v>
      </c>
      <c r="X23" t="str" cm="1">
        <f t="array" ref="X23">_xlfn.XLOOKUP(TRUE, EXACT(Table27[[#This Row],[Z]], Table27[orig]), Table27[Z])</f>
        <v>P</v>
      </c>
      <c r="Y23" t="str" cm="1">
        <f t="array" ref="Y23">_xlfn.XLOOKUP(TRUE, EXACT(Table27[[#This Row],[Z2]], Table27[orig]), Table27[Z])</f>
        <v>U</v>
      </c>
      <c r="Z23" t="str">
        <f>Table29[[#This Row],[R]]</f>
        <v>F</v>
      </c>
      <c r="AA23" t="str" cm="1">
        <f t="array" ref="AA23">_xlfn.XLOOKUP(TRUE, EXACT(Table27[[#This Row],[R]], Table27[orig]), Table27[R])</f>
        <v>F</v>
      </c>
      <c r="AB23" t="str" cm="1">
        <f t="array" ref="AB23">_xlfn.XLOOKUP(TRUE, EXACT(Table27[[#This Row],[R2]], Table27[orig]), Table27[R])</f>
        <v>F</v>
      </c>
      <c r="AC23" t="str" cm="1">
        <f t="array" ref="AC23">_xlfn.XLOOKUP(TRUE, EXACT(_xlfn.XLOOKUP(TRUE, EXACT(Table27[[#This Row],[Y2]], Table27[orig]), Table27[R]), Table27[orig]), Table27[Y2])</f>
        <v>G</v>
      </c>
      <c r="AD23" t="str" cm="1">
        <f t="array" ref="AD23">_xlfn.XLOOKUP(TRUE, EXACT(Table27[[#This Row],[L]], Table27[orig]), Table27[L])</f>
        <v>H</v>
      </c>
      <c r="AE23" t="str" cm="1">
        <f t="array" ref="AE23">_xlfn.XLOOKUP(TRUE, EXACT(Table27[[#This Row],[L2]], Table27[orig]), Table27[L])</f>
        <v>E</v>
      </c>
      <c r="AF23" t="str" cm="1">
        <f t="array" ref="AF23">_xlfn.XLOOKUP(TRUE, EXACT(Table27[[#This Row],[r-lower]], Table27[orig]), Table27[R''])</f>
        <v>F</v>
      </c>
      <c r="AG23" t="str" cm="1">
        <f t="array" ref="AG23">_xlfn.XLOOKUP(TRUE, EXACT(Table27[[#This Row],[T]], Table27[orig]), Table27[T])</f>
        <v>F</v>
      </c>
      <c r="AH23" t="str" cm="1">
        <f t="array" ref="AH23">_xlfn.XLOOKUP(TRUE, EXACT(Table27[[#This Row],[T2]], Table27[orig]), Table27[T])</f>
        <v>F</v>
      </c>
      <c r="AI23" t="str" cm="1">
        <f t="array" ref="AI23">_xlfn.XLOOKUP(TRUE, EXACT(Table27[[#This Row],[X]], Table27[orig]), Table27[L])</f>
        <v>F</v>
      </c>
      <c r="AJ23" t="str" cm="1">
        <f t="array" ref="AJ23">_xlfn.XLOOKUP(TRUE, EXACT(Table27[[#This Row],[r-lower]], Table27[orig]), Table27[r-lower])</f>
        <v>F</v>
      </c>
      <c r="AK23" t="str" cm="1">
        <f t="array" ref="AK23">_xlfn.XLOOKUP(TRUE, EXACT(Table27[[#This Row],[r2-lower]], Table27[orig]), Table27[r-lower])</f>
        <v>F</v>
      </c>
      <c r="AL23" t="str" cm="1">
        <f t="array" ref="AL23">_xlfn.XLOOKUP(TRUE, EXACT(Table27[[#This Row],[X'']], Table27[orig]), Table27[R])</f>
        <v>G</v>
      </c>
      <c r="AM23" t="str" cm="1">
        <f t="array" ref="AM23">_xlfn.XLOOKUP(TRUE, EXACT(Table27[[#This Row],[l-lower]], Table27[orig]), Table27[l-lower])</f>
        <v>H</v>
      </c>
      <c r="AN23" t="str" cm="1">
        <f t="array" ref="AN23">_xlfn.XLOOKUP(TRUE, EXACT(Table27[[#This Row],[l2-lower]], Table27[orig]), Table27[l-lower])</f>
        <v>E</v>
      </c>
      <c r="AO23" t="str" cm="1">
        <f t="array" ref="AO23">_xlfn.XLOOKUP(TRUE, EXACT(Table27[[#This Row],[R]], Table27[orig]), Table27[L''])</f>
        <v>E</v>
      </c>
      <c r="AP23" t="str" cm="1">
        <f t="array" ref="AP23">_xlfn.XLOOKUP(TRUE, EXACT(Table27[[#This Row],[RL'']], Table27[orig]), Table27[RL''])</f>
        <v>H</v>
      </c>
      <c r="AQ23" t="str" cm="1">
        <f t="array" ref="AQ23">_xlfn.XLOOKUP(TRUE, EXACT(Table27[[#This Row],[R2L2]], Table27[orig]), Table27[RL''])</f>
        <v>G</v>
      </c>
      <c r="AR23" t="str">
        <f>Table29[[#This Row],[U]]</f>
        <v>R</v>
      </c>
      <c r="AS23" t="str" cm="1">
        <f t="array" ref="AS23">_xlfn.XLOOKUP(TRUE, EXACT(Table27[[#This Row],[U]], Table27[orig]), Table27[U])</f>
        <v>N</v>
      </c>
      <c r="AT23" t="str" cm="1">
        <f t="array" ref="AT23">_xlfn.XLOOKUP(TRUE, EXACT(Table27[[#This Row],[U2]], Table27[orig]), Table27[U])</f>
        <v>J</v>
      </c>
      <c r="AU23" t="str" cm="1">
        <f t="array" ref="AU23">_xlfn.XLOOKUP(TRUE, EXACT(_xlfn.XLOOKUP(TRUE, EXACT(Table27[[#This Row],[Z2]], Table27[orig]), Table27[U]), Table27[orig]), Table27[Z2])</f>
        <v>F</v>
      </c>
      <c r="AV23" t="str" cm="1">
        <f t="array" ref="AV23">_xlfn.XLOOKUP(TRUE, EXACT(Table27[[#This Row],[D]], Table27[orig]), Table27[D])</f>
        <v>F</v>
      </c>
      <c r="AW23" t="str" cm="1">
        <f t="array" ref="AW23">_xlfn.XLOOKUP(TRUE, EXACT(Table27[[#This Row],[D2]], Table27[orig]), Table27[D])</f>
        <v>F</v>
      </c>
      <c r="AX23" t="str" cm="1">
        <f t="array" ref="AX23">_xlfn.XLOOKUP(TRUE, EXACT(Table27[[#This Row],[u-lower]], Table27[orig]), Table27[U''])</f>
        <v>F</v>
      </c>
      <c r="AY23" t="str" cm="1">
        <f t="array" ref="AY23">_xlfn.XLOOKUP(TRUE, EXACT(Table27[[#This Row],[H]], Table27[orig]), Table27[H])</f>
        <v>F</v>
      </c>
      <c r="AZ23" t="str" cm="1">
        <f t="array" ref="AZ23">_xlfn.XLOOKUP(TRUE, EXACT(Table27[[#This Row],[H2]], Table27[orig]), Table27[H])</f>
        <v>F</v>
      </c>
      <c r="BA23" t="str" cm="1">
        <f t="array" ref="BA23">_xlfn.XLOOKUP(TRUE, EXACT(Table27[[#This Row],[Y]], Table27[orig]), Table27[D])</f>
        <v>R</v>
      </c>
      <c r="BB23" t="str" cm="1">
        <f t="array" ref="BB23">_xlfn.XLOOKUP(TRUE, EXACT(Table27[[#This Row],[u-lower]], Table27[orig]), Table27[u-lower])</f>
        <v>N</v>
      </c>
      <c r="BC23" t="str" cm="1">
        <f t="array" ref="BC23">_xlfn.XLOOKUP(TRUE, EXACT(Table27[[#This Row],[u2-lower]], Table27[orig]), Table27[u-lower])</f>
        <v>J</v>
      </c>
      <c r="BD23" t="str" cm="1">
        <f t="array" ref="BD23">_xlfn.XLOOKUP(TRUE, EXACT(Table27[[#This Row],[Y'']], Table27[orig]), Table27[U])</f>
        <v>F</v>
      </c>
      <c r="BE23" t="str" cm="1">
        <f t="array" ref="BE23">_xlfn.XLOOKUP(TRUE, EXACT(Table27[[#This Row],[d-lower]], Table27[orig]), Table27[d-lower])</f>
        <v>F</v>
      </c>
      <c r="BF23" t="str" cm="1">
        <f t="array" ref="BF23">_xlfn.XLOOKUP(TRUE, EXACT(Table27[[#This Row],[d2-lower]], Table27[orig]), Table27[d-lower])</f>
        <v>F</v>
      </c>
      <c r="BG23" t="str" cm="1">
        <f t="array" ref="BG23">_xlfn.XLOOKUP(TRUE, EXACT(Table27[[#This Row],[U]], Table27[orig]), Table27[D''])</f>
        <v>R</v>
      </c>
      <c r="BH23" t="str" cm="1">
        <f t="array" ref="BH23">_xlfn.XLOOKUP(TRUE, EXACT(Table27[[#This Row],[UD'']], Table27[orig]), Table27[UD''])</f>
        <v>N</v>
      </c>
      <c r="BI23" t="str" cm="1">
        <f t="array" ref="BI23">_xlfn.XLOOKUP(TRUE, EXACT(Table27[[#This Row],[U2D2]], Table27[orig]), Table27[UD''])</f>
        <v>J</v>
      </c>
      <c r="BJ23" t="str">
        <f>Table29[[#This Row],[F]]</f>
        <v>C</v>
      </c>
      <c r="BK23" t="str" cm="1">
        <f t="array" ref="BK23">_xlfn.XLOOKUP(TRUE, EXACT(Table27[[#This Row],[F]], Table27[orig]), Table27[F])</f>
        <v>P</v>
      </c>
      <c r="BL23" t="str" cm="1">
        <f t="array" ref="BL23">_xlfn.XLOOKUP(TRUE, EXACT(Table27[[#This Row],[F2]], Table27[orig]), Table27[F])</f>
        <v>U</v>
      </c>
      <c r="BM23" t="str" cm="1">
        <f t="array" ref="BM23">_xlfn.XLOOKUP(TRUE, EXACT(_xlfn.XLOOKUP(TRUE, EXACT(Table27[[#This Row],[X2]], Table27[orig]), Table27[F]), Table27[orig]), Table27[X2])</f>
        <v>F</v>
      </c>
      <c r="BN23" t="str" cm="1">
        <f t="array" ref="BN23">_xlfn.XLOOKUP(TRUE, EXACT(Table27[[#This Row],[B]], Table27[orig]), Table27[B])</f>
        <v>F</v>
      </c>
      <c r="BO23" t="str" cm="1">
        <f t="array" ref="BO23">_xlfn.XLOOKUP(TRUE, EXACT(Table27[[#This Row],[B2]], Table27[orig]), Table27[B])</f>
        <v>F</v>
      </c>
      <c r="BP23" t="str" cm="1">
        <f t="array" ref="BP23">_xlfn.XLOOKUP(TRUE, EXACT(Table27[[#This Row],[f-lower]], Table27[orig]), Table27[F''])</f>
        <v>F</v>
      </c>
      <c r="BQ23" t="str" cm="1">
        <f t="array" ref="BQ23">_xlfn.XLOOKUP(TRUE, EXACT(Table27[[#This Row],[S]], Table27[orig]), Table27[S])</f>
        <v>F</v>
      </c>
      <c r="BR23" t="str" cm="1">
        <f t="array" ref="BR23">_xlfn.XLOOKUP(TRUE, EXACT(Table27[[#This Row],[S2]], Table27[orig]), Table27[S])</f>
        <v>F</v>
      </c>
      <c r="BS23" t="str" cm="1">
        <f t="array" ref="BS23">_xlfn.XLOOKUP(TRUE, EXACT(Table27[[#This Row],[Z]], Table27[orig]), Table27[B])</f>
        <v>C</v>
      </c>
      <c r="BT23" t="str" cm="1">
        <f t="array" ref="BT23">_xlfn.XLOOKUP(TRUE, EXACT(Table27[[#This Row],[f-lower]], Table27[orig]), Table27[f-lower])</f>
        <v>P</v>
      </c>
      <c r="BU23" t="str" cm="1">
        <f t="array" ref="BU23">_xlfn.XLOOKUP(TRUE, EXACT(Table27[[#This Row],[f2-lower]], Table27[orig]), Table27[f-lower])</f>
        <v>U</v>
      </c>
      <c r="BV23" t="str" cm="1">
        <f t="array" ref="BV23">_xlfn.XLOOKUP(TRUE, EXACT(Table27[[#This Row],[Z'']], Table27[orig]), Table27[F])</f>
        <v>F</v>
      </c>
      <c r="BW23" t="str" cm="1">
        <f t="array" ref="BW23">_xlfn.XLOOKUP(TRUE, EXACT(Table27[[#This Row],[b-lower]], Table27[orig]), Table27[b-lower])</f>
        <v>F</v>
      </c>
      <c r="BX23" t="str" cm="1">
        <f t="array" ref="BX23">_xlfn.XLOOKUP(TRUE, EXACT(Table27[[#This Row],[b2-lower]], Table27[orig]), Table27[b-lower])</f>
        <v>F</v>
      </c>
      <c r="BY23" t="str" cm="1">
        <f t="array" ref="BY23">_xlfn.XLOOKUP(TRUE, EXACT(Table27[[#This Row],[F]], Table27[orig]), Table27[B''])</f>
        <v>C</v>
      </c>
      <c r="BZ23" t="str" cm="1">
        <f t="array" ref="BZ23">_xlfn.XLOOKUP(TRUE, EXACT(Table27[[#This Row],[FB'']], Table27[orig]), Table27[FB''])</f>
        <v>P</v>
      </c>
      <c r="CA23" t="str" cm="1">
        <f t="array" ref="CA23">_xlfn.XLOOKUP(TRUE, EXACT(Table27[[#This Row],[F2B2]], Table27[orig]), Table27[FB''])</f>
        <v>U</v>
      </c>
      <c r="CD23" t="s">
        <v>45</v>
      </c>
      <c r="CE23" t="str">
        <f>Table28[[#This Row],[orig]]</f>
        <v>F</v>
      </c>
      <c r="CF23" t="str">
        <f>Table29[[#This Row],[X]]</f>
        <v>E</v>
      </c>
      <c r="CG23" t="str" cm="1">
        <f t="array" ref="CG23">_xlfn.XLOOKUP(TRUE, EXACT(Table28[[#This Row],[X]], Table28[orig]), Table28[X])</f>
        <v>H</v>
      </c>
      <c r="CH23" t="str" cm="1">
        <f t="array" ref="CH23">_xlfn.XLOOKUP(TRUE, EXACT(Table28[[#This Row],[X2]], Table28[orig]), Table28[X])</f>
        <v>G</v>
      </c>
      <c r="CI23" t="str">
        <f>Table29[[#This Row],[Y]]</f>
        <v>R</v>
      </c>
      <c r="CJ23" t="str" cm="1">
        <f t="array" ref="CJ23">_xlfn.XLOOKUP(TRUE, EXACT(Table28[[#This Row],[Y]], Table28[orig]), Table28[Y])</f>
        <v>N</v>
      </c>
      <c r="CK23" t="str" cm="1">
        <f t="array" ref="CK23">_xlfn.XLOOKUP(TRUE, EXACT(Table28[[#This Row],[Y2]], Table28[orig]), Table28[Y])</f>
        <v>J</v>
      </c>
      <c r="CL23" t="str">
        <f>Table29[[#This Row],[Z]]</f>
        <v>C</v>
      </c>
      <c r="CM23" t="str" cm="1">
        <f t="array" ref="CM23">_xlfn.XLOOKUP(TRUE, EXACT(Table28[[#This Row],[Z]], Table28[orig]), Table28[Z])</f>
        <v>P</v>
      </c>
      <c r="CN23" t="str" cm="1">
        <f t="array" ref="CN23">_xlfn.XLOOKUP(TRUE, EXACT(Table28[[#This Row],[Z2]], Table28[orig]), Table28[Z])</f>
        <v>U</v>
      </c>
      <c r="CO23" t="str" cm="1">
        <f t="array" ref="CO23">_xlfn.XLOOKUP(TRUE, EXACT(Table28[[#This Row],[Z]], Table28[orig]), Table28[X])</f>
        <v>Q</v>
      </c>
      <c r="CP23" t="str" cm="1">
        <f t="array" ref="CP23">_xlfn.XLOOKUP(TRUE, EXACT(Table28[[#This Row],[Y'']], Table28[orig]), Table28[X''])</f>
        <v>V</v>
      </c>
      <c r="CQ23" t="str" cm="1">
        <f t="array" ref="CQ23">_xlfn.XLOOKUP(TRUE, EXACT(Table28[[#This Row],[Y]], Table28[orig]), Table28[X''])</f>
        <v>D</v>
      </c>
      <c r="CR23" t="str" cm="1">
        <f t="array" ref="CR23">_xlfn.XLOOKUP(TRUE, EXACT(Table28[[#This Row],[Z'']], Table28[orig]), Table28[X])</f>
        <v>I</v>
      </c>
      <c r="CS23" t="str" cm="1">
        <f t="array" ref="CS23">_xlfn.XLOOKUP(TRUE, EXACT(Table28[[#This Row],[Z'']], Table28[orig]), Table28[X''])</f>
        <v>S</v>
      </c>
      <c r="CT23" t="str" cm="1">
        <f t="array" ref="CT23">_xlfn.XLOOKUP(TRUE, EXACT(Table28[[#This Row],[Y'']], Table28[orig]), Table28[X])</f>
        <v>B</v>
      </c>
      <c r="CU23" t="str" cm="1">
        <f t="array" ref="CU23">_xlfn.XLOOKUP(TRUE, EXACT(Table28[[#This Row],[Y]], Table28[orig]), Table28[X])</f>
        <v>X</v>
      </c>
      <c r="CV23" t="str" cm="1">
        <f t="array" ref="CV23">_xlfn.XLOOKUP(TRUE, EXACT(Table28[[#This Row],[Z]], Table28[orig]), Table28[X''])</f>
        <v>K</v>
      </c>
      <c r="CW23" t="str" cm="1">
        <f t="array" ref="CW23">_xlfn.XLOOKUP(TRUE, EXACT(Table28[[#This Row],[Y'']], Table28[orig]), Table28[X2])</f>
        <v>T</v>
      </c>
      <c r="CX23" t="str" cm="1">
        <f t="array" ref="CX23">_xlfn.XLOOKUP(TRUE, EXACT(Table28[[#This Row],[Y]], Table28[orig]), Table28[X2])</f>
        <v>L</v>
      </c>
      <c r="CY23" t="str" cm="1">
        <f t="array" ref="CY23">_xlfn.XLOOKUP(TRUE, EXACT(Table28[[#This Row],[Z]], Table28[orig]), Table28[X2])</f>
        <v>W</v>
      </c>
      <c r="CZ23" t="str" cm="1">
        <f t="array" ref="CZ23">_xlfn.XLOOKUP(TRUE, EXACT(Table28[[#This Row],[Z'']], Table28[orig]), Table28[X2])</f>
        <v>A</v>
      </c>
      <c r="DA23" t="str" cm="1">
        <f t="array" ref="DA23">_xlfn.XLOOKUP(TRUE, EXACT(Table28[[#This Row],[Z2]], Table28[orig]), Table28[X])</f>
        <v>M</v>
      </c>
      <c r="DB23" t="str" cm="1">
        <f t="array" ref="DB23">_xlfn.XLOOKUP(TRUE, EXACT(Table28[[#This Row],[Z2]], Table28[orig]), Table28[X''])</f>
        <v>O</v>
      </c>
      <c r="DE23" s="4" t="s">
        <v>45</v>
      </c>
      <c r="DF23" s="4" t="str" cm="1">
        <f t="array" ref="DF23">_xlfn.XLOOKUP(TRUE, EXACT(Table28[[#This Row],[I]], Table29[orig]), Table29[T-reflection])</f>
        <v>M</v>
      </c>
      <c r="DG23" s="4" t="str" cm="1">
        <f t="array" ref="DG23">_xlfn.XLOOKUP(TRUE, EXACT(Table28[[#This Row],[X]], Table29[orig]), Table29[T-reflection])</f>
        <v>N</v>
      </c>
      <c r="DH23" t="str" cm="1">
        <f t="array" ref="DH23">_xlfn.XLOOKUP(TRUE, EXACT(Table28[[#This Row],[X2]], Table29[orig]), Table29[T-reflection])</f>
        <v>O</v>
      </c>
      <c r="DI23" t="str" cm="1">
        <f t="array" ref="DI23">_xlfn.XLOOKUP(TRUE, EXACT(Table28[[#This Row],[X'']], Table29[orig]), Table29[T-reflection])</f>
        <v>P</v>
      </c>
      <c r="DJ23" s="4" t="str" cm="1">
        <f t="array" ref="DJ23">_xlfn.XLOOKUP(TRUE, EXACT(Table28[[#This Row],[Y]], Table29[orig]), Table29[T-reflection])</f>
        <v>Q</v>
      </c>
      <c r="DK23" t="str" cm="1">
        <f t="array" ref="DK23">_xlfn.XLOOKUP(TRUE, EXACT(Table28[[#This Row],[Y2]], Table29[orig]), Table29[T-reflection])</f>
        <v>E</v>
      </c>
      <c r="DL23" t="str" cm="1">
        <f t="array" ref="DL23">_xlfn.XLOOKUP(TRUE, EXACT(Table28[[#This Row],[Y'']], Table29[orig]), Table29[T-reflection])</f>
        <v>I</v>
      </c>
      <c r="DM23" s="4" t="str" cm="1">
        <f t="array" ref="DM23">_xlfn.XLOOKUP(TRUE, EXACT(Table28[[#This Row],[Z]], Table29[orig]), Table29[T-reflection])</f>
        <v>D</v>
      </c>
      <c r="DN23" t="str" cm="1">
        <f t="array" ref="DN23">_xlfn.XLOOKUP(TRUE, EXACT(Table28[[#This Row],[Z2]], Table29[orig]), Table29[T-reflection])</f>
        <v>G</v>
      </c>
      <c r="DO23" t="str" cm="1">
        <f t="array" ref="DO23">_xlfn.XLOOKUP(TRUE, EXACT(Table28[[#This Row],[Z'']], Table29[orig]), Table29[T-reflection])</f>
        <v>V</v>
      </c>
      <c r="DP23" t="str" cm="1">
        <f t="array" ref="DP23">_xlfn.XLOOKUP(TRUE, EXACT(Table28[[#This Row],[Z X]], Table29[orig]), Table29[T-reflection])</f>
        <v>R</v>
      </c>
      <c r="DQ23" t="str" cm="1">
        <f t="array" ref="DQ23">_xlfn.XLOOKUP(TRUE, EXACT(Table28[[#This Row],[Y'' X'']], Table29[orig]), Table29[T-reflection])</f>
        <v>U</v>
      </c>
      <c r="DR23" t="str" cm="1">
        <f t="array" ref="DR23">_xlfn.XLOOKUP(TRUE, EXACT(Table28[[#This Row],[Y X'']], Table29[orig]), Table29[T-reflection])</f>
        <v>C</v>
      </c>
      <c r="DS23" t="str" cm="1">
        <f t="array" ref="DS23">_xlfn.XLOOKUP(TRUE, EXACT(Table28[[#This Row],[Z'' X]], Table29[orig]), Table29[T-reflection])</f>
        <v>J</v>
      </c>
      <c r="DT23" t="str" cm="1">
        <f t="array" ref="DT23">_xlfn.XLOOKUP(TRUE, EXACT(Table28[[#This Row],[Z'' X'']], Table29[orig]), Table29[T-reflection])</f>
        <v>T</v>
      </c>
      <c r="DU23" t="str" cm="1">
        <f t="array" ref="DU23">_xlfn.XLOOKUP(TRUE, EXACT(Table28[[#This Row],[Y'' X]], Table29[orig]), Table29[T-reflection])</f>
        <v>A</v>
      </c>
      <c r="DV23" t="str" cm="1">
        <f t="array" ref="DV23">_xlfn.XLOOKUP(TRUE, EXACT(Table28[[#This Row],[Y X]], Table29[orig]), Table29[T-reflection])</f>
        <v>W</v>
      </c>
      <c r="DW23" t="str" cm="1">
        <f t="array" ref="DW23">_xlfn.XLOOKUP(TRUE, EXACT(Table28[[#This Row],[Z X'']], Table29[orig]), Table29[T-reflection])</f>
        <v>L</v>
      </c>
      <c r="DX23" t="str" cm="1">
        <f t="array" ref="DX23">_xlfn.XLOOKUP(TRUE, EXACT(Table28[[#This Row],[Y'' X2]], Table29[orig]), Table29[T-reflection])</f>
        <v>S</v>
      </c>
      <c r="DY23" t="str" cm="1">
        <f t="array" ref="DY23">_xlfn.XLOOKUP(TRUE, EXACT(Table28[[#This Row],[Y X2]], Table29[orig]), Table29[T-reflection])</f>
        <v>K</v>
      </c>
      <c r="DZ23" t="str" cm="1">
        <f t="array" ref="DZ23">_xlfn.XLOOKUP(TRUE, EXACT(Table28[[#This Row],[Z X2]], Table29[orig]), Table29[T-reflection])</f>
        <v>X</v>
      </c>
      <c r="EA23" t="str" cm="1">
        <f t="array" ref="EA23">_xlfn.XLOOKUP(TRUE, EXACT(Table28[[#This Row],[Z'' X2]], Table29[orig]), Table29[T-reflection])</f>
        <v>B</v>
      </c>
      <c r="EB23" t="str" cm="1">
        <f t="array" ref="EB23">_xlfn.XLOOKUP(TRUE, EXACT(Table28[[#This Row],[Z2 X]], Table29[orig]), Table29[T-reflection])</f>
        <v>F</v>
      </c>
      <c r="EC23" t="str" cm="1">
        <f t="array" ref="EC23">_xlfn.XLOOKUP(TRUE, EXACT(Table28[[#This Row],[Z2 X'']], Table29[orig]), Table29[T-reflection])</f>
        <v>H</v>
      </c>
    </row>
    <row r="24" spans="1:164" x14ac:dyDescent="0.2">
      <c r="B24" t="s">
        <v>61</v>
      </c>
      <c r="C24" t="s">
        <v>61</v>
      </c>
      <c r="D24" t="s">
        <v>45</v>
      </c>
      <c r="E24" t="s">
        <v>51</v>
      </c>
      <c r="F24" t="s">
        <v>40</v>
      </c>
      <c r="G24" t="s">
        <v>77</v>
      </c>
      <c r="H24" t="s">
        <v>45</v>
      </c>
      <c r="I24" t="s">
        <v>59</v>
      </c>
      <c r="J24" t="s">
        <v>61</v>
      </c>
      <c r="K24" t="s">
        <v>61</v>
      </c>
      <c r="L24" t="s">
        <v>40</v>
      </c>
      <c r="O24" t="s">
        <v>61</v>
      </c>
      <c r="P24" t="str">
        <f>Table27[[#This Row],[orig]]</f>
        <v>G</v>
      </c>
      <c r="Q24" t="str">
        <f>Table29[[#This Row],[X]]</f>
        <v>F</v>
      </c>
      <c r="R24" t="str" cm="1">
        <f t="array" ref="R24">_xlfn.XLOOKUP(TRUE, EXACT(Table27[[#This Row],[X]], Table27[orig]), Table27[X])</f>
        <v>E</v>
      </c>
      <c r="S24" t="str" cm="1">
        <f t="array" ref="S24">_xlfn.XLOOKUP(TRUE, EXACT(Table27[[#This Row],[X2]], Table27[orig]), Table27[X])</f>
        <v>H</v>
      </c>
      <c r="T24" t="str">
        <f>Table29[[#This Row],[Y]]</f>
        <v>S</v>
      </c>
      <c r="U24" t="str" cm="1">
        <f t="array" ref="U24">_xlfn.XLOOKUP(TRUE, EXACT(Table27[[#This Row],[Y]], Table27[orig]), Table27[Y])</f>
        <v>O</v>
      </c>
      <c r="V24" t="str" cm="1">
        <f t="array" ref="V24">_xlfn.XLOOKUP(TRUE, EXACT(Table27[[#This Row],[Y2]], Table27[orig]), Table27[Y])</f>
        <v>K</v>
      </c>
      <c r="W24" t="str">
        <f>Table29[[#This Row],[Z]]</f>
        <v>D</v>
      </c>
      <c r="X24" t="str" cm="1">
        <f t="array" ref="X24">_xlfn.XLOOKUP(TRUE, EXACT(Table27[[#This Row],[Z]], Table27[orig]), Table27[Z])</f>
        <v>M</v>
      </c>
      <c r="Y24" t="str" cm="1">
        <f t="array" ref="Y24">_xlfn.XLOOKUP(TRUE, EXACT(Table27[[#This Row],[Z2]], Table27[orig]), Table27[Z])</f>
        <v>V</v>
      </c>
      <c r="Z24" t="str">
        <f>Table29[[#This Row],[R]]</f>
        <v>G</v>
      </c>
      <c r="AA24" t="str" cm="1">
        <f t="array" ref="AA24">_xlfn.XLOOKUP(TRUE, EXACT(Table27[[#This Row],[R]], Table27[orig]), Table27[R])</f>
        <v>G</v>
      </c>
      <c r="AB24" t="str" cm="1">
        <f t="array" ref="AB24">_xlfn.XLOOKUP(TRUE, EXACT(Table27[[#This Row],[R2]], Table27[orig]), Table27[R])</f>
        <v>G</v>
      </c>
      <c r="AC24" t="str" cm="1">
        <f t="array" ref="AC24">_xlfn.XLOOKUP(TRUE, EXACT(_xlfn.XLOOKUP(TRUE, EXACT(Table27[[#This Row],[Y2]], Table27[orig]), Table27[R]), Table27[orig]), Table27[Y2])</f>
        <v>H</v>
      </c>
      <c r="AD24" t="str" cm="1">
        <f t="array" ref="AD24">_xlfn.XLOOKUP(TRUE, EXACT(Table27[[#This Row],[L]], Table27[orig]), Table27[L])</f>
        <v>E</v>
      </c>
      <c r="AE24" t="str" cm="1">
        <f t="array" ref="AE24">_xlfn.XLOOKUP(TRUE, EXACT(Table27[[#This Row],[L2]], Table27[orig]), Table27[L])</f>
        <v>F</v>
      </c>
      <c r="AF24" t="str" cm="1">
        <f t="array" ref="AF24">_xlfn.XLOOKUP(TRUE, EXACT(Table27[[#This Row],[r-lower]], Table27[orig]), Table27[R''])</f>
        <v>G</v>
      </c>
      <c r="AG24" t="str" cm="1">
        <f t="array" ref="AG24">_xlfn.XLOOKUP(TRUE, EXACT(Table27[[#This Row],[T]], Table27[orig]), Table27[T])</f>
        <v>G</v>
      </c>
      <c r="AH24" t="str" cm="1">
        <f t="array" ref="AH24">_xlfn.XLOOKUP(TRUE, EXACT(Table27[[#This Row],[T2]], Table27[orig]), Table27[T])</f>
        <v>G</v>
      </c>
      <c r="AI24" t="str" cm="1">
        <f t="array" ref="AI24">_xlfn.XLOOKUP(TRUE, EXACT(Table27[[#This Row],[X]], Table27[orig]), Table27[L])</f>
        <v>G</v>
      </c>
      <c r="AJ24" t="str" cm="1">
        <f t="array" ref="AJ24">_xlfn.XLOOKUP(TRUE, EXACT(Table27[[#This Row],[r-lower]], Table27[orig]), Table27[r-lower])</f>
        <v>G</v>
      </c>
      <c r="AK24" t="str" cm="1">
        <f t="array" ref="AK24">_xlfn.XLOOKUP(TRUE, EXACT(Table27[[#This Row],[r2-lower]], Table27[orig]), Table27[r-lower])</f>
        <v>G</v>
      </c>
      <c r="AL24" t="str" cm="1">
        <f t="array" ref="AL24">_xlfn.XLOOKUP(TRUE, EXACT(Table27[[#This Row],[X'']], Table27[orig]), Table27[R])</f>
        <v>H</v>
      </c>
      <c r="AM24" t="str" cm="1">
        <f t="array" ref="AM24">_xlfn.XLOOKUP(TRUE, EXACT(Table27[[#This Row],[l-lower]], Table27[orig]), Table27[l-lower])</f>
        <v>E</v>
      </c>
      <c r="AN24" t="str" cm="1">
        <f t="array" ref="AN24">_xlfn.XLOOKUP(TRUE, EXACT(Table27[[#This Row],[l2-lower]], Table27[orig]), Table27[l-lower])</f>
        <v>F</v>
      </c>
      <c r="AO24" t="str" cm="1">
        <f t="array" ref="AO24">_xlfn.XLOOKUP(TRUE, EXACT(Table27[[#This Row],[R]], Table27[orig]), Table27[L''])</f>
        <v>F</v>
      </c>
      <c r="AP24" t="str" cm="1">
        <f t="array" ref="AP24">_xlfn.XLOOKUP(TRUE, EXACT(Table27[[#This Row],[RL'']], Table27[orig]), Table27[RL''])</f>
        <v>E</v>
      </c>
      <c r="AQ24" t="str" cm="1">
        <f t="array" ref="AQ24">_xlfn.XLOOKUP(TRUE, EXACT(Table27[[#This Row],[R2L2]], Table27[orig]), Table27[RL''])</f>
        <v>H</v>
      </c>
      <c r="AR24" t="str">
        <f>Table29[[#This Row],[U]]</f>
        <v>G</v>
      </c>
      <c r="AS24" t="str" cm="1">
        <f t="array" ref="AS24">_xlfn.XLOOKUP(TRUE, EXACT(Table27[[#This Row],[U]], Table27[orig]), Table27[U])</f>
        <v>G</v>
      </c>
      <c r="AT24" t="str" cm="1">
        <f t="array" ref="AT24">_xlfn.XLOOKUP(TRUE, EXACT(Table27[[#This Row],[U2]], Table27[orig]), Table27[U])</f>
        <v>G</v>
      </c>
      <c r="AU24" t="str" cm="1">
        <f t="array" ref="AU24">_xlfn.XLOOKUP(TRUE, EXACT(_xlfn.XLOOKUP(TRUE, EXACT(Table27[[#This Row],[Z2]], Table27[orig]), Table27[U]), Table27[orig]), Table27[Z2])</f>
        <v>K</v>
      </c>
      <c r="AV24" t="str" cm="1">
        <f t="array" ref="AV24">_xlfn.XLOOKUP(TRUE, EXACT(Table27[[#This Row],[D]], Table27[orig]), Table27[D])</f>
        <v>O</v>
      </c>
      <c r="AW24" t="str" cm="1">
        <f t="array" ref="AW24">_xlfn.XLOOKUP(TRUE, EXACT(Table27[[#This Row],[D2]], Table27[orig]), Table27[D])</f>
        <v>S</v>
      </c>
      <c r="AX24" t="str" cm="1">
        <f t="array" ref="AX24">_xlfn.XLOOKUP(TRUE, EXACT(Table27[[#This Row],[u-lower]], Table27[orig]), Table27[U''])</f>
        <v>G</v>
      </c>
      <c r="AY24" t="str" cm="1">
        <f t="array" ref="AY24">_xlfn.XLOOKUP(TRUE, EXACT(Table27[[#This Row],[H]], Table27[orig]), Table27[H])</f>
        <v>G</v>
      </c>
      <c r="AZ24" t="str" cm="1">
        <f t="array" ref="AZ24">_xlfn.XLOOKUP(TRUE, EXACT(Table27[[#This Row],[H2]], Table27[orig]), Table27[H])</f>
        <v>G</v>
      </c>
      <c r="BA24" t="str" cm="1">
        <f t="array" ref="BA24">_xlfn.XLOOKUP(TRUE, EXACT(Table27[[#This Row],[Y]], Table27[orig]), Table27[D])</f>
        <v>G</v>
      </c>
      <c r="BB24" t="str" cm="1">
        <f t="array" ref="BB24">_xlfn.XLOOKUP(TRUE, EXACT(Table27[[#This Row],[u-lower]], Table27[orig]), Table27[u-lower])</f>
        <v>G</v>
      </c>
      <c r="BC24" t="str" cm="1">
        <f t="array" ref="BC24">_xlfn.XLOOKUP(TRUE, EXACT(Table27[[#This Row],[u2-lower]], Table27[orig]), Table27[u-lower])</f>
        <v>G</v>
      </c>
      <c r="BD24" t="str" cm="1">
        <f t="array" ref="BD24">_xlfn.XLOOKUP(TRUE, EXACT(Table27[[#This Row],[Y'']], Table27[orig]), Table27[U])</f>
        <v>K</v>
      </c>
      <c r="BE24" t="str" cm="1">
        <f t="array" ref="BE24">_xlfn.XLOOKUP(TRUE, EXACT(Table27[[#This Row],[d-lower]], Table27[orig]), Table27[d-lower])</f>
        <v>O</v>
      </c>
      <c r="BF24" t="str" cm="1">
        <f t="array" ref="BF24">_xlfn.XLOOKUP(TRUE, EXACT(Table27[[#This Row],[d2-lower]], Table27[orig]), Table27[d-lower])</f>
        <v>S</v>
      </c>
      <c r="BG24" t="str" cm="1">
        <f t="array" ref="BG24">_xlfn.XLOOKUP(TRUE, EXACT(Table27[[#This Row],[U]], Table27[orig]), Table27[D''])</f>
        <v>S</v>
      </c>
      <c r="BH24" t="str" cm="1">
        <f t="array" ref="BH24">_xlfn.XLOOKUP(TRUE, EXACT(Table27[[#This Row],[UD'']], Table27[orig]), Table27[UD''])</f>
        <v>O</v>
      </c>
      <c r="BI24" t="str" cm="1">
        <f t="array" ref="BI24">_xlfn.XLOOKUP(TRUE, EXACT(Table27[[#This Row],[U2D2]], Table27[orig]), Table27[UD''])</f>
        <v>K</v>
      </c>
      <c r="BJ24" t="str">
        <f>Table29[[#This Row],[F]]</f>
        <v>D</v>
      </c>
      <c r="BK24" t="str" cm="1">
        <f t="array" ref="BK24">_xlfn.XLOOKUP(TRUE, EXACT(Table27[[#This Row],[F]], Table27[orig]), Table27[F])</f>
        <v>M</v>
      </c>
      <c r="BL24" t="str" cm="1">
        <f t="array" ref="BL24">_xlfn.XLOOKUP(TRUE, EXACT(Table27[[#This Row],[F2]], Table27[orig]), Table27[F])</f>
        <v>V</v>
      </c>
      <c r="BM24" t="str" cm="1">
        <f t="array" ref="BM24">_xlfn.XLOOKUP(TRUE, EXACT(_xlfn.XLOOKUP(TRUE, EXACT(Table27[[#This Row],[X2]], Table27[orig]), Table27[F]), Table27[orig]), Table27[X2])</f>
        <v>G</v>
      </c>
      <c r="BN24" t="str" cm="1">
        <f t="array" ref="BN24">_xlfn.XLOOKUP(TRUE, EXACT(Table27[[#This Row],[B]], Table27[orig]), Table27[B])</f>
        <v>G</v>
      </c>
      <c r="BO24" t="str" cm="1">
        <f t="array" ref="BO24">_xlfn.XLOOKUP(TRUE, EXACT(Table27[[#This Row],[B2]], Table27[orig]), Table27[B])</f>
        <v>G</v>
      </c>
      <c r="BP24" t="str" cm="1">
        <f t="array" ref="BP24">_xlfn.XLOOKUP(TRUE, EXACT(Table27[[#This Row],[f-lower]], Table27[orig]), Table27[F''])</f>
        <v>G</v>
      </c>
      <c r="BQ24" t="str" cm="1">
        <f t="array" ref="BQ24">_xlfn.XLOOKUP(TRUE, EXACT(Table27[[#This Row],[S]], Table27[orig]), Table27[S])</f>
        <v>G</v>
      </c>
      <c r="BR24" t="str" cm="1">
        <f t="array" ref="BR24">_xlfn.XLOOKUP(TRUE, EXACT(Table27[[#This Row],[S2]], Table27[orig]), Table27[S])</f>
        <v>G</v>
      </c>
      <c r="BS24" t="str" cm="1">
        <f t="array" ref="BS24">_xlfn.XLOOKUP(TRUE, EXACT(Table27[[#This Row],[Z]], Table27[orig]), Table27[B])</f>
        <v>D</v>
      </c>
      <c r="BT24" t="str" cm="1">
        <f t="array" ref="BT24">_xlfn.XLOOKUP(TRUE, EXACT(Table27[[#This Row],[f-lower]], Table27[orig]), Table27[f-lower])</f>
        <v>M</v>
      </c>
      <c r="BU24" t="str" cm="1">
        <f t="array" ref="BU24">_xlfn.XLOOKUP(TRUE, EXACT(Table27[[#This Row],[f2-lower]], Table27[orig]), Table27[f-lower])</f>
        <v>V</v>
      </c>
      <c r="BV24" t="str" cm="1">
        <f t="array" ref="BV24">_xlfn.XLOOKUP(TRUE, EXACT(Table27[[#This Row],[Z'']], Table27[orig]), Table27[F])</f>
        <v>G</v>
      </c>
      <c r="BW24" t="str" cm="1">
        <f t="array" ref="BW24">_xlfn.XLOOKUP(TRUE, EXACT(Table27[[#This Row],[b-lower]], Table27[orig]), Table27[b-lower])</f>
        <v>G</v>
      </c>
      <c r="BX24" t="str" cm="1">
        <f t="array" ref="BX24">_xlfn.XLOOKUP(TRUE, EXACT(Table27[[#This Row],[b2-lower]], Table27[orig]), Table27[b-lower])</f>
        <v>G</v>
      </c>
      <c r="BY24" t="str" cm="1">
        <f t="array" ref="BY24">_xlfn.XLOOKUP(TRUE, EXACT(Table27[[#This Row],[F]], Table27[orig]), Table27[B''])</f>
        <v>D</v>
      </c>
      <c r="BZ24" t="str" cm="1">
        <f t="array" ref="BZ24">_xlfn.XLOOKUP(TRUE, EXACT(Table27[[#This Row],[FB'']], Table27[orig]), Table27[FB''])</f>
        <v>M</v>
      </c>
      <c r="CA24" t="str" cm="1">
        <f t="array" ref="CA24">_xlfn.XLOOKUP(TRUE, EXACT(Table27[[#This Row],[F2B2]], Table27[orig]), Table27[FB''])</f>
        <v>V</v>
      </c>
      <c r="CD24" t="s">
        <v>61</v>
      </c>
      <c r="CE24" t="str">
        <f>Table28[[#This Row],[orig]]</f>
        <v>G</v>
      </c>
      <c r="CF24" t="str">
        <f>Table29[[#This Row],[X]]</f>
        <v>F</v>
      </c>
      <c r="CG24" t="str" cm="1">
        <f t="array" ref="CG24">_xlfn.XLOOKUP(TRUE, EXACT(Table28[[#This Row],[X]], Table28[orig]), Table28[X])</f>
        <v>E</v>
      </c>
      <c r="CH24" t="str" cm="1">
        <f t="array" ref="CH24">_xlfn.XLOOKUP(TRUE, EXACT(Table28[[#This Row],[X2]], Table28[orig]), Table28[X])</f>
        <v>H</v>
      </c>
      <c r="CI24" t="str">
        <f>Table29[[#This Row],[Y]]</f>
        <v>S</v>
      </c>
      <c r="CJ24" t="str" cm="1">
        <f t="array" ref="CJ24">_xlfn.XLOOKUP(TRUE, EXACT(Table28[[#This Row],[Y]], Table28[orig]), Table28[Y])</f>
        <v>O</v>
      </c>
      <c r="CK24" t="str" cm="1">
        <f t="array" ref="CK24">_xlfn.XLOOKUP(TRUE, EXACT(Table28[[#This Row],[Y2]], Table28[orig]), Table28[Y])</f>
        <v>K</v>
      </c>
      <c r="CL24" t="str">
        <f>Table29[[#This Row],[Z]]</f>
        <v>D</v>
      </c>
      <c r="CM24" t="str" cm="1">
        <f t="array" ref="CM24">_xlfn.XLOOKUP(TRUE, EXACT(Table28[[#This Row],[Z]], Table28[orig]), Table28[Z])</f>
        <v>M</v>
      </c>
      <c r="CN24" t="str" cm="1">
        <f t="array" ref="CN24">_xlfn.XLOOKUP(TRUE, EXACT(Table28[[#This Row],[Z2]], Table28[orig]), Table28[Z])</f>
        <v>V</v>
      </c>
      <c r="CO24" t="str" cm="1">
        <f t="array" ref="CO24">_xlfn.XLOOKUP(TRUE, EXACT(Table28[[#This Row],[Z]], Table28[orig]), Table28[X])</f>
        <v>R</v>
      </c>
      <c r="CP24" t="str" cm="1">
        <f t="array" ref="CP24">_xlfn.XLOOKUP(TRUE, EXACT(Table28[[#This Row],[Y'']], Table28[orig]), Table28[X''])</f>
        <v>W</v>
      </c>
      <c r="CQ24" t="str" cm="1">
        <f t="array" ref="CQ24">_xlfn.XLOOKUP(TRUE, EXACT(Table28[[#This Row],[Y]], Table28[orig]), Table28[X''])</f>
        <v>A</v>
      </c>
      <c r="CR24" t="str" cm="1">
        <f t="array" ref="CR24">_xlfn.XLOOKUP(TRUE, EXACT(Table28[[#This Row],[Z'']], Table28[orig]), Table28[X])</f>
        <v>J</v>
      </c>
      <c r="CS24" t="str" cm="1">
        <f t="array" ref="CS24">_xlfn.XLOOKUP(TRUE, EXACT(Table28[[#This Row],[Z'']], Table28[orig]), Table28[X''])</f>
        <v>T</v>
      </c>
      <c r="CT24" t="str" cm="1">
        <f t="array" ref="CT24">_xlfn.XLOOKUP(TRUE, EXACT(Table28[[#This Row],[Y'']], Table28[orig]), Table28[X])</f>
        <v>C</v>
      </c>
      <c r="CU24" t="str" cm="1">
        <f t="array" ref="CU24">_xlfn.XLOOKUP(TRUE, EXACT(Table28[[#This Row],[Y]], Table28[orig]), Table28[X])</f>
        <v>U</v>
      </c>
      <c r="CV24" t="str" cm="1">
        <f t="array" ref="CV24">_xlfn.XLOOKUP(TRUE, EXACT(Table28[[#This Row],[Z]], Table28[orig]), Table28[X''])</f>
        <v>L</v>
      </c>
      <c r="CW24" t="str" cm="1">
        <f t="array" ref="CW24">_xlfn.XLOOKUP(TRUE, EXACT(Table28[[#This Row],[Y'']], Table28[orig]), Table28[X2])</f>
        <v>Q</v>
      </c>
      <c r="CX24" t="str" cm="1">
        <f t="array" ref="CX24">_xlfn.XLOOKUP(TRUE, EXACT(Table28[[#This Row],[Y]], Table28[orig]), Table28[X2])</f>
        <v>I</v>
      </c>
      <c r="CY24" t="str" cm="1">
        <f t="array" ref="CY24">_xlfn.XLOOKUP(TRUE, EXACT(Table28[[#This Row],[Z]], Table28[orig]), Table28[X2])</f>
        <v>X</v>
      </c>
      <c r="CZ24" t="str" cm="1">
        <f t="array" ref="CZ24">_xlfn.XLOOKUP(TRUE, EXACT(Table28[[#This Row],[Z'']], Table28[orig]), Table28[X2])</f>
        <v>B</v>
      </c>
      <c r="DA24" t="str" cm="1">
        <f t="array" ref="DA24">_xlfn.XLOOKUP(TRUE, EXACT(Table28[[#This Row],[Z2]], Table28[orig]), Table28[X])</f>
        <v>N</v>
      </c>
      <c r="DB24" t="str" cm="1">
        <f t="array" ref="DB24">_xlfn.XLOOKUP(TRUE, EXACT(Table28[[#This Row],[Z2]], Table28[orig]), Table28[X''])</f>
        <v>P</v>
      </c>
      <c r="DE24" s="6" t="s">
        <v>61</v>
      </c>
      <c r="DF24" s="6" t="str" cm="1">
        <f t="array" ref="DF24">_xlfn.XLOOKUP(TRUE, EXACT(Table28[[#This Row],[I]], Table29[orig]), Table29[T-reflection])</f>
        <v>P</v>
      </c>
      <c r="DG24" s="6" t="str" cm="1">
        <f t="array" ref="DG24">_xlfn.XLOOKUP(TRUE, EXACT(Table28[[#This Row],[X]], Table29[orig]), Table29[T-reflection])</f>
        <v>M</v>
      </c>
      <c r="DH24" t="str" cm="1">
        <f t="array" ref="DH24">_xlfn.XLOOKUP(TRUE, EXACT(Table28[[#This Row],[X2]], Table29[orig]), Table29[T-reflection])</f>
        <v>N</v>
      </c>
      <c r="DI24" t="str" cm="1">
        <f t="array" ref="DI24">_xlfn.XLOOKUP(TRUE, EXACT(Table28[[#This Row],[X'']], Table29[orig]), Table29[T-reflection])</f>
        <v>O</v>
      </c>
      <c r="DJ24" s="6" t="str" cm="1">
        <f t="array" ref="DJ24">_xlfn.XLOOKUP(TRUE, EXACT(Table28[[#This Row],[Y]], Table29[orig]), Table29[T-reflection])</f>
        <v>T</v>
      </c>
      <c r="DK24" t="str" cm="1">
        <f t="array" ref="DK24">_xlfn.XLOOKUP(TRUE, EXACT(Table28[[#This Row],[Y2]], Table29[orig]), Table29[T-reflection])</f>
        <v>H</v>
      </c>
      <c r="DL24" t="str" cm="1">
        <f t="array" ref="DL24">_xlfn.XLOOKUP(TRUE, EXACT(Table28[[#This Row],[Y'']], Table29[orig]), Table29[T-reflection])</f>
        <v>L</v>
      </c>
      <c r="DM24" s="6" t="str" cm="1">
        <f t="array" ref="DM24">_xlfn.XLOOKUP(TRUE, EXACT(Table28[[#This Row],[Z]], Table29[orig]), Table29[T-reflection])</f>
        <v>C</v>
      </c>
      <c r="DN24" t="str" cm="1">
        <f t="array" ref="DN24">_xlfn.XLOOKUP(TRUE, EXACT(Table28[[#This Row],[Z2]], Table29[orig]), Table29[T-reflection])</f>
        <v>F</v>
      </c>
      <c r="DO24" t="str" cm="1">
        <f t="array" ref="DO24">_xlfn.XLOOKUP(TRUE, EXACT(Table28[[#This Row],[Z'']], Table29[orig]), Table29[T-reflection])</f>
        <v>U</v>
      </c>
      <c r="DP24" t="str" cm="1">
        <f t="array" ref="DP24">_xlfn.XLOOKUP(TRUE, EXACT(Table28[[#This Row],[Z X]], Table29[orig]), Table29[T-reflection])</f>
        <v>Q</v>
      </c>
      <c r="DQ24" t="str" cm="1">
        <f t="array" ref="DQ24">_xlfn.XLOOKUP(TRUE, EXACT(Table28[[#This Row],[Y'' X'']], Table29[orig]), Table29[T-reflection])</f>
        <v>X</v>
      </c>
      <c r="DR24" t="str" cm="1">
        <f t="array" ref="DR24">_xlfn.XLOOKUP(TRUE, EXACT(Table28[[#This Row],[Y X'']], Table29[orig]), Table29[T-reflection])</f>
        <v>B</v>
      </c>
      <c r="DS24" t="str" cm="1">
        <f t="array" ref="DS24">_xlfn.XLOOKUP(TRUE, EXACT(Table28[[#This Row],[Z'' X]], Table29[orig]), Table29[T-reflection])</f>
        <v>I</v>
      </c>
      <c r="DT24" t="str" cm="1">
        <f t="array" ref="DT24">_xlfn.XLOOKUP(TRUE, EXACT(Table28[[#This Row],[Z'' X'']], Table29[orig]), Table29[T-reflection])</f>
        <v>S</v>
      </c>
      <c r="DU24" t="str" cm="1">
        <f t="array" ref="DU24">_xlfn.XLOOKUP(TRUE, EXACT(Table28[[#This Row],[Y'' X]], Table29[orig]), Table29[T-reflection])</f>
        <v>D</v>
      </c>
      <c r="DV24" t="str" cm="1">
        <f t="array" ref="DV24">_xlfn.XLOOKUP(TRUE, EXACT(Table28[[#This Row],[Y X]], Table29[orig]), Table29[T-reflection])</f>
        <v>V</v>
      </c>
      <c r="DW24" t="str" cm="1">
        <f t="array" ref="DW24">_xlfn.XLOOKUP(TRUE, EXACT(Table28[[#This Row],[Z X'']], Table29[orig]), Table29[T-reflection])</f>
        <v>K</v>
      </c>
      <c r="DX24" t="str" cm="1">
        <f t="array" ref="DX24">_xlfn.XLOOKUP(TRUE, EXACT(Table28[[#This Row],[Y'' X2]], Table29[orig]), Table29[T-reflection])</f>
        <v>R</v>
      </c>
      <c r="DY24" t="str" cm="1">
        <f t="array" ref="DY24">_xlfn.XLOOKUP(TRUE, EXACT(Table28[[#This Row],[Y X2]], Table29[orig]), Table29[T-reflection])</f>
        <v>J</v>
      </c>
      <c r="DZ24" t="str" cm="1">
        <f t="array" ref="DZ24">_xlfn.XLOOKUP(TRUE, EXACT(Table28[[#This Row],[Z X2]], Table29[orig]), Table29[T-reflection])</f>
        <v>W</v>
      </c>
      <c r="EA24" t="str" cm="1">
        <f t="array" ref="EA24">_xlfn.XLOOKUP(TRUE, EXACT(Table28[[#This Row],[Z'' X2]], Table29[orig]), Table29[T-reflection])</f>
        <v>A</v>
      </c>
      <c r="EB24" t="str" cm="1">
        <f t="array" ref="EB24">_xlfn.XLOOKUP(TRUE, EXACT(Table28[[#This Row],[Z2 X]], Table29[orig]), Table29[T-reflection])</f>
        <v>E</v>
      </c>
      <c r="EC24" t="str" cm="1">
        <f t="array" ref="EC24">_xlfn.XLOOKUP(TRUE, EXACT(Table28[[#This Row],[Z2 X'']], Table29[orig]), Table29[T-reflection])</f>
        <v>G</v>
      </c>
    </row>
    <row r="25" spans="1:164" s="5" customFormat="1" ht="16" thickBot="1" x14ac:dyDescent="0.25">
      <c r="A25"/>
      <c r="B25" s="5" t="s">
        <v>59</v>
      </c>
      <c r="C25" s="5" t="s">
        <v>59</v>
      </c>
      <c r="D25" s="5" t="s">
        <v>61</v>
      </c>
      <c r="E25" s="5" t="s">
        <v>48</v>
      </c>
      <c r="F25" s="5" t="s">
        <v>37</v>
      </c>
      <c r="G25" s="5" t="s">
        <v>128</v>
      </c>
      <c r="H25" s="5" t="s">
        <v>126</v>
      </c>
      <c r="I25" s="5" t="s">
        <v>61</v>
      </c>
      <c r="J25" s="5" t="s">
        <v>59</v>
      </c>
      <c r="K25" s="5" t="s">
        <v>59</v>
      </c>
      <c r="L25" s="5" t="s">
        <v>59</v>
      </c>
      <c r="M25"/>
      <c r="N25"/>
      <c r="O25" s="5" t="s">
        <v>59</v>
      </c>
      <c r="P25" s="5" t="str">
        <f>Table27[[#This Row],[orig]]</f>
        <v>H</v>
      </c>
      <c r="Q25" s="5" t="str">
        <f>Table29[[#This Row],[X]]</f>
        <v>G</v>
      </c>
      <c r="R25" s="5" t="str" cm="1">
        <f t="array" ref="R25">_xlfn.XLOOKUP(TRUE, EXACT(Table27[[#This Row],[X]], Table27[orig]), Table27[X])</f>
        <v>F</v>
      </c>
      <c r="S25" s="5" t="str" cm="1">
        <f t="array" ref="S25">_xlfn.XLOOKUP(TRUE, EXACT(Table27[[#This Row],[X2]], Table27[orig]), Table27[X])</f>
        <v>E</v>
      </c>
      <c r="T25" s="5" t="str">
        <f>Table29[[#This Row],[Y]]</f>
        <v>T</v>
      </c>
      <c r="U25" s="5" t="str" cm="1">
        <f t="array" ref="U25">_xlfn.XLOOKUP(TRUE, EXACT(Table27[[#This Row],[Y]], Table27[orig]), Table27[Y])</f>
        <v>P</v>
      </c>
      <c r="V25" s="5" t="str" cm="1">
        <f t="array" ref="V25">_xlfn.XLOOKUP(TRUE, EXACT(Table27[[#This Row],[Y2]], Table27[orig]), Table27[Y])</f>
        <v>L</v>
      </c>
      <c r="W25" s="5" t="str">
        <f>Table29[[#This Row],[Z]]</f>
        <v>A</v>
      </c>
      <c r="X25" s="5" t="str" cm="1">
        <f t="array" ref="X25">_xlfn.XLOOKUP(TRUE, EXACT(Table27[[#This Row],[Z]], Table27[orig]), Table27[Z])</f>
        <v>N</v>
      </c>
      <c r="Y25" s="5" t="str" cm="1">
        <f t="array" ref="Y25">_xlfn.XLOOKUP(TRUE, EXACT(Table27[[#This Row],[Z2]], Table27[orig]), Table27[Z])</f>
        <v>W</v>
      </c>
      <c r="Z25" s="5" t="str">
        <f>Table29[[#This Row],[R]]</f>
        <v>H</v>
      </c>
      <c r="AA25" s="5" t="str" cm="1">
        <f t="array" ref="AA25">_xlfn.XLOOKUP(TRUE, EXACT(Table27[[#This Row],[R]], Table27[orig]), Table27[R])</f>
        <v>H</v>
      </c>
      <c r="AB25" s="5" t="str" cm="1">
        <f t="array" ref="AB25">_xlfn.XLOOKUP(TRUE, EXACT(Table27[[#This Row],[R2]], Table27[orig]), Table27[R])</f>
        <v>H</v>
      </c>
      <c r="AC25" s="5" t="str" cm="1">
        <f t="array" ref="AC25">_xlfn.XLOOKUP(TRUE, EXACT(_xlfn.XLOOKUP(TRUE, EXACT(Table27[[#This Row],[Y2]], Table27[orig]), Table27[R]), Table27[orig]), Table27[Y2])</f>
        <v>E</v>
      </c>
      <c r="AD25" s="5" t="str" cm="1">
        <f t="array" ref="AD25">_xlfn.XLOOKUP(TRUE, EXACT(Table27[[#This Row],[L]], Table27[orig]), Table27[L])</f>
        <v>F</v>
      </c>
      <c r="AE25" s="5" t="str" cm="1">
        <f t="array" ref="AE25">_xlfn.XLOOKUP(TRUE, EXACT(Table27[[#This Row],[L2]], Table27[orig]), Table27[L])</f>
        <v>G</v>
      </c>
      <c r="AF25" s="5" t="str" cm="1">
        <f t="array" ref="AF25">_xlfn.XLOOKUP(TRUE, EXACT(Table27[[#This Row],[r-lower]], Table27[orig]), Table27[R''])</f>
        <v>H</v>
      </c>
      <c r="AG25" s="5" t="str" cm="1">
        <f t="array" ref="AG25">_xlfn.XLOOKUP(TRUE, EXACT(Table27[[#This Row],[T]], Table27[orig]), Table27[T])</f>
        <v>H</v>
      </c>
      <c r="AH25" s="5" t="str" cm="1">
        <f t="array" ref="AH25">_xlfn.XLOOKUP(TRUE, EXACT(Table27[[#This Row],[T2]], Table27[orig]), Table27[T])</f>
        <v>H</v>
      </c>
      <c r="AI25" s="5" t="str" cm="1">
        <f t="array" ref="AI25">_xlfn.XLOOKUP(TRUE, EXACT(Table27[[#This Row],[X]], Table27[orig]), Table27[L])</f>
        <v>H</v>
      </c>
      <c r="AJ25" s="5" t="str" cm="1">
        <f t="array" ref="AJ25">_xlfn.XLOOKUP(TRUE, EXACT(Table27[[#This Row],[r-lower]], Table27[orig]), Table27[r-lower])</f>
        <v>H</v>
      </c>
      <c r="AK25" s="5" t="str" cm="1">
        <f t="array" ref="AK25">_xlfn.XLOOKUP(TRUE, EXACT(Table27[[#This Row],[r2-lower]], Table27[orig]), Table27[r-lower])</f>
        <v>H</v>
      </c>
      <c r="AL25" s="5" t="str" cm="1">
        <f t="array" ref="AL25">_xlfn.XLOOKUP(TRUE, EXACT(Table27[[#This Row],[X'']], Table27[orig]), Table27[R])</f>
        <v>E</v>
      </c>
      <c r="AM25" s="5" t="str" cm="1">
        <f t="array" ref="AM25">_xlfn.XLOOKUP(TRUE, EXACT(Table27[[#This Row],[l-lower]], Table27[orig]), Table27[l-lower])</f>
        <v>F</v>
      </c>
      <c r="AN25" s="5" t="str" cm="1">
        <f t="array" ref="AN25">_xlfn.XLOOKUP(TRUE, EXACT(Table27[[#This Row],[l2-lower]], Table27[orig]), Table27[l-lower])</f>
        <v>G</v>
      </c>
      <c r="AO25" s="5" t="str" cm="1">
        <f t="array" ref="AO25">_xlfn.XLOOKUP(TRUE, EXACT(Table27[[#This Row],[R]], Table27[orig]), Table27[L''])</f>
        <v>G</v>
      </c>
      <c r="AP25" s="5" t="str" cm="1">
        <f t="array" ref="AP25">_xlfn.XLOOKUP(TRUE, EXACT(Table27[[#This Row],[RL'']], Table27[orig]), Table27[RL''])</f>
        <v>F</v>
      </c>
      <c r="AQ25" s="5" t="str" cm="1">
        <f t="array" ref="AQ25">_xlfn.XLOOKUP(TRUE, EXACT(Table27[[#This Row],[R2L2]], Table27[orig]), Table27[RL''])</f>
        <v>E</v>
      </c>
      <c r="AR25" s="5" t="str">
        <f>Table29[[#This Row],[U]]</f>
        <v>H</v>
      </c>
      <c r="AS25" s="5" t="str" cm="1">
        <f t="array" ref="AS25">_xlfn.XLOOKUP(TRUE, EXACT(Table27[[#This Row],[U]], Table27[orig]), Table27[U])</f>
        <v>H</v>
      </c>
      <c r="AT25" s="5" t="str" cm="1">
        <f t="array" ref="AT25">_xlfn.XLOOKUP(TRUE, EXACT(Table27[[#This Row],[U2]], Table27[orig]), Table27[U])</f>
        <v>H</v>
      </c>
      <c r="AU25" s="5" t="str" cm="1">
        <f t="array" ref="AU25">_xlfn.XLOOKUP(TRUE, EXACT(_xlfn.XLOOKUP(TRUE, EXACT(Table27[[#This Row],[Z2]], Table27[orig]), Table27[U]), Table27[orig]), Table27[Z2])</f>
        <v>L</v>
      </c>
      <c r="AV25" s="5" t="str" cm="1">
        <f t="array" ref="AV25">_xlfn.XLOOKUP(TRUE, EXACT(Table27[[#This Row],[D]], Table27[orig]), Table27[D])</f>
        <v>P</v>
      </c>
      <c r="AW25" s="5" t="str" cm="1">
        <f t="array" ref="AW25">_xlfn.XLOOKUP(TRUE, EXACT(Table27[[#This Row],[D2]], Table27[orig]), Table27[D])</f>
        <v>T</v>
      </c>
      <c r="AX25" s="5" t="str" cm="1">
        <f t="array" ref="AX25">_xlfn.XLOOKUP(TRUE, EXACT(Table27[[#This Row],[u-lower]], Table27[orig]), Table27[U''])</f>
        <v>H</v>
      </c>
      <c r="AY25" s="5" t="str" cm="1">
        <f t="array" ref="AY25">_xlfn.XLOOKUP(TRUE, EXACT(Table27[[#This Row],[H]], Table27[orig]), Table27[H])</f>
        <v>H</v>
      </c>
      <c r="AZ25" s="5" t="str" cm="1">
        <f t="array" ref="AZ25">_xlfn.XLOOKUP(TRUE, EXACT(Table27[[#This Row],[H2]], Table27[orig]), Table27[H])</f>
        <v>H</v>
      </c>
      <c r="BA25" s="5" t="str" cm="1">
        <f t="array" ref="BA25">_xlfn.XLOOKUP(TRUE, EXACT(Table27[[#This Row],[Y]], Table27[orig]), Table27[D])</f>
        <v>H</v>
      </c>
      <c r="BB25" s="5" t="str" cm="1">
        <f t="array" ref="BB25">_xlfn.XLOOKUP(TRUE, EXACT(Table27[[#This Row],[u-lower]], Table27[orig]), Table27[u-lower])</f>
        <v>H</v>
      </c>
      <c r="BC25" s="5" t="str" cm="1">
        <f t="array" ref="BC25">_xlfn.XLOOKUP(TRUE, EXACT(Table27[[#This Row],[u2-lower]], Table27[orig]), Table27[u-lower])</f>
        <v>H</v>
      </c>
      <c r="BD25" s="5" t="str" cm="1">
        <f t="array" ref="BD25">_xlfn.XLOOKUP(TRUE, EXACT(Table27[[#This Row],[Y'']], Table27[orig]), Table27[U])</f>
        <v>L</v>
      </c>
      <c r="BE25" s="5" t="str" cm="1">
        <f t="array" ref="BE25">_xlfn.XLOOKUP(TRUE, EXACT(Table27[[#This Row],[d-lower]], Table27[orig]), Table27[d-lower])</f>
        <v>P</v>
      </c>
      <c r="BF25" s="5" t="str" cm="1">
        <f t="array" ref="BF25">_xlfn.XLOOKUP(TRUE, EXACT(Table27[[#This Row],[d2-lower]], Table27[orig]), Table27[d-lower])</f>
        <v>T</v>
      </c>
      <c r="BG25" s="5" t="str" cm="1">
        <f t="array" ref="BG25">_xlfn.XLOOKUP(TRUE, EXACT(Table27[[#This Row],[U]], Table27[orig]), Table27[D''])</f>
        <v>T</v>
      </c>
      <c r="BH25" s="5" t="str" cm="1">
        <f t="array" ref="BH25">_xlfn.XLOOKUP(TRUE, EXACT(Table27[[#This Row],[UD'']], Table27[orig]), Table27[UD''])</f>
        <v>P</v>
      </c>
      <c r="BI25" s="5" t="str" cm="1">
        <f t="array" ref="BI25">_xlfn.XLOOKUP(TRUE, EXACT(Table27[[#This Row],[U2D2]], Table27[orig]), Table27[UD''])</f>
        <v>L</v>
      </c>
      <c r="BJ25" s="5" t="str">
        <f>Table29[[#This Row],[F]]</f>
        <v>H</v>
      </c>
      <c r="BK25" s="5" t="str" cm="1">
        <f t="array" ref="BK25">_xlfn.XLOOKUP(TRUE, EXACT(Table27[[#This Row],[F]], Table27[orig]), Table27[F])</f>
        <v>H</v>
      </c>
      <c r="BL25" s="5" t="str" cm="1">
        <f t="array" ref="BL25">_xlfn.XLOOKUP(TRUE, EXACT(Table27[[#This Row],[F2]], Table27[orig]), Table27[F])</f>
        <v>H</v>
      </c>
      <c r="BM25" s="5" t="str" cm="1">
        <f t="array" ref="BM25">_xlfn.XLOOKUP(TRUE, EXACT(_xlfn.XLOOKUP(TRUE, EXACT(Table27[[#This Row],[X2]], Table27[orig]), Table27[F]), Table27[orig]), Table27[X2])</f>
        <v>W</v>
      </c>
      <c r="BN25" s="5" t="str" cm="1">
        <f t="array" ref="BN25">_xlfn.XLOOKUP(TRUE, EXACT(Table27[[#This Row],[B]], Table27[orig]), Table27[B])</f>
        <v>N</v>
      </c>
      <c r="BO25" s="5" t="str" cm="1">
        <f t="array" ref="BO25">_xlfn.XLOOKUP(TRUE, EXACT(Table27[[#This Row],[B2]], Table27[orig]), Table27[B])</f>
        <v>A</v>
      </c>
      <c r="BP25" s="5" t="str" cm="1">
        <f t="array" ref="BP25">_xlfn.XLOOKUP(TRUE, EXACT(Table27[[#This Row],[f-lower]], Table27[orig]), Table27[F''])</f>
        <v>H</v>
      </c>
      <c r="BQ25" s="5" t="str" cm="1">
        <f t="array" ref="BQ25">_xlfn.XLOOKUP(TRUE, EXACT(Table27[[#This Row],[S]], Table27[orig]), Table27[S])</f>
        <v>H</v>
      </c>
      <c r="BR25" s="5" t="str" cm="1">
        <f t="array" ref="BR25">_xlfn.XLOOKUP(TRUE, EXACT(Table27[[#This Row],[S2]], Table27[orig]), Table27[S])</f>
        <v>H</v>
      </c>
      <c r="BS25" s="5" t="str" cm="1">
        <f t="array" ref="BS25">_xlfn.XLOOKUP(TRUE, EXACT(Table27[[#This Row],[Z]], Table27[orig]), Table27[B])</f>
        <v>H</v>
      </c>
      <c r="BT25" s="5" t="str" cm="1">
        <f t="array" ref="BT25">_xlfn.XLOOKUP(TRUE, EXACT(Table27[[#This Row],[f-lower]], Table27[orig]), Table27[f-lower])</f>
        <v>H</v>
      </c>
      <c r="BU25" s="5" t="str" cm="1">
        <f t="array" ref="BU25">_xlfn.XLOOKUP(TRUE, EXACT(Table27[[#This Row],[f2-lower]], Table27[orig]), Table27[f-lower])</f>
        <v>H</v>
      </c>
      <c r="BV25" s="5" t="str" cm="1">
        <f t="array" ref="BV25">_xlfn.XLOOKUP(TRUE, EXACT(Table27[[#This Row],[Z'']], Table27[orig]), Table27[F])</f>
        <v>W</v>
      </c>
      <c r="BW25" s="5" t="str" cm="1">
        <f t="array" ref="BW25">_xlfn.XLOOKUP(TRUE, EXACT(Table27[[#This Row],[b-lower]], Table27[orig]), Table27[b-lower])</f>
        <v>N</v>
      </c>
      <c r="BX25" s="5" t="str" cm="1">
        <f t="array" ref="BX25">_xlfn.XLOOKUP(TRUE, EXACT(Table27[[#This Row],[b2-lower]], Table27[orig]), Table27[b-lower])</f>
        <v>A</v>
      </c>
      <c r="BY25" s="5" t="str" cm="1">
        <f t="array" ref="BY25">_xlfn.XLOOKUP(TRUE, EXACT(Table27[[#This Row],[F]], Table27[orig]), Table27[B''])</f>
        <v>A</v>
      </c>
      <c r="BZ25" s="5" t="str" cm="1">
        <f t="array" ref="BZ25">_xlfn.XLOOKUP(TRUE, EXACT(Table27[[#This Row],[FB'']], Table27[orig]), Table27[FB''])</f>
        <v>N</v>
      </c>
      <c r="CA25" s="5" t="str" cm="1">
        <f t="array" ref="CA25">_xlfn.XLOOKUP(TRUE, EXACT(Table27[[#This Row],[F2B2]], Table27[orig]), Table27[FB''])</f>
        <v>W</v>
      </c>
      <c r="CB25"/>
      <c r="CC25"/>
      <c r="CD25" s="5" t="s">
        <v>59</v>
      </c>
      <c r="CE25" s="5" t="str">
        <f>Table28[[#This Row],[orig]]</f>
        <v>H</v>
      </c>
      <c r="CF25" s="5" t="str">
        <f>Table29[[#This Row],[X]]</f>
        <v>G</v>
      </c>
      <c r="CG25" s="5" t="str" cm="1">
        <f t="array" ref="CG25">_xlfn.XLOOKUP(TRUE, EXACT(Table28[[#This Row],[X]], Table28[orig]), Table28[X])</f>
        <v>F</v>
      </c>
      <c r="CH25" s="5" t="str" cm="1">
        <f t="array" ref="CH25">_xlfn.XLOOKUP(TRUE, EXACT(Table28[[#This Row],[X2]], Table28[orig]), Table28[X])</f>
        <v>E</v>
      </c>
      <c r="CI25" s="5" t="str">
        <f>Table29[[#This Row],[Y]]</f>
        <v>T</v>
      </c>
      <c r="CJ25" s="5" t="str" cm="1">
        <f t="array" ref="CJ25">_xlfn.XLOOKUP(TRUE, EXACT(Table28[[#This Row],[Y]], Table28[orig]), Table28[Y])</f>
        <v>P</v>
      </c>
      <c r="CK25" s="5" t="str" cm="1">
        <f t="array" ref="CK25">_xlfn.XLOOKUP(TRUE, EXACT(Table28[[#This Row],[Y2]], Table28[orig]), Table28[Y])</f>
        <v>L</v>
      </c>
      <c r="CL25" s="5" t="str">
        <f>Table29[[#This Row],[Z]]</f>
        <v>A</v>
      </c>
      <c r="CM25" s="5" t="str" cm="1">
        <f t="array" ref="CM25">_xlfn.XLOOKUP(TRUE, EXACT(Table28[[#This Row],[Z]], Table28[orig]), Table28[Z])</f>
        <v>N</v>
      </c>
      <c r="CN25" s="5" t="str" cm="1">
        <f t="array" ref="CN25">_xlfn.XLOOKUP(TRUE, EXACT(Table28[[#This Row],[Z2]], Table28[orig]), Table28[Z])</f>
        <v>W</v>
      </c>
      <c r="CO25" s="5" t="str" cm="1">
        <f t="array" ref="CO25">_xlfn.XLOOKUP(TRUE, EXACT(Table28[[#This Row],[Z]], Table28[orig]), Table28[X])</f>
        <v>S</v>
      </c>
      <c r="CP25" s="5" t="str" cm="1">
        <f t="array" ref="CP25">_xlfn.XLOOKUP(TRUE, EXACT(Table28[[#This Row],[Y'']], Table28[orig]), Table28[X''])</f>
        <v>X</v>
      </c>
      <c r="CQ25" s="5" t="str" cm="1">
        <f t="array" ref="CQ25">_xlfn.XLOOKUP(TRUE, EXACT(Table28[[#This Row],[Y]], Table28[orig]), Table28[X''])</f>
        <v>B</v>
      </c>
      <c r="CR25" s="5" t="str" cm="1">
        <f t="array" ref="CR25">_xlfn.XLOOKUP(TRUE, EXACT(Table28[[#This Row],[Z'']], Table28[orig]), Table28[X])</f>
        <v>K</v>
      </c>
      <c r="CS25" s="5" t="str" cm="1">
        <f t="array" ref="CS25">_xlfn.XLOOKUP(TRUE, EXACT(Table28[[#This Row],[Z'']], Table28[orig]), Table28[X''])</f>
        <v>Q</v>
      </c>
      <c r="CT25" s="5" t="str" cm="1">
        <f t="array" ref="CT25">_xlfn.XLOOKUP(TRUE, EXACT(Table28[[#This Row],[Y'']], Table28[orig]), Table28[X])</f>
        <v>D</v>
      </c>
      <c r="CU25" s="5" t="str" cm="1">
        <f t="array" ref="CU25">_xlfn.XLOOKUP(TRUE, EXACT(Table28[[#This Row],[Y]], Table28[orig]), Table28[X])</f>
        <v>V</v>
      </c>
      <c r="CV25" s="5" t="str" cm="1">
        <f t="array" ref="CV25">_xlfn.XLOOKUP(TRUE, EXACT(Table28[[#This Row],[Z]], Table28[orig]), Table28[X''])</f>
        <v>I</v>
      </c>
      <c r="CW25" s="5" t="str" cm="1">
        <f t="array" ref="CW25">_xlfn.XLOOKUP(TRUE, EXACT(Table28[[#This Row],[Y'']], Table28[orig]), Table28[X2])</f>
        <v>R</v>
      </c>
      <c r="CX25" s="5" t="str" cm="1">
        <f t="array" ref="CX25">_xlfn.XLOOKUP(TRUE, EXACT(Table28[[#This Row],[Y]], Table28[orig]), Table28[X2])</f>
        <v>J</v>
      </c>
      <c r="CY25" s="5" t="str" cm="1">
        <f t="array" ref="CY25">_xlfn.XLOOKUP(TRUE, EXACT(Table28[[#This Row],[Z]], Table28[orig]), Table28[X2])</f>
        <v>U</v>
      </c>
      <c r="CZ25" s="5" t="str" cm="1">
        <f t="array" ref="CZ25">_xlfn.XLOOKUP(TRUE, EXACT(Table28[[#This Row],[Z'']], Table28[orig]), Table28[X2])</f>
        <v>C</v>
      </c>
      <c r="DA25" s="5" t="str" cm="1">
        <f t="array" ref="DA25">_xlfn.XLOOKUP(TRUE, EXACT(Table28[[#This Row],[Z2]], Table28[orig]), Table28[X])</f>
        <v>O</v>
      </c>
      <c r="DB25" s="5" t="str" cm="1">
        <f t="array" ref="DB25">_xlfn.XLOOKUP(TRUE, EXACT(Table28[[#This Row],[Z2]], Table28[orig]), Table28[X''])</f>
        <v>M</v>
      </c>
      <c r="DC25"/>
      <c r="DD25"/>
      <c r="DE25" s="8" t="s">
        <v>59</v>
      </c>
      <c r="DF25" s="8" t="str" cm="1">
        <f t="array" ref="DF25">_xlfn.XLOOKUP(TRUE, EXACT(Table28[[#This Row],[I]], Table29[orig]), Table29[T-reflection])</f>
        <v>O</v>
      </c>
      <c r="DG25" s="8" t="str" cm="1">
        <f t="array" ref="DG25">_xlfn.XLOOKUP(TRUE, EXACT(Table28[[#This Row],[X]], Table29[orig]), Table29[T-reflection])</f>
        <v>P</v>
      </c>
      <c r="DH25" s="5" t="str" cm="1">
        <f t="array" ref="DH25">_xlfn.XLOOKUP(TRUE, EXACT(Table28[[#This Row],[X2]], Table29[orig]), Table29[T-reflection])</f>
        <v>M</v>
      </c>
      <c r="DI25" s="5" t="str" cm="1">
        <f t="array" ref="DI25">_xlfn.XLOOKUP(TRUE, EXACT(Table28[[#This Row],[X'']], Table29[orig]), Table29[T-reflection])</f>
        <v>N</v>
      </c>
      <c r="DJ25" s="8" t="str" cm="1">
        <f t="array" ref="DJ25">_xlfn.XLOOKUP(TRUE, EXACT(Table28[[#This Row],[Y]], Table29[orig]), Table29[T-reflection])</f>
        <v>S</v>
      </c>
      <c r="DK25" s="5" t="str" cm="1">
        <f t="array" ref="DK25">_xlfn.XLOOKUP(TRUE, EXACT(Table28[[#This Row],[Y2]], Table29[orig]), Table29[T-reflection])</f>
        <v>G</v>
      </c>
      <c r="DL25" s="5" t="str" cm="1">
        <f t="array" ref="DL25">_xlfn.XLOOKUP(TRUE, EXACT(Table28[[#This Row],[Y'']], Table29[orig]), Table29[T-reflection])</f>
        <v>K</v>
      </c>
      <c r="DM25" s="8" t="str" cm="1">
        <f t="array" ref="DM25">_xlfn.XLOOKUP(TRUE, EXACT(Table28[[#This Row],[Z]], Table29[orig]), Table29[T-reflection])</f>
        <v>B</v>
      </c>
      <c r="DN25" s="5" t="str" cm="1">
        <f t="array" ref="DN25">_xlfn.XLOOKUP(TRUE, EXACT(Table28[[#This Row],[Z2]], Table29[orig]), Table29[T-reflection])</f>
        <v>E</v>
      </c>
      <c r="DO25" s="5" t="str" cm="1">
        <f t="array" ref="DO25">_xlfn.XLOOKUP(TRUE, EXACT(Table28[[#This Row],[Z'']], Table29[orig]), Table29[T-reflection])</f>
        <v>X</v>
      </c>
      <c r="DP25" s="5" t="str" cm="1">
        <f t="array" ref="DP25">_xlfn.XLOOKUP(TRUE, EXACT(Table28[[#This Row],[Z X]], Table29[orig]), Table29[T-reflection])</f>
        <v>T</v>
      </c>
      <c r="DQ25" s="5" t="str" cm="1">
        <f t="array" ref="DQ25">_xlfn.XLOOKUP(TRUE, EXACT(Table28[[#This Row],[Y'' X'']], Table29[orig]), Table29[T-reflection])</f>
        <v>W</v>
      </c>
      <c r="DR25" s="5" t="str" cm="1">
        <f t="array" ref="DR25">_xlfn.XLOOKUP(TRUE, EXACT(Table28[[#This Row],[Y X'']], Table29[orig]), Table29[T-reflection])</f>
        <v>A</v>
      </c>
      <c r="DS25" s="5" t="str" cm="1">
        <f t="array" ref="DS25">_xlfn.XLOOKUP(TRUE, EXACT(Table28[[#This Row],[Z'' X]], Table29[orig]), Table29[T-reflection])</f>
        <v>L</v>
      </c>
      <c r="DT25" s="5" t="str" cm="1">
        <f t="array" ref="DT25">_xlfn.XLOOKUP(TRUE, EXACT(Table28[[#This Row],[Z'' X'']], Table29[orig]), Table29[T-reflection])</f>
        <v>R</v>
      </c>
      <c r="DU25" s="5" t="str" cm="1">
        <f t="array" ref="DU25">_xlfn.XLOOKUP(TRUE, EXACT(Table28[[#This Row],[Y'' X]], Table29[orig]), Table29[T-reflection])</f>
        <v>C</v>
      </c>
      <c r="DV25" s="5" t="str" cm="1">
        <f t="array" ref="DV25">_xlfn.XLOOKUP(TRUE, EXACT(Table28[[#This Row],[Y X]], Table29[orig]), Table29[T-reflection])</f>
        <v>U</v>
      </c>
      <c r="DW25" s="5" t="str" cm="1">
        <f t="array" ref="DW25">_xlfn.XLOOKUP(TRUE, EXACT(Table28[[#This Row],[Z X'']], Table29[orig]), Table29[T-reflection])</f>
        <v>J</v>
      </c>
      <c r="DX25" s="5" t="str" cm="1">
        <f t="array" ref="DX25">_xlfn.XLOOKUP(TRUE, EXACT(Table28[[#This Row],[Y'' X2]], Table29[orig]), Table29[T-reflection])</f>
        <v>Q</v>
      </c>
      <c r="DY25" s="5" t="str" cm="1">
        <f t="array" ref="DY25">_xlfn.XLOOKUP(TRUE, EXACT(Table28[[#This Row],[Y X2]], Table29[orig]), Table29[T-reflection])</f>
        <v>I</v>
      </c>
      <c r="DZ25" s="5" t="str" cm="1">
        <f t="array" ref="DZ25">_xlfn.XLOOKUP(TRUE, EXACT(Table28[[#This Row],[Z X2]], Table29[orig]), Table29[T-reflection])</f>
        <v>V</v>
      </c>
      <c r="EA25" s="5" t="str" cm="1">
        <f t="array" ref="EA25">_xlfn.XLOOKUP(TRUE, EXACT(Table28[[#This Row],[Z'' X2]], Table29[orig]), Table29[T-reflection])</f>
        <v>D</v>
      </c>
      <c r="EB25" s="5" t="str" cm="1">
        <f t="array" ref="EB25">_xlfn.XLOOKUP(TRUE, EXACT(Table28[[#This Row],[Z2 X]], Table29[orig]), Table29[T-reflection])</f>
        <v>H</v>
      </c>
      <c r="EC25" s="5" t="str" cm="1">
        <f t="array" ref="EC25">_xlfn.XLOOKUP(TRUE, EXACT(Table28[[#This Row],[Z2 X'']], Table29[orig]), Table29[T-reflection])</f>
        <v>F</v>
      </c>
      <c r="ED25"/>
      <c r="EE25"/>
      <c r="EF25"/>
      <c r="EG25"/>
      <c r="EH25"/>
      <c r="EI25"/>
      <c r="EJ25"/>
      <c r="EK25"/>
      <c r="EL25"/>
      <c r="EM25"/>
      <c r="EN25"/>
      <c r="EO25"/>
      <c r="EP25"/>
      <c r="EQ25"/>
      <c r="ER25"/>
      <c r="ES25"/>
      <c r="ET25"/>
      <c r="EU25"/>
      <c r="EV25"/>
      <c r="EW25"/>
      <c r="EX25"/>
      <c r="EY25"/>
      <c r="EZ25"/>
      <c r="FA25"/>
      <c r="FB25"/>
      <c r="FC25"/>
      <c r="FD25"/>
      <c r="FE25"/>
      <c r="FF25"/>
      <c r="FG25"/>
      <c r="FH25"/>
    </row>
    <row r="26" spans="1:164" ht="16" thickTop="1" x14ac:dyDescent="0.2">
      <c r="B26" t="s">
        <v>90</v>
      </c>
      <c r="C26" t="s">
        <v>90</v>
      </c>
      <c r="D26" t="s">
        <v>37</v>
      </c>
      <c r="E26" t="s">
        <v>126</v>
      </c>
      <c r="F26" t="s">
        <v>64</v>
      </c>
      <c r="G26" t="s">
        <v>64</v>
      </c>
      <c r="H26" t="s">
        <v>30</v>
      </c>
      <c r="I26" t="s">
        <v>27</v>
      </c>
      <c r="J26" t="s">
        <v>90</v>
      </c>
      <c r="K26" t="s">
        <v>126</v>
      </c>
      <c r="L26" t="s">
        <v>64</v>
      </c>
      <c r="O26" t="s">
        <v>90</v>
      </c>
      <c r="P26" t="str">
        <f>Table27[[#This Row],[orig]]</f>
        <v>I</v>
      </c>
      <c r="Q26" t="str">
        <f>Table29[[#This Row],[X]]</f>
        <v>A</v>
      </c>
      <c r="R26" t="str" cm="1">
        <f t="array" ref="R26">_xlfn.XLOOKUP(TRUE, EXACT(Table27[[#This Row],[X]], Table27[orig]), Table27[X])</f>
        <v>S</v>
      </c>
      <c r="S26" t="str" cm="1">
        <f t="array" ref="S26">_xlfn.XLOOKUP(TRUE, EXACT(Table27[[#This Row],[X2]], Table27[orig]), Table27[X])</f>
        <v>U</v>
      </c>
      <c r="T26" t="str">
        <f>Table29[[#This Row],[Y]]</f>
        <v>E</v>
      </c>
      <c r="U26" t="str" cm="1">
        <f t="array" ref="U26">_xlfn.XLOOKUP(TRUE, EXACT(Table27[[#This Row],[Y]], Table27[orig]), Table27[Y])</f>
        <v>Q</v>
      </c>
      <c r="V26" t="str" cm="1">
        <f t="array" ref="V26">_xlfn.XLOOKUP(TRUE, EXACT(Table27[[#This Row],[Y2]], Table27[orig]), Table27[Y])</f>
        <v>M</v>
      </c>
      <c r="W26" t="str">
        <f>Table29[[#This Row],[Z]]</f>
        <v>J</v>
      </c>
      <c r="X26" t="str" cm="1">
        <f t="array" ref="X26">_xlfn.XLOOKUP(TRUE, EXACT(Table27[[#This Row],[Z]], Table27[orig]), Table27[Z])</f>
        <v>K</v>
      </c>
      <c r="Y26" t="str" cm="1">
        <f t="array" ref="Y26">_xlfn.XLOOKUP(TRUE, EXACT(Table27[[#This Row],[Z2]], Table27[orig]), Table27[Z])</f>
        <v>L</v>
      </c>
      <c r="Z26" t="str">
        <f>Table29[[#This Row],[R]]</f>
        <v>I</v>
      </c>
      <c r="AA26" t="str" cm="1">
        <f t="array" ref="AA26">_xlfn.XLOOKUP(TRUE, EXACT(Table27[[#This Row],[R]], Table27[orig]), Table27[R])</f>
        <v>I</v>
      </c>
      <c r="AB26" t="str" cm="1">
        <f t="array" ref="AB26">_xlfn.XLOOKUP(TRUE, EXACT(Table27[[#This Row],[R2]], Table27[orig]), Table27[R])</f>
        <v>I</v>
      </c>
      <c r="AC26" t="str" cm="1">
        <f t="array" ref="AC26">_xlfn.XLOOKUP(TRUE, EXACT(_xlfn.XLOOKUP(TRUE, EXACT(Table27[[#This Row],[Y2]], Table27[orig]), Table27[R]), Table27[orig]), Table27[Y2])</f>
        <v>U</v>
      </c>
      <c r="AD26" t="str" cm="1">
        <f t="array" ref="AD26">_xlfn.XLOOKUP(TRUE, EXACT(Table27[[#This Row],[L]], Table27[orig]), Table27[L])</f>
        <v>S</v>
      </c>
      <c r="AE26" t="str" cm="1">
        <f t="array" ref="AE26">_xlfn.XLOOKUP(TRUE, EXACT(Table27[[#This Row],[L2]], Table27[orig]), Table27[L])</f>
        <v>A</v>
      </c>
      <c r="AF26" t="str" cm="1">
        <f t="array" ref="AF26">_xlfn.XLOOKUP(TRUE, EXACT(Table27[[#This Row],[r-lower]], Table27[orig]), Table27[R''])</f>
        <v>I</v>
      </c>
      <c r="AG26" t="str" cm="1">
        <f t="array" ref="AG26">_xlfn.XLOOKUP(TRUE, EXACT(Table27[[#This Row],[T]], Table27[orig]), Table27[T])</f>
        <v>I</v>
      </c>
      <c r="AH26" t="str" cm="1">
        <f t="array" ref="AH26">_xlfn.XLOOKUP(TRUE, EXACT(Table27[[#This Row],[T2]], Table27[orig]), Table27[T])</f>
        <v>I</v>
      </c>
      <c r="AI26" t="str" cm="1">
        <f t="array" ref="AI26">_xlfn.XLOOKUP(TRUE, EXACT(Table27[[#This Row],[X]], Table27[orig]), Table27[L])</f>
        <v>I</v>
      </c>
      <c r="AJ26" t="str" cm="1">
        <f t="array" ref="AJ26">_xlfn.XLOOKUP(TRUE, EXACT(Table27[[#This Row],[r-lower]], Table27[orig]), Table27[r-lower])</f>
        <v>I</v>
      </c>
      <c r="AK26" t="str" cm="1">
        <f t="array" ref="AK26">_xlfn.XLOOKUP(TRUE, EXACT(Table27[[#This Row],[r2-lower]], Table27[orig]), Table27[r-lower])</f>
        <v>I</v>
      </c>
      <c r="AL26" t="str" cm="1">
        <f t="array" ref="AL26">_xlfn.XLOOKUP(TRUE, EXACT(Table27[[#This Row],[X'']], Table27[orig]), Table27[R])</f>
        <v>U</v>
      </c>
      <c r="AM26" t="str" cm="1">
        <f t="array" ref="AM26">_xlfn.XLOOKUP(TRUE, EXACT(Table27[[#This Row],[l-lower]], Table27[orig]), Table27[l-lower])</f>
        <v>S</v>
      </c>
      <c r="AN26" t="str" cm="1">
        <f t="array" ref="AN26">_xlfn.XLOOKUP(TRUE, EXACT(Table27[[#This Row],[l2-lower]], Table27[orig]), Table27[l-lower])</f>
        <v>A</v>
      </c>
      <c r="AO26" t="str" cm="1">
        <f t="array" ref="AO26">_xlfn.XLOOKUP(TRUE, EXACT(Table27[[#This Row],[R]], Table27[orig]), Table27[L''])</f>
        <v>A</v>
      </c>
      <c r="AP26" t="str" cm="1">
        <f t="array" ref="AP26">_xlfn.XLOOKUP(TRUE, EXACT(Table27[[#This Row],[RL'']], Table27[orig]), Table27[RL''])</f>
        <v>S</v>
      </c>
      <c r="AQ26" t="str" cm="1">
        <f t="array" ref="AQ26">_xlfn.XLOOKUP(TRUE, EXACT(Table27[[#This Row],[R2L2]], Table27[orig]), Table27[RL''])</f>
        <v>U</v>
      </c>
      <c r="AR26" t="str">
        <f>Table29[[#This Row],[U]]</f>
        <v>E</v>
      </c>
      <c r="AS26" t="str" cm="1">
        <f t="array" ref="AS26">_xlfn.XLOOKUP(TRUE, EXACT(Table27[[#This Row],[U]], Table27[orig]), Table27[U])</f>
        <v>Q</v>
      </c>
      <c r="AT26" t="str" cm="1">
        <f t="array" ref="AT26">_xlfn.XLOOKUP(TRUE, EXACT(Table27[[#This Row],[U2]], Table27[orig]), Table27[U])</f>
        <v>M</v>
      </c>
      <c r="AU26" t="str" cm="1">
        <f t="array" ref="AU26">_xlfn.XLOOKUP(TRUE, EXACT(_xlfn.XLOOKUP(TRUE, EXACT(Table27[[#This Row],[Z2]], Table27[orig]), Table27[U]), Table27[orig]), Table27[Z2])</f>
        <v>I</v>
      </c>
      <c r="AV26" t="str" cm="1">
        <f t="array" ref="AV26">_xlfn.XLOOKUP(TRUE, EXACT(Table27[[#This Row],[D]], Table27[orig]), Table27[D])</f>
        <v>I</v>
      </c>
      <c r="AW26" t="str" cm="1">
        <f t="array" ref="AW26">_xlfn.XLOOKUP(TRUE, EXACT(Table27[[#This Row],[D2]], Table27[orig]), Table27[D])</f>
        <v>I</v>
      </c>
      <c r="AX26" t="str" cm="1">
        <f t="array" ref="AX26">_xlfn.XLOOKUP(TRUE, EXACT(Table27[[#This Row],[u-lower]], Table27[orig]), Table27[U''])</f>
        <v>I</v>
      </c>
      <c r="AY26" t="str" cm="1">
        <f t="array" ref="AY26">_xlfn.XLOOKUP(TRUE, EXACT(Table27[[#This Row],[H]], Table27[orig]), Table27[H])</f>
        <v>I</v>
      </c>
      <c r="AZ26" t="str" cm="1">
        <f t="array" ref="AZ26">_xlfn.XLOOKUP(TRUE, EXACT(Table27[[#This Row],[H2]], Table27[orig]), Table27[H])</f>
        <v>I</v>
      </c>
      <c r="BA26" t="str" cm="1">
        <f t="array" ref="BA26">_xlfn.XLOOKUP(TRUE, EXACT(Table27[[#This Row],[Y]], Table27[orig]), Table27[D])</f>
        <v>E</v>
      </c>
      <c r="BB26" t="str" cm="1">
        <f t="array" ref="BB26">_xlfn.XLOOKUP(TRUE, EXACT(Table27[[#This Row],[u-lower]], Table27[orig]), Table27[u-lower])</f>
        <v>Q</v>
      </c>
      <c r="BC26" t="str" cm="1">
        <f t="array" ref="BC26">_xlfn.XLOOKUP(TRUE, EXACT(Table27[[#This Row],[u2-lower]], Table27[orig]), Table27[u-lower])</f>
        <v>M</v>
      </c>
      <c r="BD26" t="str" cm="1">
        <f t="array" ref="BD26">_xlfn.XLOOKUP(TRUE, EXACT(Table27[[#This Row],[Y'']], Table27[orig]), Table27[U])</f>
        <v>I</v>
      </c>
      <c r="BE26" t="str" cm="1">
        <f t="array" ref="BE26">_xlfn.XLOOKUP(TRUE, EXACT(Table27[[#This Row],[d-lower]], Table27[orig]), Table27[d-lower])</f>
        <v>I</v>
      </c>
      <c r="BF26" t="str" cm="1">
        <f t="array" ref="BF26">_xlfn.XLOOKUP(TRUE, EXACT(Table27[[#This Row],[d2-lower]], Table27[orig]), Table27[d-lower])</f>
        <v>I</v>
      </c>
      <c r="BG26" t="str" cm="1">
        <f t="array" ref="BG26">_xlfn.XLOOKUP(TRUE, EXACT(Table27[[#This Row],[U]], Table27[orig]), Table27[D''])</f>
        <v>E</v>
      </c>
      <c r="BH26" t="str" cm="1">
        <f t="array" ref="BH26">_xlfn.XLOOKUP(TRUE, EXACT(Table27[[#This Row],[UD'']], Table27[orig]), Table27[UD''])</f>
        <v>Q</v>
      </c>
      <c r="BI26" t="str" cm="1">
        <f t="array" ref="BI26">_xlfn.XLOOKUP(TRUE, EXACT(Table27[[#This Row],[U2D2]], Table27[orig]), Table27[UD''])</f>
        <v>M</v>
      </c>
      <c r="BJ26" t="str">
        <f>Table29[[#This Row],[F]]</f>
        <v>J</v>
      </c>
      <c r="BK26" t="str" cm="1">
        <f t="array" ref="BK26">_xlfn.XLOOKUP(TRUE, EXACT(Table27[[#This Row],[F]], Table27[orig]), Table27[F])</f>
        <v>K</v>
      </c>
      <c r="BL26" t="str" cm="1">
        <f t="array" ref="BL26">_xlfn.XLOOKUP(TRUE, EXACT(Table27[[#This Row],[F2]], Table27[orig]), Table27[F])</f>
        <v>L</v>
      </c>
      <c r="BM26" t="str" cm="1">
        <f t="array" ref="BM26">_xlfn.XLOOKUP(TRUE, EXACT(_xlfn.XLOOKUP(TRUE, EXACT(Table27[[#This Row],[X2]], Table27[orig]), Table27[F]), Table27[orig]), Table27[X2])</f>
        <v>I</v>
      </c>
      <c r="BN26" t="str" cm="1">
        <f t="array" ref="BN26">_xlfn.XLOOKUP(TRUE, EXACT(Table27[[#This Row],[B]], Table27[orig]), Table27[B])</f>
        <v>I</v>
      </c>
      <c r="BO26" t="str" cm="1">
        <f t="array" ref="BO26">_xlfn.XLOOKUP(TRUE, EXACT(Table27[[#This Row],[B2]], Table27[orig]), Table27[B])</f>
        <v>I</v>
      </c>
      <c r="BP26" t="str" cm="1">
        <f t="array" ref="BP26">_xlfn.XLOOKUP(TRUE, EXACT(Table27[[#This Row],[f-lower]], Table27[orig]), Table27[F''])</f>
        <v>I</v>
      </c>
      <c r="BQ26" t="str" cm="1">
        <f t="array" ref="BQ26">_xlfn.XLOOKUP(TRUE, EXACT(Table27[[#This Row],[S]], Table27[orig]), Table27[S])</f>
        <v>I</v>
      </c>
      <c r="BR26" t="str" cm="1">
        <f t="array" ref="BR26">_xlfn.XLOOKUP(TRUE, EXACT(Table27[[#This Row],[S2]], Table27[orig]), Table27[S])</f>
        <v>I</v>
      </c>
      <c r="BS26" t="str" cm="1">
        <f t="array" ref="BS26">_xlfn.XLOOKUP(TRUE, EXACT(Table27[[#This Row],[Z]], Table27[orig]), Table27[B])</f>
        <v>J</v>
      </c>
      <c r="BT26" t="str" cm="1">
        <f t="array" ref="BT26">_xlfn.XLOOKUP(TRUE, EXACT(Table27[[#This Row],[f-lower]], Table27[orig]), Table27[f-lower])</f>
        <v>K</v>
      </c>
      <c r="BU26" t="str" cm="1">
        <f t="array" ref="BU26">_xlfn.XLOOKUP(TRUE, EXACT(Table27[[#This Row],[f2-lower]], Table27[orig]), Table27[f-lower])</f>
        <v>L</v>
      </c>
      <c r="BV26" t="str" cm="1">
        <f t="array" ref="BV26">_xlfn.XLOOKUP(TRUE, EXACT(Table27[[#This Row],[Z'']], Table27[orig]), Table27[F])</f>
        <v>I</v>
      </c>
      <c r="BW26" t="str" cm="1">
        <f t="array" ref="BW26">_xlfn.XLOOKUP(TRUE, EXACT(Table27[[#This Row],[b-lower]], Table27[orig]), Table27[b-lower])</f>
        <v>I</v>
      </c>
      <c r="BX26" t="str" cm="1">
        <f t="array" ref="BX26">_xlfn.XLOOKUP(TRUE, EXACT(Table27[[#This Row],[b2-lower]], Table27[orig]), Table27[b-lower])</f>
        <v>I</v>
      </c>
      <c r="BY26" t="str" cm="1">
        <f t="array" ref="BY26">_xlfn.XLOOKUP(TRUE, EXACT(Table27[[#This Row],[F]], Table27[orig]), Table27[B''])</f>
        <v>J</v>
      </c>
      <c r="BZ26" t="str" cm="1">
        <f t="array" ref="BZ26">_xlfn.XLOOKUP(TRUE, EXACT(Table27[[#This Row],[FB'']], Table27[orig]), Table27[FB''])</f>
        <v>K</v>
      </c>
      <c r="CA26" t="str" cm="1">
        <f t="array" ref="CA26">_xlfn.XLOOKUP(TRUE, EXACT(Table27[[#This Row],[F2B2]], Table27[orig]), Table27[FB''])</f>
        <v>L</v>
      </c>
      <c r="CD26" t="s">
        <v>90</v>
      </c>
      <c r="CE26" t="str">
        <f>Table28[[#This Row],[orig]]</f>
        <v>I</v>
      </c>
      <c r="CF26" t="str">
        <f>Table29[[#This Row],[X]]</f>
        <v>A</v>
      </c>
      <c r="CG26" t="str" cm="1">
        <f t="array" ref="CG26">_xlfn.XLOOKUP(TRUE, EXACT(Table28[[#This Row],[X]], Table28[orig]), Table28[X])</f>
        <v>S</v>
      </c>
      <c r="CH26" t="str" cm="1">
        <f t="array" ref="CH26">_xlfn.XLOOKUP(TRUE, EXACT(Table28[[#This Row],[X2]], Table28[orig]), Table28[X])</f>
        <v>U</v>
      </c>
      <c r="CI26" t="str">
        <f>Table29[[#This Row],[Y]]</f>
        <v>E</v>
      </c>
      <c r="CJ26" t="str" cm="1">
        <f t="array" ref="CJ26">_xlfn.XLOOKUP(TRUE, EXACT(Table28[[#This Row],[Y]], Table28[orig]), Table28[Y])</f>
        <v>Q</v>
      </c>
      <c r="CK26" t="str" cm="1">
        <f t="array" ref="CK26">_xlfn.XLOOKUP(TRUE, EXACT(Table28[[#This Row],[Y2]], Table28[orig]), Table28[Y])</f>
        <v>M</v>
      </c>
      <c r="CL26" t="str">
        <f>Table29[[#This Row],[Z]]</f>
        <v>J</v>
      </c>
      <c r="CM26" t="str" cm="1">
        <f t="array" ref="CM26">_xlfn.XLOOKUP(TRUE, EXACT(Table28[[#This Row],[Z]], Table28[orig]), Table28[Z])</f>
        <v>K</v>
      </c>
      <c r="CN26" t="str" cm="1">
        <f t="array" ref="CN26">_xlfn.XLOOKUP(TRUE, EXACT(Table28[[#This Row],[Z2]], Table28[orig]), Table28[Z])</f>
        <v>L</v>
      </c>
      <c r="CO26" t="str" cm="1">
        <f t="array" ref="CO26">_xlfn.XLOOKUP(TRUE, EXACT(Table28[[#This Row],[Z]], Table28[orig]), Table28[X])</f>
        <v>B</v>
      </c>
      <c r="CP26" t="str" cm="1">
        <f t="array" ref="CP26">_xlfn.XLOOKUP(TRUE, EXACT(Table28[[#This Row],[Y'']], Table28[orig]), Table28[X''])</f>
        <v>P</v>
      </c>
      <c r="CQ26" t="str" cm="1">
        <f t="array" ref="CQ26">_xlfn.XLOOKUP(TRUE, EXACT(Table28[[#This Row],[Y]], Table28[orig]), Table28[X''])</f>
        <v>F</v>
      </c>
      <c r="CR26" t="str" cm="1">
        <f t="array" ref="CR26">_xlfn.XLOOKUP(TRUE, EXACT(Table28[[#This Row],[Z'']], Table28[orig]), Table28[X])</f>
        <v>D</v>
      </c>
      <c r="CS26" t="str" cm="1">
        <f t="array" ref="CS26">_xlfn.XLOOKUP(TRUE, EXACT(Table28[[#This Row],[Z'']], Table28[orig]), Table28[X''])</f>
        <v>X</v>
      </c>
      <c r="CT26" t="str" cm="1">
        <f t="array" ref="CT26">_xlfn.XLOOKUP(TRUE, EXACT(Table28[[#This Row],[Y'']], Table28[orig]), Table28[X])</f>
        <v>N</v>
      </c>
      <c r="CU26" t="str" cm="1">
        <f t="array" ref="CU26">_xlfn.XLOOKUP(TRUE, EXACT(Table28[[#This Row],[Y]], Table28[orig]), Table28[X])</f>
        <v>H</v>
      </c>
      <c r="CV26" t="str" cm="1">
        <f t="array" ref="CV26">_xlfn.XLOOKUP(TRUE, EXACT(Table28[[#This Row],[Z]], Table28[orig]), Table28[X''])</f>
        <v>V</v>
      </c>
      <c r="CW26" t="str" cm="1">
        <f t="array" ref="CW26">_xlfn.XLOOKUP(TRUE, EXACT(Table28[[#This Row],[Y'']], Table28[orig]), Table28[X2])</f>
        <v>O</v>
      </c>
      <c r="CX26" t="str" cm="1">
        <f t="array" ref="CX26">_xlfn.XLOOKUP(TRUE, EXACT(Table28[[#This Row],[Y]], Table28[orig]), Table28[X2])</f>
        <v>G</v>
      </c>
      <c r="CY26" t="str" cm="1">
        <f t="array" ref="CY26">_xlfn.XLOOKUP(TRUE, EXACT(Table28[[#This Row],[Z]], Table28[orig]), Table28[X2])</f>
        <v>T</v>
      </c>
      <c r="CZ26" t="str" cm="1">
        <f t="array" ref="CZ26">_xlfn.XLOOKUP(TRUE, EXACT(Table28[[#This Row],[Z'']], Table28[orig]), Table28[X2])</f>
        <v>R</v>
      </c>
      <c r="DA26" t="str" cm="1">
        <f t="array" ref="DA26">_xlfn.XLOOKUP(TRUE, EXACT(Table28[[#This Row],[Z2]], Table28[orig]), Table28[X])</f>
        <v>C</v>
      </c>
      <c r="DB26" t="str" cm="1">
        <f t="array" ref="DB26">_xlfn.XLOOKUP(TRUE, EXACT(Table28[[#This Row],[Z2]], Table28[orig]), Table28[X''])</f>
        <v>W</v>
      </c>
      <c r="DE26" s="6" t="s">
        <v>90</v>
      </c>
      <c r="DF26" s="6" t="str" cm="1">
        <f t="array" ref="DF26">_xlfn.XLOOKUP(TRUE, EXACT(Table28[[#This Row],[I]], Table29[orig]), Table29[T-reflection])</f>
        <v>J</v>
      </c>
      <c r="DG26" s="6" t="str" cm="1">
        <f t="array" ref="DG26">_xlfn.XLOOKUP(TRUE, EXACT(Table28[[#This Row],[X]], Table29[orig]), Table29[T-reflection])</f>
        <v>B</v>
      </c>
      <c r="DH26" t="str" cm="1">
        <f t="array" ref="DH26">_xlfn.XLOOKUP(TRUE, EXACT(Table28[[#This Row],[X2]], Table29[orig]), Table29[T-reflection])</f>
        <v>T</v>
      </c>
      <c r="DI26" t="str" cm="1">
        <f t="array" ref="DI26">_xlfn.XLOOKUP(TRUE, EXACT(Table28[[#This Row],[X'']], Table29[orig]), Table29[T-reflection])</f>
        <v>V</v>
      </c>
      <c r="DJ26" s="6" t="str" cm="1">
        <f t="array" ref="DJ26">_xlfn.XLOOKUP(TRUE, EXACT(Table28[[#This Row],[Y]], Table29[orig]), Table29[T-reflection])</f>
        <v>N</v>
      </c>
      <c r="DK26" t="str" cm="1">
        <f t="array" ref="DK26">_xlfn.XLOOKUP(TRUE, EXACT(Table28[[#This Row],[Y2]], Table29[orig]), Table29[T-reflection])</f>
        <v>R</v>
      </c>
      <c r="DL26" t="str" cm="1">
        <f t="array" ref="DL26">_xlfn.XLOOKUP(TRUE, EXACT(Table28[[#This Row],[Y'']], Table29[orig]), Table29[T-reflection])</f>
        <v>F</v>
      </c>
      <c r="DM26" s="6" t="str" cm="1">
        <f t="array" ref="DM26">_xlfn.XLOOKUP(TRUE, EXACT(Table28[[#This Row],[Z]], Table29[orig]), Table29[T-reflection])</f>
        <v>I</v>
      </c>
      <c r="DN26" t="str" cm="1">
        <f t="array" ref="DN26">_xlfn.XLOOKUP(TRUE, EXACT(Table28[[#This Row],[Z2]], Table29[orig]), Table29[T-reflection])</f>
        <v>L</v>
      </c>
      <c r="DO26" t="str" cm="1">
        <f t="array" ref="DO26">_xlfn.XLOOKUP(TRUE, EXACT(Table28[[#This Row],[Z'']], Table29[orig]), Table29[T-reflection])</f>
        <v>K</v>
      </c>
      <c r="DP26" t="str" cm="1">
        <f t="array" ref="DP26">_xlfn.XLOOKUP(TRUE, EXACT(Table28[[#This Row],[Z X]], Table29[orig]), Table29[T-reflection])</f>
        <v>A</v>
      </c>
      <c r="DQ26" t="str" cm="1">
        <f t="array" ref="DQ26">_xlfn.XLOOKUP(TRUE, EXACT(Table28[[#This Row],[Y'' X'']], Table29[orig]), Table29[T-reflection])</f>
        <v>G</v>
      </c>
      <c r="DR26" t="str" cm="1">
        <f t="array" ref="DR26">_xlfn.XLOOKUP(TRUE, EXACT(Table28[[#This Row],[Y X'']], Table29[orig]), Table29[T-reflection])</f>
        <v>M</v>
      </c>
      <c r="DS26" t="str" cm="1">
        <f t="array" ref="DS26">_xlfn.XLOOKUP(TRUE, EXACT(Table28[[#This Row],[Z'' X]], Table29[orig]), Table29[T-reflection])</f>
        <v>C</v>
      </c>
      <c r="DT26" t="str" cm="1">
        <f t="array" ref="DT26">_xlfn.XLOOKUP(TRUE, EXACT(Table28[[#This Row],[Z'' X'']], Table29[orig]), Table29[T-reflection])</f>
        <v>W</v>
      </c>
      <c r="DU26" t="str" cm="1">
        <f t="array" ref="DU26">_xlfn.XLOOKUP(TRUE, EXACT(Table28[[#This Row],[Y'' X]], Table29[orig]), Table29[T-reflection])</f>
        <v>E</v>
      </c>
      <c r="DV26" t="str" cm="1">
        <f t="array" ref="DV26">_xlfn.XLOOKUP(TRUE, EXACT(Table28[[#This Row],[Y X]], Table29[orig]), Table29[T-reflection])</f>
        <v>O</v>
      </c>
      <c r="DW26" t="str" cm="1">
        <f t="array" ref="DW26">_xlfn.XLOOKUP(TRUE, EXACT(Table28[[#This Row],[Z X'']], Table29[orig]), Table29[T-reflection])</f>
        <v>U</v>
      </c>
      <c r="DX26" t="str" cm="1">
        <f t="array" ref="DX26">_xlfn.XLOOKUP(TRUE, EXACT(Table28[[#This Row],[Y'' X2]], Table29[orig]), Table29[T-reflection])</f>
        <v>H</v>
      </c>
      <c r="DY26" t="str" cm="1">
        <f t="array" ref="DY26">_xlfn.XLOOKUP(TRUE, EXACT(Table28[[#This Row],[Y X2]], Table29[orig]), Table29[T-reflection])</f>
        <v>P</v>
      </c>
      <c r="DZ26" t="str" cm="1">
        <f t="array" ref="DZ26">_xlfn.XLOOKUP(TRUE, EXACT(Table28[[#This Row],[Z X2]], Table29[orig]), Table29[T-reflection])</f>
        <v>S</v>
      </c>
      <c r="EA26" t="str" cm="1">
        <f t="array" ref="EA26">_xlfn.XLOOKUP(TRUE, EXACT(Table28[[#This Row],[Z'' X2]], Table29[orig]), Table29[T-reflection])</f>
        <v>Q</v>
      </c>
      <c r="EB26" t="str" cm="1">
        <f t="array" ref="EB26">_xlfn.XLOOKUP(TRUE, EXACT(Table28[[#This Row],[Z2 X]], Table29[orig]), Table29[T-reflection])</f>
        <v>D</v>
      </c>
      <c r="EC26" t="str" cm="1">
        <f t="array" ref="EC26">_xlfn.XLOOKUP(TRUE, EXACT(Table28[[#This Row],[Z2 X'']], Table29[orig]), Table29[T-reflection])</f>
        <v>X</v>
      </c>
    </row>
    <row r="27" spans="1:164" x14ac:dyDescent="0.2">
      <c r="B27" t="s">
        <v>64</v>
      </c>
      <c r="C27" t="s">
        <v>64</v>
      </c>
      <c r="D27" t="s">
        <v>38</v>
      </c>
      <c r="E27" t="s">
        <v>45</v>
      </c>
      <c r="F27" t="s">
        <v>69</v>
      </c>
      <c r="G27" t="s">
        <v>90</v>
      </c>
      <c r="H27" t="s">
        <v>69</v>
      </c>
      <c r="I27" t="s">
        <v>79</v>
      </c>
      <c r="J27" t="s">
        <v>38</v>
      </c>
      <c r="K27" t="s">
        <v>45</v>
      </c>
      <c r="L27" t="s">
        <v>69</v>
      </c>
      <c r="O27" t="s">
        <v>64</v>
      </c>
      <c r="P27" t="str">
        <f>Table27[[#This Row],[orig]]</f>
        <v>J</v>
      </c>
      <c r="Q27" t="str">
        <f>Table29[[#This Row],[X]]</f>
        <v>B</v>
      </c>
      <c r="R27" t="str" cm="1">
        <f t="array" ref="R27">_xlfn.XLOOKUP(TRUE, EXACT(Table27[[#This Row],[X]], Table27[orig]), Table27[X])</f>
        <v>T</v>
      </c>
      <c r="S27" t="str" cm="1">
        <f t="array" ref="S27">_xlfn.XLOOKUP(TRUE, EXACT(Table27[[#This Row],[X2]], Table27[orig]), Table27[X])</f>
        <v>V</v>
      </c>
      <c r="T27" t="str">
        <f>Table29[[#This Row],[Y]]</f>
        <v>F</v>
      </c>
      <c r="U27" t="str" cm="1">
        <f t="array" ref="U27">_xlfn.XLOOKUP(TRUE, EXACT(Table27[[#This Row],[Y]], Table27[orig]), Table27[Y])</f>
        <v>R</v>
      </c>
      <c r="V27" t="str" cm="1">
        <f t="array" ref="V27">_xlfn.XLOOKUP(TRUE, EXACT(Table27[[#This Row],[Y2]], Table27[orig]), Table27[Y])</f>
        <v>N</v>
      </c>
      <c r="W27" t="str">
        <f>Table29[[#This Row],[Z]]</f>
        <v>K</v>
      </c>
      <c r="X27" t="str" cm="1">
        <f t="array" ref="X27">_xlfn.XLOOKUP(TRUE, EXACT(Table27[[#This Row],[Z]], Table27[orig]), Table27[Z])</f>
        <v>L</v>
      </c>
      <c r="Y27" t="str" cm="1">
        <f t="array" ref="Y27">_xlfn.XLOOKUP(TRUE, EXACT(Table27[[#This Row],[Z2]], Table27[orig]), Table27[Z])</f>
        <v>I</v>
      </c>
      <c r="Z27" t="str">
        <f>Table29[[#This Row],[R]]</f>
        <v>B</v>
      </c>
      <c r="AA27" t="str" cm="1">
        <f t="array" ref="AA27">_xlfn.XLOOKUP(TRUE, EXACT(Table27[[#This Row],[R]], Table27[orig]), Table27[R])</f>
        <v>T</v>
      </c>
      <c r="AB27" t="str" cm="1">
        <f t="array" ref="AB27">_xlfn.XLOOKUP(TRUE, EXACT(Table27[[#This Row],[R2]], Table27[orig]), Table27[R])</f>
        <v>V</v>
      </c>
      <c r="AC27" t="str" cm="1">
        <f t="array" ref="AC27">_xlfn.XLOOKUP(TRUE, EXACT(_xlfn.XLOOKUP(TRUE, EXACT(Table27[[#This Row],[Y2]], Table27[orig]), Table27[R]), Table27[orig]), Table27[Y2])</f>
        <v>J</v>
      </c>
      <c r="AD27" t="str" cm="1">
        <f t="array" ref="AD27">_xlfn.XLOOKUP(TRUE, EXACT(Table27[[#This Row],[L]], Table27[orig]), Table27[L])</f>
        <v>J</v>
      </c>
      <c r="AE27" t="str" cm="1">
        <f t="array" ref="AE27">_xlfn.XLOOKUP(TRUE, EXACT(Table27[[#This Row],[L2]], Table27[orig]), Table27[L])</f>
        <v>J</v>
      </c>
      <c r="AF27" t="str" cm="1">
        <f t="array" ref="AF27">_xlfn.XLOOKUP(TRUE, EXACT(Table27[[#This Row],[r-lower]], Table27[orig]), Table27[R''])</f>
        <v>J</v>
      </c>
      <c r="AG27" t="str" cm="1">
        <f t="array" ref="AG27">_xlfn.XLOOKUP(TRUE, EXACT(Table27[[#This Row],[T]], Table27[orig]), Table27[T])</f>
        <v>J</v>
      </c>
      <c r="AH27" t="str" cm="1">
        <f t="array" ref="AH27">_xlfn.XLOOKUP(TRUE, EXACT(Table27[[#This Row],[T2]], Table27[orig]), Table27[T])</f>
        <v>J</v>
      </c>
      <c r="AI27" t="str" cm="1">
        <f t="array" ref="AI27">_xlfn.XLOOKUP(TRUE, EXACT(Table27[[#This Row],[X]], Table27[orig]), Table27[L])</f>
        <v>B</v>
      </c>
      <c r="AJ27" t="str" cm="1">
        <f t="array" ref="AJ27">_xlfn.XLOOKUP(TRUE, EXACT(Table27[[#This Row],[r-lower]], Table27[orig]), Table27[r-lower])</f>
        <v>T</v>
      </c>
      <c r="AK27" t="str" cm="1">
        <f t="array" ref="AK27">_xlfn.XLOOKUP(TRUE, EXACT(Table27[[#This Row],[r2-lower]], Table27[orig]), Table27[r-lower])</f>
        <v>V</v>
      </c>
      <c r="AL27" t="str" cm="1">
        <f t="array" ref="AL27">_xlfn.XLOOKUP(TRUE, EXACT(Table27[[#This Row],[X'']], Table27[orig]), Table27[R])</f>
        <v>J</v>
      </c>
      <c r="AM27" t="str" cm="1">
        <f t="array" ref="AM27">_xlfn.XLOOKUP(TRUE, EXACT(Table27[[#This Row],[l-lower]], Table27[orig]), Table27[l-lower])</f>
        <v>J</v>
      </c>
      <c r="AN27" t="str" cm="1">
        <f t="array" ref="AN27">_xlfn.XLOOKUP(TRUE, EXACT(Table27[[#This Row],[l2-lower]], Table27[orig]), Table27[l-lower])</f>
        <v>J</v>
      </c>
      <c r="AO27" t="str" cm="1">
        <f t="array" ref="AO27">_xlfn.XLOOKUP(TRUE, EXACT(Table27[[#This Row],[R]], Table27[orig]), Table27[L''])</f>
        <v>B</v>
      </c>
      <c r="AP27" t="str" cm="1">
        <f t="array" ref="AP27">_xlfn.XLOOKUP(TRUE, EXACT(Table27[[#This Row],[RL'']], Table27[orig]), Table27[RL''])</f>
        <v>T</v>
      </c>
      <c r="AQ27" t="str" cm="1">
        <f t="array" ref="AQ27">_xlfn.XLOOKUP(TRUE, EXACT(Table27[[#This Row],[R2L2]], Table27[orig]), Table27[RL''])</f>
        <v>V</v>
      </c>
      <c r="AR27" t="str">
        <f>Table29[[#This Row],[U]]</f>
        <v>F</v>
      </c>
      <c r="AS27" t="str" cm="1">
        <f t="array" ref="AS27">_xlfn.XLOOKUP(TRUE, EXACT(Table27[[#This Row],[U]], Table27[orig]), Table27[U])</f>
        <v>R</v>
      </c>
      <c r="AT27" t="str" cm="1">
        <f t="array" ref="AT27">_xlfn.XLOOKUP(TRUE, EXACT(Table27[[#This Row],[U2]], Table27[orig]), Table27[U])</f>
        <v>N</v>
      </c>
      <c r="AU27" t="str" cm="1">
        <f t="array" ref="AU27">_xlfn.XLOOKUP(TRUE, EXACT(_xlfn.XLOOKUP(TRUE, EXACT(Table27[[#This Row],[Z2]], Table27[orig]), Table27[U]), Table27[orig]), Table27[Z2])</f>
        <v>J</v>
      </c>
      <c r="AV27" t="str" cm="1">
        <f t="array" ref="AV27">_xlfn.XLOOKUP(TRUE, EXACT(Table27[[#This Row],[D]], Table27[orig]), Table27[D])</f>
        <v>J</v>
      </c>
      <c r="AW27" t="str" cm="1">
        <f t="array" ref="AW27">_xlfn.XLOOKUP(TRUE, EXACT(Table27[[#This Row],[D2]], Table27[orig]), Table27[D])</f>
        <v>J</v>
      </c>
      <c r="AX27" t="str" cm="1">
        <f t="array" ref="AX27">_xlfn.XLOOKUP(TRUE, EXACT(Table27[[#This Row],[u-lower]], Table27[orig]), Table27[U''])</f>
        <v>J</v>
      </c>
      <c r="AY27" t="str" cm="1">
        <f t="array" ref="AY27">_xlfn.XLOOKUP(TRUE, EXACT(Table27[[#This Row],[H]], Table27[orig]), Table27[H])</f>
        <v>J</v>
      </c>
      <c r="AZ27" t="str" cm="1">
        <f t="array" ref="AZ27">_xlfn.XLOOKUP(TRUE, EXACT(Table27[[#This Row],[H2]], Table27[orig]), Table27[H])</f>
        <v>J</v>
      </c>
      <c r="BA27" t="str" cm="1">
        <f t="array" ref="BA27">_xlfn.XLOOKUP(TRUE, EXACT(Table27[[#This Row],[Y]], Table27[orig]), Table27[D])</f>
        <v>F</v>
      </c>
      <c r="BB27" t="str" cm="1">
        <f t="array" ref="BB27">_xlfn.XLOOKUP(TRUE, EXACT(Table27[[#This Row],[u-lower]], Table27[orig]), Table27[u-lower])</f>
        <v>R</v>
      </c>
      <c r="BC27" t="str" cm="1">
        <f t="array" ref="BC27">_xlfn.XLOOKUP(TRUE, EXACT(Table27[[#This Row],[u2-lower]], Table27[orig]), Table27[u-lower])</f>
        <v>N</v>
      </c>
      <c r="BD27" t="str" cm="1">
        <f t="array" ref="BD27">_xlfn.XLOOKUP(TRUE, EXACT(Table27[[#This Row],[Y'']], Table27[orig]), Table27[U])</f>
        <v>J</v>
      </c>
      <c r="BE27" t="str" cm="1">
        <f t="array" ref="BE27">_xlfn.XLOOKUP(TRUE, EXACT(Table27[[#This Row],[d-lower]], Table27[orig]), Table27[d-lower])</f>
        <v>J</v>
      </c>
      <c r="BF27" t="str" cm="1">
        <f t="array" ref="BF27">_xlfn.XLOOKUP(TRUE, EXACT(Table27[[#This Row],[d2-lower]], Table27[orig]), Table27[d-lower])</f>
        <v>J</v>
      </c>
      <c r="BG27" t="str" cm="1">
        <f t="array" ref="BG27">_xlfn.XLOOKUP(TRUE, EXACT(Table27[[#This Row],[U]], Table27[orig]), Table27[D''])</f>
        <v>F</v>
      </c>
      <c r="BH27" t="str" cm="1">
        <f t="array" ref="BH27">_xlfn.XLOOKUP(TRUE, EXACT(Table27[[#This Row],[UD'']], Table27[orig]), Table27[UD''])</f>
        <v>R</v>
      </c>
      <c r="BI27" t="str" cm="1">
        <f t="array" ref="BI27">_xlfn.XLOOKUP(TRUE, EXACT(Table27[[#This Row],[U2D2]], Table27[orig]), Table27[UD''])</f>
        <v>N</v>
      </c>
      <c r="BJ27" t="str">
        <f>Table29[[#This Row],[F]]</f>
        <v>K</v>
      </c>
      <c r="BK27" t="str" cm="1">
        <f t="array" ref="BK27">_xlfn.XLOOKUP(TRUE, EXACT(Table27[[#This Row],[F]], Table27[orig]), Table27[F])</f>
        <v>L</v>
      </c>
      <c r="BL27" t="str" cm="1">
        <f t="array" ref="BL27">_xlfn.XLOOKUP(TRUE, EXACT(Table27[[#This Row],[F2]], Table27[orig]), Table27[F])</f>
        <v>I</v>
      </c>
      <c r="BM27" t="str" cm="1">
        <f t="array" ref="BM27">_xlfn.XLOOKUP(TRUE, EXACT(_xlfn.XLOOKUP(TRUE, EXACT(Table27[[#This Row],[X2]], Table27[orig]), Table27[F]), Table27[orig]), Table27[X2])</f>
        <v>J</v>
      </c>
      <c r="BN27" t="str" cm="1">
        <f t="array" ref="BN27">_xlfn.XLOOKUP(TRUE, EXACT(Table27[[#This Row],[B]], Table27[orig]), Table27[B])</f>
        <v>J</v>
      </c>
      <c r="BO27" t="str" cm="1">
        <f t="array" ref="BO27">_xlfn.XLOOKUP(TRUE, EXACT(Table27[[#This Row],[B2]], Table27[orig]), Table27[B])</f>
        <v>J</v>
      </c>
      <c r="BP27" t="str" cm="1">
        <f t="array" ref="BP27">_xlfn.XLOOKUP(TRUE, EXACT(Table27[[#This Row],[f-lower]], Table27[orig]), Table27[F''])</f>
        <v>J</v>
      </c>
      <c r="BQ27" t="str" cm="1">
        <f t="array" ref="BQ27">_xlfn.XLOOKUP(TRUE, EXACT(Table27[[#This Row],[S]], Table27[orig]), Table27[S])</f>
        <v>J</v>
      </c>
      <c r="BR27" t="str" cm="1">
        <f t="array" ref="BR27">_xlfn.XLOOKUP(TRUE, EXACT(Table27[[#This Row],[S2]], Table27[orig]), Table27[S])</f>
        <v>J</v>
      </c>
      <c r="BS27" t="str" cm="1">
        <f t="array" ref="BS27">_xlfn.XLOOKUP(TRUE, EXACT(Table27[[#This Row],[Z]], Table27[orig]), Table27[B])</f>
        <v>K</v>
      </c>
      <c r="BT27" t="str" cm="1">
        <f t="array" ref="BT27">_xlfn.XLOOKUP(TRUE, EXACT(Table27[[#This Row],[f-lower]], Table27[orig]), Table27[f-lower])</f>
        <v>L</v>
      </c>
      <c r="BU27" t="str" cm="1">
        <f t="array" ref="BU27">_xlfn.XLOOKUP(TRUE, EXACT(Table27[[#This Row],[f2-lower]], Table27[orig]), Table27[f-lower])</f>
        <v>I</v>
      </c>
      <c r="BV27" t="str" cm="1">
        <f t="array" ref="BV27">_xlfn.XLOOKUP(TRUE, EXACT(Table27[[#This Row],[Z'']], Table27[orig]), Table27[F])</f>
        <v>J</v>
      </c>
      <c r="BW27" t="str" cm="1">
        <f t="array" ref="BW27">_xlfn.XLOOKUP(TRUE, EXACT(Table27[[#This Row],[b-lower]], Table27[orig]), Table27[b-lower])</f>
        <v>J</v>
      </c>
      <c r="BX27" t="str" cm="1">
        <f t="array" ref="BX27">_xlfn.XLOOKUP(TRUE, EXACT(Table27[[#This Row],[b2-lower]], Table27[orig]), Table27[b-lower])</f>
        <v>J</v>
      </c>
      <c r="BY27" t="str" cm="1">
        <f t="array" ref="BY27">_xlfn.XLOOKUP(TRUE, EXACT(Table27[[#This Row],[F]], Table27[orig]), Table27[B''])</f>
        <v>K</v>
      </c>
      <c r="BZ27" t="str" cm="1">
        <f t="array" ref="BZ27">_xlfn.XLOOKUP(TRUE, EXACT(Table27[[#This Row],[FB'']], Table27[orig]), Table27[FB''])</f>
        <v>L</v>
      </c>
      <c r="CA27" t="str" cm="1">
        <f t="array" ref="CA27">_xlfn.XLOOKUP(TRUE, EXACT(Table27[[#This Row],[F2B2]], Table27[orig]), Table27[FB''])</f>
        <v>I</v>
      </c>
      <c r="CD27" t="s">
        <v>64</v>
      </c>
      <c r="CE27" t="str">
        <f>Table28[[#This Row],[orig]]</f>
        <v>J</v>
      </c>
      <c r="CF27" t="str">
        <f>Table29[[#This Row],[X]]</f>
        <v>B</v>
      </c>
      <c r="CG27" t="str" cm="1">
        <f t="array" ref="CG27">_xlfn.XLOOKUP(TRUE, EXACT(Table28[[#This Row],[X]], Table28[orig]), Table28[X])</f>
        <v>T</v>
      </c>
      <c r="CH27" t="str" cm="1">
        <f t="array" ref="CH27">_xlfn.XLOOKUP(TRUE, EXACT(Table28[[#This Row],[X2]], Table28[orig]), Table28[X])</f>
        <v>V</v>
      </c>
      <c r="CI27" t="str">
        <f>Table29[[#This Row],[Y]]</f>
        <v>F</v>
      </c>
      <c r="CJ27" t="str" cm="1">
        <f t="array" ref="CJ27">_xlfn.XLOOKUP(TRUE, EXACT(Table28[[#This Row],[Y]], Table28[orig]), Table28[Y])</f>
        <v>R</v>
      </c>
      <c r="CK27" t="str" cm="1">
        <f t="array" ref="CK27">_xlfn.XLOOKUP(TRUE, EXACT(Table28[[#This Row],[Y2]], Table28[orig]), Table28[Y])</f>
        <v>N</v>
      </c>
      <c r="CL27" t="str">
        <f>Table29[[#This Row],[Z]]</f>
        <v>K</v>
      </c>
      <c r="CM27" t="str" cm="1">
        <f t="array" ref="CM27">_xlfn.XLOOKUP(TRUE, EXACT(Table28[[#This Row],[Z]], Table28[orig]), Table28[Z])</f>
        <v>L</v>
      </c>
      <c r="CN27" t="str" cm="1">
        <f t="array" ref="CN27">_xlfn.XLOOKUP(TRUE, EXACT(Table28[[#This Row],[Z2]], Table28[orig]), Table28[Z])</f>
        <v>I</v>
      </c>
      <c r="CO27" t="str" cm="1">
        <f t="array" ref="CO27">_xlfn.XLOOKUP(TRUE, EXACT(Table28[[#This Row],[Z]], Table28[orig]), Table28[X])</f>
        <v>C</v>
      </c>
      <c r="CP27" t="str" cm="1">
        <f t="array" ref="CP27">_xlfn.XLOOKUP(TRUE, EXACT(Table28[[#This Row],[Y'']], Table28[orig]), Table28[X''])</f>
        <v>M</v>
      </c>
      <c r="CQ27" t="str" cm="1">
        <f t="array" ref="CQ27">_xlfn.XLOOKUP(TRUE, EXACT(Table28[[#This Row],[Y]], Table28[orig]), Table28[X''])</f>
        <v>G</v>
      </c>
      <c r="CR27" t="str" cm="1">
        <f t="array" ref="CR27">_xlfn.XLOOKUP(TRUE, EXACT(Table28[[#This Row],[Z'']], Table28[orig]), Table28[X])</f>
        <v>A</v>
      </c>
      <c r="CS27" t="str" cm="1">
        <f t="array" ref="CS27">_xlfn.XLOOKUP(TRUE, EXACT(Table28[[#This Row],[Z'']], Table28[orig]), Table28[X''])</f>
        <v>U</v>
      </c>
      <c r="CT27" t="str" cm="1">
        <f t="array" ref="CT27">_xlfn.XLOOKUP(TRUE, EXACT(Table28[[#This Row],[Y'']], Table28[orig]), Table28[X])</f>
        <v>O</v>
      </c>
      <c r="CU27" t="str" cm="1">
        <f t="array" ref="CU27">_xlfn.XLOOKUP(TRUE, EXACT(Table28[[#This Row],[Y]], Table28[orig]), Table28[X])</f>
        <v>E</v>
      </c>
      <c r="CV27" t="str" cm="1">
        <f t="array" ref="CV27">_xlfn.XLOOKUP(TRUE, EXACT(Table28[[#This Row],[Z]], Table28[orig]), Table28[X''])</f>
        <v>W</v>
      </c>
      <c r="CW27" t="str" cm="1">
        <f t="array" ref="CW27">_xlfn.XLOOKUP(TRUE, EXACT(Table28[[#This Row],[Y'']], Table28[orig]), Table28[X2])</f>
        <v>P</v>
      </c>
      <c r="CX27" t="str" cm="1">
        <f t="array" ref="CX27">_xlfn.XLOOKUP(TRUE, EXACT(Table28[[#This Row],[Y]], Table28[orig]), Table28[X2])</f>
        <v>H</v>
      </c>
      <c r="CY27" t="str" cm="1">
        <f t="array" ref="CY27">_xlfn.XLOOKUP(TRUE, EXACT(Table28[[#This Row],[Z]], Table28[orig]), Table28[X2])</f>
        <v>Q</v>
      </c>
      <c r="CZ27" t="str" cm="1">
        <f t="array" ref="CZ27">_xlfn.XLOOKUP(TRUE, EXACT(Table28[[#This Row],[Z'']], Table28[orig]), Table28[X2])</f>
        <v>S</v>
      </c>
      <c r="DA27" t="str" cm="1">
        <f t="array" ref="DA27">_xlfn.XLOOKUP(TRUE, EXACT(Table28[[#This Row],[Z2]], Table28[orig]), Table28[X])</f>
        <v>D</v>
      </c>
      <c r="DB27" t="str" cm="1">
        <f t="array" ref="DB27">_xlfn.XLOOKUP(TRUE, EXACT(Table28[[#This Row],[Z2]], Table28[orig]), Table28[X''])</f>
        <v>X</v>
      </c>
      <c r="DE27" s="4" t="s">
        <v>64</v>
      </c>
      <c r="DF27" s="4" t="str" cm="1">
        <f t="array" ref="DF27">_xlfn.XLOOKUP(TRUE, EXACT(Table28[[#This Row],[I]], Table29[orig]), Table29[T-reflection])</f>
        <v>I</v>
      </c>
      <c r="DG27" s="4" t="str" cm="1">
        <f t="array" ref="DG27">_xlfn.XLOOKUP(TRUE, EXACT(Table28[[#This Row],[X]], Table29[orig]), Table29[T-reflection])</f>
        <v>A</v>
      </c>
      <c r="DH27" t="str" cm="1">
        <f t="array" ref="DH27">_xlfn.XLOOKUP(TRUE, EXACT(Table28[[#This Row],[X2]], Table29[orig]), Table29[T-reflection])</f>
        <v>S</v>
      </c>
      <c r="DI27" t="str" cm="1">
        <f t="array" ref="DI27">_xlfn.XLOOKUP(TRUE, EXACT(Table28[[#This Row],[X'']], Table29[orig]), Table29[T-reflection])</f>
        <v>U</v>
      </c>
      <c r="DJ27" s="4" t="str" cm="1">
        <f t="array" ref="DJ27">_xlfn.XLOOKUP(TRUE, EXACT(Table28[[#This Row],[Y]], Table29[orig]), Table29[T-reflection])</f>
        <v>M</v>
      </c>
      <c r="DK27" t="str" cm="1">
        <f t="array" ref="DK27">_xlfn.XLOOKUP(TRUE, EXACT(Table28[[#This Row],[Y2]], Table29[orig]), Table29[T-reflection])</f>
        <v>Q</v>
      </c>
      <c r="DL27" t="str" cm="1">
        <f t="array" ref="DL27">_xlfn.XLOOKUP(TRUE, EXACT(Table28[[#This Row],[Y'']], Table29[orig]), Table29[T-reflection])</f>
        <v>E</v>
      </c>
      <c r="DM27" s="4" t="str" cm="1">
        <f t="array" ref="DM27">_xlfn.XLOOKUP(TRUE, EXACT(Table28[[#This Row],[Z]], Table29[orig]), Table29[T-reflection])</f>
        <v>L</v>
      </c>
      <c r="DN27" t="str" cm="1">
        <f t="array" ref="DN27">_xlfn.XLOOKUP(TRUE, EXACT(Table28[[#This Row],[Z2]], Table29[orig]), Table29[T-reflection])</f>
        <v>K</v>
      </c>
      <c r="DO27" t="str" cm="1">
        <f t="array" ref="DO27">_xlfn.XLOOKUP(TRUE, EXACT(Table28[[#This Row],[Z'']], Table29[orig]), Table29[T-reflection])</f>
        <v>J</v>
      </c>
      <c r="DP27" t="str" cm="1">
        <f t="array" ref="DP27">_xlfn.XLOOKUP(TRUE, EXACT(Table28[[#This Row],[Z X]], Table29[orig]), Table29[T-reflection])</f>
        <v>D</v>
      </c>
      <c r="DQ27" t="str" cm="1">
        <f t="array" ref="DQ27">_xlfn.XLOOKUP(TRUE, EXACT(Table28[[#This Row],[Y'' X'']], Table29[orig]), Table29[T-reflection])</f>
        <v>F</v>
      </c>
      <c r="DR27" t="str" cm="1">
        <f t="array" ref="DR27">_xlfn.XLOOKUP(TRUE, EXACT(Table28[[#This Row],[Y X'']], Table29[orig]), Table29[T-reflection])</f>
        <v>P</v>
      </c>
      <c r="DS27" t="str" cm="1">
        <f t="array" ref="DS27">_xlfn.XLOOKUP(TRUE, EXACT(Table28[[#This Row],[Z'' X]], Table29[orig]), Table29[T-reflection])</f>
        <v>B</v>
      </c>
      <c r="DT27" t="str" cm="1">
        <f t="array" ref="DT27">_xlfn.XLOOKUP(TRUE, EXACT(Table28[[#This Row],[Z'' X'']], Table29[orig]), Table29[T-reflection])</f>
        <v>V</v>
      </c>
      <c r="DU27" t="str" cm="1">
        <f t="array" ref="DU27">_xlfn.XLOOKUP(TRUE, EXACT(Table28[[#This Row],[Y'' X]], Table29[orig]), Table29[T-reflection])</f>
        <v>H</v>
      </c>
      <c r="DV27" t="str" cm="1">
        <f t="array" ref="DV27">_xlfn.XLOOKUP(TRUE, EXACT(Table28[[#This Row],[Y X]], Table29[orig]), Table29[T-reflection])</f>
        <v>N</v>
      </c>
      <c r="DW27" t="str" cm="1">
        <f t="array" ref="DW27">_xlfn.XLOOKUP(TRUE, EXACT(Table28[[#This Row],[Z X'']], Table29[orig]), Table29[T-reflection])</f>
        <v>X</v>
      </c>
      <c r="DX27" t="str" cm="1">
        <f t="array" ref="DX27">_xlfn.XLOOKUP(TRUE, EXACT(Table28[[#This Row],[Y'' X2]], Table29[orig]), Table29[T-reflection])</f>
        <v>G</v>
      </c>
      <c r="DY27" t="str" cm="1">
        <f t="array" ref="DY27">_xlfn.XLOOKUP(TRUE, EXACT(Table28[[#This Row],[Y X2]], Table29[orig]), Table29[T-reflection])</f>
        <v>O</v>
      </c>
      <c r="DZ27" t="str" cm="1">
        <f t="array" ref="DZ27">_xlfn.XLOOKUP(TRUE, EXACT(Table28[[#This Row],[Z X2]], Table29[orig]), Table29[T-reflection])</f>
        <v>R</v>
      </c>
      <c r="EA27" t="str" cm="1">
        <f t="array" ref="EA27">_xlfn.XLOOKUP(TRUE, EXACT(Table28[[#This Row],[Z'' X2]], Table29[orig]), Table29[T-reflection])</f>
        <v>T</v>
      </c>
      <c r="EB27" t="str" cm="1">
        <f t="array" ref="EB27">_xlfn.XLOOKUP(TRUE, EXACT(Table28[[#This Row],[Z2 X]], Table29[orig]), Table29[T-reflection])</f>
        <v>C</v>
      </c>
      <c r="EC27" t="str" cm="1">
        <f t="array" ref="EC27">_xlfn.XLOOKUP(TRUE, EXACT(Table28[[#This Row],[Z2 X'']], Table29[orig]), Table29[T-reflection])</f>
        <v>W</v>
      </c>
    </row>
    <row r="28" spans="1:164" x14ac:dyDescent="0.2">
      <c r="B28" t="s">
        <v>69</v>
      </c>
      <c r="C28" t="s">
        <v>69</v>
      </c>
      <c r="D28" t="s">
        <v>39</v>
      </c>
      <c r="E28" t="s">
        <v>61</v>
      </c>
      <c r="F28" t="s">
        <v>30</v>
      </c>
      <c r="G28" t="s">
        <v>30</v>
      </c>
      <c r="H28" t="s">
        <v>64</v>
      </c>
      <c r="I28" t="s">
        <v>48</v>
      </c>
      <c r="J28" t="s">
        <v>39</v>
      </c>
      <c r="K28" t="s">
        <v>69</v>
      </c>
      <c r="L28" t="s">
        <v>30</v>
      </c>
      <c r="O28" t="s">
        <v>69</v>
      </c>
      <c r="P28" t="str">
        <f>Table27[[#This Row],[orig]]</f>
        <v>K</v>
      </c>
      <c r="Q28" t="str">
        <f>Table29[[#This Row],[X]]</f>
        <v>C</v>
      </c>
      <c r="R28" t="str" cm="1">
        <f t="array" ref="R28">_xlfn.XLOOKUP(TRUE, EXACT(Table27[[#This Row],[X]], Table27[orig]), Table27[X])</f>
        <v>Q</v>
      </c>
      <c r="S28" t="str" cm="1">
        <f t="array" ref="S28">_xlfn.XLOOKUP(TRUE, EXACT(Table27[[#This Row],[X2]], Table27[orig]), Table27[X])</f>
        <v>W</v>
      </c>
      <c r="T28" t="str">
        <f>Table29[[#This Row],[Y]]</f>
        <v>G</v>
      </c>
      <c r="U28" t="str" cm="1">
        <f t="array" ref="U28">_xlfn.XLOOKUP(TRUE, EXACT(Table27[[#This Row],[Y]], Table27[orig]), Table27[Y])</f>
        <v>S</v>
      </c>
      <c r="V28" t="str" cm="1">
        <f t="array" ref="V28">_xlfn.XLOOKUP(TRUE, EXACT(Table27[[#This Row],[Y2]], Table27[orig]), Table27[Y])</f>
        <v>O</v>
      </c>
      <c r="W28" t="str">
        <f>Table29[[#This Row],[Z]]</f>
        <v>L</v>
      </c>
      <c r="X28" t="str" cm="1">
        <f t="array" ref="X28">_xlfn.XLOOKUP(TRUE, EXACT(Table27[[#This Row],[Z]], Table27[orig]), Table27[Z])</f>
        <v>I</v>
      </c>
      <c r="Y28" t="str" cm="1">
        <f t="array" ref="Y28">_xlfn.XLOOKUP(TRUE, EXACT(Table27[[#This Row],[Z2]], Table27[orig]), Table27[Z])</f>
        <v>J</v>
      </c>
      <c r="Z28" t="str">
        <f>Table29[[#This Row],[R]]</f>
        <v>C</v>
      </c>
      <c r="AA28" t="str" cm="1">
        <f t="array" ref="AA28">_xlfn.XLOOKUP(TRUE, EXACT(Table27[[#This Row],[R]], Table27[orig]), Table27[R])</f>
        <v>Q</v>
      </c>
      <c r="AB28" t="str" cm="1">
        <f t="array" ref="AB28">_xlfn.XLOOKUP(TRUE, EXACT(Table27[[#This Row],[R2]], Table27[orig]), Table27[R])</f>
        <v>W</v>
      </c>
      <c r="AC28" t="str" cm="1">
        <f t="array" ref="AC28">_xlfn.XLOOKUP(TRUE, EXACT(_xlfn.XLOOKUP(TRUE, EXACT(Table27[[#This Row],[Y2]], Table27[orig]), Table27[R]), Table27[orig]), Table27[Y2])</f>
        <v>K</v>
      </c>
      <c r="AD28" t="str" cm="1">
        <f t="array" ref="AD28">_xlfn.XLOOKUP(TRUE, EXACT(Table27[[#This Row],[L]], Table27[orig]), Table27[L])</f>
        <v>K</v>
      </c>
      <c r="AE28" t="str" cm="1">
        <f t="array" ref="AE28">_xlfn.XLOOKUP(TRUE, EXACT(Table27[[#This Row],[L2]], Table27[orig]), Table27[L])</f>
        <v>K</v>
      </c>
      <c r="AF28" t="str" cm="1">
        <f t="array" ref="AF28">_xlfn.XLOOKUP(TRUE, EXACT(Table27[[#This Row],[r-lower]], Table27[orig]), Table27[R''])</f>
        <v>K</v>
      </c>
      <c r="AG28" t="str" cm="1">
        <f t="array" ref="AG28">_xlfn.XLOOKUP(TRUE, EXACT(Table27[[#This Row],[T]], Table27[orig]), Table27[T])</f>
        <v>K</v>
      </c>
      <c r="AH28" t="str" cm="1">
        <f t="array" ref="AH28">_xlfn.XLOOKUP(TRUE, EXACT(Table27[[#This Row],[T2]], Table27[orig]), Table27[T])</f>
        <v>K</v>
      </c>
      <c r="AI28" t="str" cm="1">
        <f t="array" ref="AI28">_xlfn.XLOOKUP(TRUE, EXACT(Table27[[#This Row],[X]], Table27[orig]), Table27[L])</f>
        <v>C</v>
      </c>
      <c r="AJ28" t="str" cm="1">
        <f t="array" ref="AJ28">_xlfn.XLOOKUP(TRUE, EXACT(Table27[[#This Row],[r-lower]], Table27[orig]), Table27[r-lower])</f>
        <v>Q</v>
      </c>
      <c r="AK28" t="str" cm="1">
        <f t="array" ref="AK28">_xlfn.XLOOKUP(TRUE, EXACT(Table27[[#This Row],[r2-lower]], Table27[orig]), Table27[r-lower])</f>
        <v>W</v>
      </c>
      <c r="AL28" t="str" cm="1">
        <f t="array" ref="AL28">_xlfn.XLOOKUP(TRUE, EXACT(Table27[[#This Row],[X'']], Table27[orig]), Table27[R])</f>
        <v>K</v>
      </c>
      <c r="AM28" t="str" cm="1">
        <f t="array" ref="AM28">_xlfn.XLOOKUP(TRUE, EXACT(Table27[[#This Row],[l-lower]], Table27[orig]), Table27[l-lower])</f>
        <v>K</v>
      </c>
      <c r="AN28" t="str" cm="1">
        <f t="array" ref="AN28">_xlfn.XLOOKUP(TRUE, EXACT(Table27[[#This Row],[l2-lower]], Table27[orig]), Table27[l-lower])</f>
        <v>K</v>
      </c>
      <c r="AO28" t="str" cm="1">
        <f t="array" ref="AO28">_xlfn.XLOOKUP(TRUE, EXACT(Table27[[#This Row],[R]], Table27[orig]), Table27[L''])</f>
        <v>C</v>
      </c>
      <c r="AP28" t="str" cm="1">
        <f t="array" ref="AP28">_xlfn.XLOOKUP(TRUE, EXACT(Table27[[#This Row],[RL'']], Table27[orig]), Table27[RL''])</f>
        <v>Q</v>
      </c>
      <c r="AQ28" t="str" cm="1">
        <f t="array" ref="AQ28">_xlfn.XLOOKUP(TRUE, EXACT(Table27[[#This Row],[R2L2]], Table27[orig]), Table27[RL''])</f>
        <v>W</v>
      </c>
      <c r="AR28" t="str">
        <f>Table29[[#This Row],[U]]</f>
        <v>K</v>
      </c>
      <c r="AS28" t="str" cm="1">
        <f t="array" ref="AS28">_xlfn.XLOOKUP(TRUE, EXACT(Table27[[#This Row],[U]], Table27[orig]), Table27[U])</f>
        <v>K</v>
      </c>
      <c r="AT28" t="str" cm="1">
        <f t="array" ref="AT28">_xlfn.XLOOKUP(TRUE, EXACT(Table27[[#This Row],[U2]], Table27[orig]), Table27[U])</f>
        <v>K</v>
      </c>
      <c r="AU28" t="str" cm="1">
        <f t="array" ref="AU28">_xlfn.XLOOKUP(TRUE, EXACT(_xlfn.XLOOKUP(TRUE, EXACT(Table27[[#This Row],[Z2]], Table27[orig]), Table27[U]), Table27[orig]), Table27[Z2])</f>
        <v>O</v>
      </c>
      <c r="AV28" t="str" cm="1">
        <f t="array" ref="AV28">_xlfn.XLOOKUP(TRUE, EXACT(Table27[[#This Row],[D]], Table27[orig]), Table27[D])</f>
        <v>S</v>
      </c>
      <c r="AW28" t="str" cm="1">
        <f t="array" ref="AW28">_xlfn.XLOOKUP(TRUE, EXACT(Table27[[#This Row],[D2]], Table27[orig]), Table27[D])</f>
        <v>G</v>
      </c>
      <c r="AX28" t="str" cm="1">
        <f t="array" ref="AX28">_xlfn.XLOOKUP(TRUE, EXACT(Table27[[#This Row],[u-lower]], Table27[orig]), Table27[U''])</f>
        <v>K</v>
      </c>
      <c r="AY28" t="str" cm="1">
        <f t="array" ref="AY28">_xlfn.XLOOKUP(TRUE, EXACT(Table27[[#This Row],[H]], Table27[orig]), Table27[H])</f>
        <v>K</v>
      </c>
      <c r="AZ28" t="str" cm="1">
        <f t="array" ref="AZ28">_xlfn.XLOOKUP(TRUE, EXACT(Table27[[#This Row],[H2]], Table27[orig]), Table27[H])</f>
        <v>K</v>
      </c>
      <c r="BA28" t="str" cm="1">
        <f t="array" ref="BA28">_xlfn.XLOOKUP(TRUE, EXACT(Table27[[#This Row],[Y]], Table27[orig]), Table27[D])</f>
        <v>K</v>
      </c>
      <c r="BB28" t="str" cm="1">
        <f t="array" ref="BB28">_xlfn.XLOOKUP(TRUE, EXACT(Table27[[#This Row],[u-lower]], Table27[orig]), Table27[u-lower])</f>
        <v>K</v>
      </c>
      <c r="BC28" t="str" cm="1">
        <f t="array" ref="BC28">_xlfn.XLOOKUP(TRUE, EXACT(Table27[[#This Row],[u2-lower]], Table27[orig]), Table27[u-lower])</f>
        <v>K</v>
      </c>
      <c r="BD28" t="str" cm="1">
        <f t="array" ref="BD28">_xlfn.XLOOKUP(TRUE, EXACT(Table27[[#This Row],[Y'']], Table27[orig]), Table27[U])</f>
        <v>O</v>
      </c>
      <c r="BE28" t="str" cm="1">
        <f t="array" ref="BE28">_xlfn.XLOOKUP(TRUE, EXACT(Table27[[#This Row],[d-lower]], Table27[orig]), Table27[d-lower])</f>
        <v>S</v>
      </c>
      <c r="BF28" t="str" cm="1">
        <f t="array" ref="BF28">_xlfn.XLOOKUP(TRUE, EXACT(Table27[[#This Row],[d2-lower]], Table27[orig]), Table27[d-lower])</f>
        <v>G</v>
      </c>
      <c r="BG28" t="str" cm="1">
        <f t="array" ref="BG28">_xlfn.XLOOKUP(TRUE, EXACT(Table27[[#This Row],[U]], Table27[orig]), Table27[D''])</f>
        <v>G</v>
      </c>
      <c r="BH28" t="str" cm="1">
        <f t="array" ref="BH28">_xlfn.XLOOKUP(TRUE, EXACT(Table27[[#This Row],[UD'']], Table27[orig]), Table27[UD''])</f>
        <v>S</v>
      </c>
      <c r="BI28" t="str" cm="1">
        <f t="array" ref="BI28">_xlfn.XLOOKUP(TRUE, EXACT(Table27[[#This Row],[U2D2]], Table27[orig]), Table27[UD''])</f>
        <v>O</v>
      </c>
      <c r="BJ28" t="str">
        <f>Table29[[#This Row],[F]]</f>
        <v>L</v>
      </c>
      <c r="BK28" t="str" cm="1">
        <f t="array" ref="BK28">_xlfn.XLOOKUP(TRUE, EXACT(Table27[[#This Row],[F]], Table27[orig]), Table27[F])</f>
        <v>I</v>
      </c>
      <c r="BL28" t="str" cm="1">
        <f t="array" ref="BL28">_xlfn.XLOOKUP(TRUE, EXACT(Table27[[#This Row],[F2]], Table27[orig]), Table27[F])</f>
        <v>J</v>
      </c>
      <c r="BM28" t="str" cm="1">
        <f t="array" ref="BM28">_xlfn.XLOOKUP(TRUE, EXACT(_xlfn.XLOOKUP(TRUE, EXACT(Table27[[#This Row],[X2]], Table27[orig]), Table27[F]), Table27[orig]), Table27[X2])</f>
        <v>K</v>
      </c>
      <c r="BN28" t="str" cm="1">
        <f t="array" ref="BN28">_xlfn.XLOOKUP(TRUE, EXACT(Table27[[#This Row],[B]], Table27[orig]), Table27[B])</f>
        <v>K</v>
      </c>
      <c r="BO28" t="str" cm="1">
        <f t="array" ref="BO28">_xlfn.XLOOKUP(TRUE, EXACT(Table27[[#This Row],[B2]], Table27[orig]), Table27[B])</f>
        <v>K</v>
      </c>
      <c r="BP28" t="str" cm="1">
        <f t="array" ref="BP28">_xlfn.XLOOKUP(TRUE, EXACT(Table27[[#This Row],[f-lower]], Table27[orig]), Table27[F''])</f>
        <v>K</v>
      </c>
      <c r="BQ28" t="str" cm="1">
        <f t="array" ref="BQ28">_xlfn.XLOOKUP(TRUE, EXACT(Table27[[#This Row],[S]], Table27[orig]), Table27[S])</f>
        <v>K</v>
      </c>
      <c r="BR28" t="str" cm="1">
        <f t="array" ref="BR28">_xlfn.XLOOKUP(TRUE, EXACT(Table27[[#This Row],[S2]], Table27[orig]), Table27[S])</f>
        <v>K</v>
      </c>
      <c r="BS28" t="str" cm="1">
        <f t="array" ref="BS28">_xlfn.XLOOKUP(TRUE, EXACT(Table27[[#This Row],[Z]], Table27[orig]), Table27[B])</f>
        <v>L</v>
      </c>
      <c r="BT28" t="str" cm="1">
        <f t="array" ref="BT28">_xlfn.XLOOKUP(TRUE, EXACT(Table27[[#This Row],[f-lower]], Table27[orig]), Table27[f-lower])</f>
        <v>I</v>
      </c>
      <c r="BU28" t="str" cm="1">
        <f t="array" ref="BU28">_xlfn.XLOOKUP(TRUE, EXACT(Table27[[#This Row],[f2-lower]], Table27[orig]), Table27[f-lower])</f>
        <v>J</v>
      </c>
      <c r="BV28" t="str" cm="1">
        <f t="array" ref="BV28">_xlfn.XLOOKUP(TRUE, EXACT(Table27[[#This Row],[Z'']], Table27[orig]), Table27[F])</f>
        <v>K</v>
      </c>
      <c r="BW28" t="str" cm="1">
        <f t="array" ref="BW28">_xlfn.XLOOKUP(TRUE, EXACT(Table27[[#This Row],[b-lower]], Table27[orig]), Table27[b-lower])</f>
        <v>K</v>
      </c>
      <c r="BX28" t="str" cm="1">
        <f t="array" ref="BX28">_xlfn.XLOOKUP(TRUE, EXACT(Table27[[#This Row],[b2-lower]], Table27[orig]), Table27[b-lower])</f>
        <v>K</v>
      </c>
      <c r="BY28" t="str" cm="1">
        <f t="array" ref="BY28">_xlfn.XLOOKUP(TRUE, EXACT(Table27[[#This Row],[F]], Table27[orig]), Table27[B''])</f>
        <v>L</v>
      </c>
      <c r="BZ28" t="str" cm="1">
        <f t="array" ref="BZ28">_xlfn.XLOOKUP(TRUE, EXACT(Table27[[#This Row],[FB'']], Table27[orig]), Table27[FB''])</f>
        <v>I</v>
      </c>
      <c r="CA28" t="str" cm="1">
        <f t="array" ref="CA28">_xlfn.XLOOKUP(TRUE, EXACT(Table27[[#This Row],[F2B2]], Table27[orig]), Table27[FB''])</f>
        <v>J</v>
      </c>
      <c r="CD28" t="s">
        <v>69</v>
      </c>
      <c r="CE28" t="str">
        <f>Table28[[#This Row],[orig]]</f>
        <v>K</v>
      </c>
      <c r="CF28" t="str">
        <f>Table29[[#This Row],[X]]</f>
        <v>C</v>
      </c>
      <c r="CG28" t="str" cm="1">
        <f t="array" ref="CG28">_xlfn.XLOOKUP(TRUE, EXACT(Table28[[#This Row],[X]], Table28[orig]), Table28[X])</f>
        <v>Q</v>
      </c>
      <c r="CH28" t="str" cm="1">
        <f t="array" ref="CH28">_xlfn.XLOOKUP(TRUE, EXACT(Table28[[#This Row],[X2]], Table28[orig]), Table28[X])</f>
        <v>W</v>
      </c>
      <c r="CI28" t="str">
        <f>Table29[[#This Row],[Y]]</f>
        <v>G</v>
      </c>
      <c r="CJ28" t="str" cm="1">
        <f t="array" ref="CJ28">_xlfn.XLOOKUP(TRUE, EXACT(Table28[[#This Row],[Y]], Table28[orig]), Table28[Y])</f>
        <v>S</v>
      </c>
      <c r="CK28" t="str" cm="1">
        <f t="array" ref="CK28">_xlfn.XLOOKUP(TRUE, EXACT(Table28[[#This Row],[Y2]], Table28[orig]), Table28[Y])</f>
        <v>O</v>
      </c>
      <c r="CL28" t="str">
        <f>Table29[[#This Row],[Z]]</f>
        <v>L</v>
      </c>
      <c r="CM28" t="str" cm="1">
        <f t="array" ref="CM28">_xlfn.XLOOKUP(TRUE, EXACT(Table28[[#This Row],[Z]], Table28[orig]), Table28[Z])</f>
        <v>I</v>
      </c>
      <c r="CN28" t="str" cm="1">
        <f t="array" ref="CN28">_xlfn.XLOOKUP(TRUE, EXACT(Table28[[#This Row],[Z2]], Table28[orig]), Table28[Z])</f>
        <v>J</v>
      </c>
      <c r="CO28" t="str" cm="1">
        <f t="array" ref="CO28">_xlfn.XLOOKUP(TRUE, EXACT(Table28[[#This Row],[Z]], Table28[orig]), Table28[X])</f>
        <v>D</v>
      </c>
      <c r="CP28" t="str" cm="1">
        <f t="array" ref="CP28">_xlfn.XLOOKUP(TRUE, EXACT(Table28[[#This Row],[Y'']], Table28[orig]), Table28[X''])</f>
        <v>N</v>
      </c>
      <c r="CQ28" t="str" cm="1">
        <f t="array" ref="CQ28">_xlfn.XLOOKUP(TRUE, EXACT(Table28[[#This Row],[Y]], Table28[orig]), Table28[X''])</f>
        <v>H</v>
      </c>
      <c r="CR28" t="str" cm="1">
        <f t="array" ref="CR28">_xlfn.XLOOKUP(TRUE, EXACT(Table28[[#This Row],[Z'']], Table28[orig]), Table28[X])</f>
        <v>B</v>
      </c>
      <c r="CS28" t="str" cm="1">
        <f t="array" ref="CS28">_xlfn.XLOOKUP(TRUE, EXACT(Table28[[#This Row],[Z'']], Table28[orig]), Table28[X''])</f>
        <v>V</v>
      </c>
      <c r="CT28" t="str" cm="1">
        <f t="array" ref="CT28">_xlfn.XLOOKUP(TRUE, EXACT(Table28[[#This Row],[Y'']], Table28[orig]), Table28[X])</f>
        <v>P</v>
      </c>
      <c r="CU28" t="str" cm="1">
        <f t="array" ref="CU28">_xlfn.XLOOKUP(TRUE, EXACT(Table28[[#This Row],[Y]], Table28[orig]), Table28[X])</f>
        <v>F</v>
      </c>
      <c r="CV28" t="str" cm="1">
        <f t="array" ref="CV28">_xlfn.XLOOKUP(TRUE, EXACT(Table28[[#This Row],[Z]], Table28[orig]), Table28[X''])</f>
        <v>X</v>
      </c>
      <c r="CW28" t="str" cm="1">
        <f t="array" ref="CW28">_xlfn.XLOOKUP(TRUE, EXACT(Table28[[#This Row],[Y'']], Table28[orig]), Table28[X2])</f>
        <v>M</v>
      </c>
      <c r="CX28" t="str" cm="1">
        <f t="array" ref="CX28">_xlfn.XLOOKUP(TRUE, EXACT(Table28[[#This Row],[Y]], Table28[orig]), Table28[X2])</f>
        <v>E</v>
      </c>
      <c r="CY28" t="str" cm="1">
        <f t="array" ref="CY28">_xlfn.XLOOKUP(TRUE, EXACT(Table28[[#This Row],[Z]], Table28[orig]), Table28[X2])</f>
        <v>R</v>
      </c>
      <c r="CZ28" t="str" cm="1">
        <f t="array" ref="CZ28">_xlfn.XLOOKUP(TRUE, EXACT(Table28[[#This Row],[Z'']], Table28[orig]), Table28[X2])</f>
        <v>T</v>
      </c>
      <c r="DA28" t="str" cm="1">
        <f t="array" ref="DA28">_xlfn.XLOOKUP(TRUE, EXACT(Table28[[#This Row],[Z2]], Table28[orig]), Table28[X])</f>
        <v>A</v>
      </c>
      <c r="DB28" t="str" cm="1">
        <f t="array" ref="DB28">_xlfn.XLOOKUP(TRUE, EXACT(Table28[[#This Row],[Z2]], Table28[orig]), Table28[X''])</f>
        <v>U</v>
      </c>
      <c r="DE28" s="6" t="s">
        <v>69</v>
      </c>
      <c r="DF28" s="6" t="str" cm="1">
        <f t="array" ref="DF28">_xlfn.XLOOKUP(TRUE, EXACT(Table28[[#This Row],[I]], Table29[orig]), Table29[T-reflection])</f>
        <v>L</v>
      </c>
      <c r="DG28" s="6" t="str" cm="1">
        <f t="array" ref="DG28">_xlfn.XLOOKUP(TRUE, EXACT(Table28[[#This Row],[X]], Table29[orig]), Table29[T-reflection])</f>
        <v>D</v>
      </c>
      <c r="DH28" t="str" cm="1">
        <f t="array" ref="DH28">_xlfn.XLOOKUP(TRUE, EXACT(Table28[[#This Row],[X2]], Table29[orig]), Table29[T-reflection])</f>
        <v>R</v>
      </c>
      <c r="DI28" t="str" cm="1">
        <f t="array" ref="DI28">_xlfn.XLOOKUP(TRUE, EXACT(Table28[[#This Row],[X'']], Table29[orig]), Table29[T-reflection])</f>
        <v>X</v>
      </c>
      <c r="DJ28" s="6" t="str" cm="1">
        <f t="array" ref="DJ28">_xlfn.XLOOKUP(TRUE, EXACT(Table28[[#This Row],[Y]], Table29[orig]), Table29[T-reflection])</f>
        <v>P</v>
      </c>
      <c r="DK28" t="str" cm="1">
        <f t="array" ref="DK28">_xlfn.XLOOKUP(TRUE, EXACT(Table28[[#This Row],[Y2]], Table29[orig]), Table29[T-reflection])</f>
        <v>T</v>
      </c>
      <c r="DL28" t="str" cm="1">
        <f t="array" ref="DL28">_xlfn.XLOOKUP(TRUE, EXACT(Table28[[#This Row],[Y'']], Table29[orig]), Table29[T-reflection])</f>
        <v>H</v>
      </c>
      <c r="DM28" s="6" t="str" cm="1">
        <f t="array" ref="DM28">_xlfn.XLOOKUP(TRUE, EXACT(Table28[[#This Row],[Z]], Table29[orig]), Table29[T-reflection])</f>
        <v>K</v>
      </c>
      <c r="DN28" t="str" cm="1">
        <f t="array" ref="DN28">_xlfn.XLOOKUP(TRUE, EXACT(Table28[[#This Row],[Z2]], Table29[orig]), Table29[T-reflection])</f>
        <v>J</v>
      </c>
      <c r="DO28" t="str" cm="1">
        <f t="array" ref="DO28">_xlfn.XLOOKUP(TRUE, EXACT(Table28[[#This Row],[Z'']], Table29[orig]), Table29[T-reflection])</f>
        <v>I</v>
      </c>
      <c r="DP28" t="str" cm="1">
        <f t="array" ref="DP28">_xlfn.XLOOKUP(TRUE, EXACT(Table28[[#This Row],[Z X]], Table29[orig]), Table29[T-reflection])</f>
        <v>C</v>
      </c>
      <c r="DQ28" t="str" cm="1">
        <f t="array" ref="DQ28">_xlfn.XLOOKUP(TRUE, EXACT(Table28[[#This Row],[Y'' X'']], Table29[orig]), Table29[T-reflection])</f>
        <v>E</v>
      </c>
      <c r="DR28" t="str" cm="1">
        <f t="array" ref="DR28">_xlfn.XLOOKUP(TRUE, EXACT(Table28[[#This Row],[Y X'']], Table29[orig]), Table29[T-reflection])</f>
        <v>O</v>
      </c>
      <c r="DS28" t="str" cm="1">
        <f t="array" ref="DS28">_xlfn.XLOOKUP(TRUE, EXACT(Table28[[#This Row],[Z'' X]], Table29[orig]), Table29[T-reflection])</f>
        <v>A</v>
      </c>
      <c r="DT28" t="str" cm="1">
        <f t="array" ref="DT28">_xlfn.XLOOKUP(TRUE, EXACT(Table28[[#This Row],[Z'' X'']], Table29[orig]), Table29[T-reflection])</f>
        <v>U</v>
      </c>
      <c r="DU28" t="str" cm="1">
        <f t="array" ref="DU28">_xlfn.XLOOKUP(TRUE, EXACT(Table28[[#This Row],[Y'' X]], Table29[orig]), Table29[T-reflection])</f>
        <v>G</v>
      </c>
      <c r="DV28" t="str" cm="1">
        <f t="array" ref="DV28">_xlfn.XLOOKUP(TRUE, EXACT(Table28[[#This Row],[Y X]], Table29[orig]), Table29[T-reflection])</f>
        <v>M</v>
      </c>
      <c r="DW28" t="str" cm="1">
        <f t="array" ref="DW28">_xlfn.XLOOKUP(TRUE, EXACT(Table28[[#This Row],[Z X'']], Table29[orig]), Table29[T-reflection])</f>
        <v>W</v>
      </c>
      <c r="DX28" t="str" cm="1">
        <f t="array" ref="DX28">_xlfn.XLOOKUP(TRUE, EXACT(Table28[[#This Row],[Y'' X2]], Table29[orig]), Table29[T-reflection])</f>
        <v>F</v>
      </c>
      <c r="DY28" t="str" cm="1">
        <f t="array" ref="DY28">_xlfn.XLOOKUP(TRUE, EXACT(Table28[[#This Row],[Y X2]], Table29[orig]), Table29[T-reflection])</f>
        <v>N</v>
      </c>
      <c r="DZ28" t="str" cm="1">
        <f t="array" ref="DZ28">_xlfn.XLOOKUP(TRUE, EXACT(Table28[[#This Row],[Z X2]], Table29[orig]), Table29[T-reflection])</f>
        <v>Q</v>
      </c>
      <c r="EA28" t="str" cm="1">
        <f t="array" ref="EA28">_xlfn.XLOOKUP(TRUE, EXACT(Table28[[#This Row],[Z'' X2]], Table29[orig]), Table29[T-reflection])</f>
        <v>S</v>
      </c>
      <c r="EB28" t="str" cm="1">
        <f t="array" ref="EB28">_xlfn.XLOOKUP(TRUE, EXACT(Table28[[#This Row],[Z2 X]], Table29[orig]), Table29[T-reflection])</f>
        <v>B</v>
      </c>
      <c r="EC28" t="str" cm="1">
        <f t="array" ref="EC28">_xlfn.XLOOKUP(TRUE, EXACT(Table28[[#This Row],[Z2 X'']], Table29[orig]), Table29[T-reflection])</f>
        <v>V</v>
      </c>
    </row>
    <row r="29" spans="1:164" s="5" customFormat="1" ht="16" thickBot="1" x14ac:dyDescent="0.25">
      <c r="A29"/>
      <c r="B29" s="5" t="s">
        <v>30</v>
      </c>
      <c r="C29" s="5" t="s">
        <v>30</v>
      </c>
      <c r="D29" s="5" t="s">
        <v>40</v>
      </c>
      <c r="E29" s="5" t="s">
        <v>59</v>
      </c>
      <c r="F29" s="5" t="s">
        <v>90</v>
      </c>
      <c r="G29" s="5" t="s">
        <v>69</v>
      </c>
      <c r="H29" s="5" t="s">
        <v>90</v>
      </c>
      <c r="I29" s="5" t="s">
        <v>51</v>
      </c>
      <c r="J29" s="5" t="s">
        <v>30</v>
      </c>
      <c r="K29" s="5" t="s">
        <v>30</v>
      </c>
      <c r="L29" s="5" t="s">
        <v>90</v>
      </c>
      <c r="M29"/>
      <c r="N29"/>
      <c r="O29" s="5" t="s">
        <v>30</v>
      </c>
      <c r="P29" s="5" t="str">
        <f>Table27[[#This Row],[orig]]</f>
        <v>L</v>
      </c>
      <c r="Q29" s="5" t="str">
        <f>Table29[[#This Row],[X]]</f>
        <v>D</v>
      </c>
      <c r="R29" s="5" t="str" cm="1">
        <f t="array" ref="R29">_xlfn.XLOOKUP(TRUE, EXACT(Table27[[#This Row],[X]], Table27[orig]), Table27[X])</f>
        <v>R</v>
      </c>
      <c r="S29" s="5" t="str" cm="1">
        <f t="array" ref="S29">_xlfn.XLOOKUP(TRUE, EXACT(Table27[[#This Row],[X2]], Table27[orig]), Table27[X])</f>
        <v>X</v>
      </c>
      <c r="T29" s="5" t="str">
        <f>Table29[[#This Row],[Y]]</f>
        <v>H</v>
      </c>
      <c r="U29" s="5" t="str" cm="1">
        <f t="array" ref="U29">_xlfn.XLOOKUP(TRUE, EXACT(Table27[[#This Row],[Y]], Table27[orig]), Table27[Y])</f>
        <v>T</v>
      </c>
      <c r="V29" s="5" t="str" cm="1">
        <f t="array" ref="V29">_xlfn.XLOOKUP(TRUE, EXACT(Table27[[#This Row],[Y2]], Table27[orig]), Table27[Y])</f>
        <v>P</v>
      </c>
      <c r="W29" s="5" t="str">
        <f>Table29[[#This Row],[Z]]</f>
        <v>I</v>
      </c>
      <c r="X29" s="5" t="str" cm="1">
        <f t="array" ref="X29">_xlfn.XLOOKUP(TRUE, EXACT(Table27[[#This Row],[Z]], Table27[orig]), Table27[Z])</f>
        <v>J</v>
      </c>
      <c r="Y29" s="5" t="str" cm="1">
        <f t="array" ref="Y29">_xlfn.XLOOKUP(TRUE, EXACT(Table27[[#This Row],[Z2]], Table27[orig]), Table27[Z])</f>
        <v>K</v>
      </c>
      <c r="Z29" s="5" t="str">
        <f>Table29[[#This Row],[R]]</f>
        <v>L</v>
      </c>
      <c r="AA29" s="5" t="str" cm="1">
        <f t="array" ref="AA29">_xlfn.XLOOKUP(TRUE, EXACT(Table27[[#This Row],[R]], Table27[orig]), Table27[R])</f>
        <v>L</v>
      </c>
      <c r="AB29" s="5" t="str" cm="1">
        <f t="array" ref="AB29">_xlfn.XLOOKUP(TRUE, EXACT(Table27[[#This Row],[R2]], Table27[orig]), Table27[R])</f>
        <v>L</v>
      </c>
      <c r="AC29" s="5" t="str" cm="1">
        <f t="array" ref="AC29">_xlfn.XLOOKUP(TRUE, EXACT(_xlfn.XLOOKUP(TRUE, EXACT(Table27[[#This Row],[Y2]], Table27[orig]), Table27[R]), Table27[orig]), Table27[Y2])</f>
        <v>X</v>
      </c>
      <c r="AD29" s="5" t="str" cm="1">
        <f t="array" ref="AD29">_xlfn.XLOOKUP(TRUE, EXACT(Table27[[#This Row],[L]], Table27[orig]), Table27[L])</f>
        <v>R</v>
      </c>
      <c r="AE29" s="5" t="str" cm="1">
        <f t="array" ref="AE29">_xlfn.XLOOKUP(TRUE, EXACT(Table27[[#This Row],[L2]], Table27[orig]), Table27[L])</f>
        <v>D</v>
      </c>
      <c r="AF29" s="5" t="str" cm="1">
        <f t="array" ref="AF29">_xlfn.XLOOKUP(TRUE, EXACT(Table27[[#This Row],[r-lower]], Table27[orig]), Table27[R''])</f>
        <v>L</v>
      </c>
      <c r="AG29" s="5" t="str" cm="1">
        <f t="array" ref="AG29">_xlfn.XLOOKUP(TRUE, EXACT(Table27[[#This Row],[T]], Table27[orig]), Table27[T])</f>
        <v>L</v>
      </c>
      <c r="AH29" s="5" t="str" cm="1">
        <f t="array" ref="AH29">_xlfn.XLOOKUP(TRUE, EXACT(Table27[[#This Row],[T2]], Table27[orig]), Table27[T])</f>
        <v>L</v>
      </c>
      <c r="AI29" s="5" t="str" cm="1">
        <f t="array" ref="AI29">_xlfn.XLOOKUP(TRUE, EXACT(Table27[[#This Row],[X]], Table27[orig]), Table27[L])</f>
        <v>L</v>
      </c>
      <c r="AJ29" s="5" t="str" cm="1">
        <f t="array" ref="AJ29">_xlfn.XLOOKUP(TRUE, EXACT(Table27[[#This Row],[r-lower]], Table27[orig]), Table27[r-lower])</f>
        <v>L</v>
      </c>
      <c r="AK29" s="5" t="str" cm="1">
        <f t="array" ref="AK29">_xlfn.XLOOKUP(TRUE, EXACT(Table27[[#This Row],[r2-lower]], Table27[orig]), Table27[r-lower])</f>
        <v>L</v>
      </c>
      <c r="AL29" s="5" t="str" cm="1">
        <f t="array" ref="AL29">_xlfn.XLOOKUP(TRUE, EXACT(Table27[[#This Row],[X'']], Table27[orig]), Table27[R])</f>
        <v>X</v>
      </c>
      <c r="AM29" s="5" t="str" cm="1">
        <f t="array" ref="AM29">_xlfn.XLOOKUP(TRUE, EXACT(Table27[[#This Row],[l-lower]], Table27[orig]), Table27[l-lower])</f>
        <v>R</v>
      </c>
      <c r="AN29" s="5" t="str" cm="1">
        <f t="array" ref="AN29">_xlfn.XLOOKUP(TRUE, EXACT(Table27[[#This Row],[l2-lower]], Table27[orig]), Table27[l-lower])</f>
        <v>D</v>
      </c>
      <c r="AO29" s="5" t="str" cm="1">
        <f t="array" ref="AO29">_xlfn.XLOOKUP(TRUE, EXACT(Table27[[#This Row],[R]], Table27[orig]), Table27[L''])</f>
        <v>D</v>
      </c>
      <c r="AP29" s="5" t="str" cm="1">
        <f t="array" ref="AP29">_xlfn.XLOOKUP(TRUE, EXACT(Table27[[#This Row],[RL'']], Table27[orig]), Table27[RL''])</f>
        <v>R</v>
      </c>
      <c r="AQ29" s="5" t="str" cm="1">
        <f t="array" ref="AQ29">_xlfn.XLOOKUP(TRUE, EXACT(Table27[[#This Row],[R2L2]], Table27[orig]), Table27[RL''])</f>
        <v>X</v>
      </c>
      <c r="AR29" s="5" t="str">
        <f>Table29[[#This Row],[U]]</f>
        <v>L</v>
      </c>
      <c r="AS29" s="5" t="str" cm="1">
        <f t="array" ref="AS29">_xlfn.XLOOKUP(TRUE, EXACT(Table27[[#This Row],[U]], Table27[orig]), Table27[U])</f>
        <v>L</v>
      </c>
      <c r="AT29" s="5" t="str" cm="1">
        <f t="array" ref="AT29">_xlfn.XLOOKUP(TRUE, EXACT(Table27[[#This Row],[U2]], Table27[orig]), Table27[U])</f>
        <v>L</v>
      </c>
      <c r="AU29" s="5" t="str" cm="1">
        <f t="array" ref="AU29">_xlfn.XLOOKUP(TRUE, EXACT(_xlfn.XLOOKUP(TRUE, EXACT(Table27[[#This Row],[Z2]], Table27[orig]), Table27[U]), Table27[orig]), Table27[Z2])</f>
        <v>P</v>
      </c>
      <c r="AV29" s="5" t="str" cm="1">
        <f t="array" ref="AV29">_xlfn.XLOOKUP(TRUE, EXACT(Table27[[#This Row],[D]], Table27[orig]), Table27[D])</f>
        <v>T</v>
      </c>
      <c r="AW29" s="5" t="str" cm="1">
        <f t="array" ref="AW29">_xlfn.XLOOKUP(TRUE, EXACT(Table27[[#This Row],[D2]], Table27[orig]), Table27[D])</f>
        <v>H</v>
      </c>
      <c r="AX29" s="5" t="str" cm="1">
        <f t="array" ref="AX29">_xlfn.XLOOKUP(TRUE, EXACT(Table27[[#This Row],[u-lower]], Table27[orig]), Table27[U''])</f>
        <v>L</v>
      </c>
      <c r="AY29" s="5" t="str" cm="1">
        <f t="array" ref="AY29">_xlfn.XLOOKUP(TRUE, EXACT(Table27[[#This Row],[H]], Table27[orig]), Table27[H])</f>
        <v>L</v>
      </c>
      <c r="AZ29" s="5" t="str" cm="1">
        <f t="array" ref="AZ29">_xlfn.XLOOKUP(TRUE, EXACT(Table27[[#This Row],[H2]], Table27[orig]), Table27[H])</f>
        <v>L</v>
      </c>
      <c r="BA29" s="5" t="str" cm="1">
        <f t="array" ref="BA29">_xlfn.XLOOKUP(TRUE, EXACT(Table27[[#This Row],[Y]], Table27[orig]), Table27[D])</f>
        <v>L</v>
      </c>
      <c r="BB29" s="5" t="str" cm="1">
        <f t="array" ref="BB29">_xlfn.XLOOKUP(TRUE, EXACT(Table27[[#This Row],[u-lower]], Table27[orig]), Table27[u-lower])</f>
        <v>L</v>
      </c>
      <c r="BC29" s="5" t="str" cm="1">
        <f t="array" ref="BC29">_xlfn.XLOOKUP(TRUE, EXACT(Table27[[#This Row],[u2-lower]], Table27[orig]), Table27[u-lower])</f>
        <v>L</v>
      </c>
      <c r="BD29" s="5" t="str" cm="1">
        <f t="array" ref="BD29">_xlfn.XLOOKUP(TRUE, EXACT(Table27[[#This Row],[Y'']], Table27[orig]), Table27[U])</f>
        <v>P</v>
      </c>
      <c r="BE29" s="5" t="str" cm="1">
        <f t="array" ref="BE29">_xlfn.XLOOKUP(TRUE, EXACT(Table27[[#This Row],[d-lower]], Table27[orig]), Table27[d-lower])</f>
        <v>T</v>
      </c>
      <c r="BF29" s="5" t="str" cm="1">
        <f t="array" ref="BF29">_xlfn.XLOOKUP(TRUE, EXACT(Table27[[#This Row],[d2-lower]], Table27[orig]), Table27[d-lower])</f>
        <v>H</v>
      </c>
      <c r="BG29" s="5" t="str" cm="1">
        <f t="array" ref="BG29">_xlfn.XLOOKUP(TRUE, EXACT(Table27[[#This Row],[U]], Table27[orig]), Table27[D''])</f>
        <v>H</v>
      </c>
      <c r="BH29" s="5" t="str" cm="1">
        <f t="array" ref="BH29">_xlfn.XLOOKUP(TRUE, EXACT(Table27[[#This Row],[UD'']], Table27[orig]), Table27[UD''])</f>
        <v>T</v>
      </c>
      <c r="BI29" s="5" t="str" cm="1">
        <f t="array" ref="BI29">_xlfn.XLOOKUP(TRUE, EXACT(Table27[[#This Row],[U2D2]], Table27[orig]), Table27[UD''])</f>
        <v>P</v>
      </c>
      <c r="BJ29" s="5" t="str">
        <f>Table29[[#This Row],[F]]</f>
        <v>I</v>
      </c>
      <c r="BK29" s="5" t="str" cm="1">
        <f t="array" ref="BK29">_xlfn.XLOOKUP(TRUE, EXACT(Table27[[#This Row],[F]], Table27[orig]), Table27[F])</f>
        <v>J</v>
      </c>
      <c r="BL29" s="5" t="str" cm="1">
        <f t="array" ref="BL29">_xlfn.XLOOKUP(TRUE, EXACT(Table27[[#This Row],[F2]], Table27[orig]), Table27[F])</f>
        <v>K</v>
      </c>
      <c r="BM29" s="5" t="str" cm="1">
        <f t="array" ref="BM29">_xlfn.XLOOKUP(TRUE, EXACT(_xlfn.XLOOKUP(TRUE, EXACT(Table27[[#This Row],[X2]], Table27[orig]), Table27[F]), Table27[orig]), Table27[X2])</f>
        <v>L</v>
      </c>
      <c r="BN29" s="5" t="str" cm="1">
        <f t="array" ref="BN29">_xlfn.XLOOKUP(TRUE, EXACT(Table27[[#This Row],[B]], Table27[orig]), Table27[B])</f>
        <v>L</v>
      </c>
      <c r="BO29" s="5" t="str" cm="1">
        <f t="array" ref="BO29">_xlfn.XLOOKUP(TRUE, EXACT(Table27[[#This Row],[B2]], Table27[orig]), Table27[B])</f>
        <v>L</v>
      </c>
      <c r="BP29" s="5" t="str" cm="1">
        <f t="array" ref="BP29">_xlfn.XLOOKUP(TRUE, EXACT(Table27[[#This Row],[f-lower]], Table27[orig]), Table27[F''])</f>
        <v>L</v>
      </c>
      <c r="BQ29" s="5" t="str" cm="1">
        <f t="array" ref="BQ29">_xlfn.XLOOKUP(TRUE, EXACT(Table27[[#This Row],[S]], Table27[orig]), Table27[S])</f>
        <v>L</v>
      </c>
      <c r="BR29" s="5" t="str" cm="1">
        <f t="array" ref="BR29">_xlfn.XLOOKUP(TRUE, EXACT(Table27[[#This Row],[S2]], Table27[orig]), Table27[S])</f>
        <v>L</v>
      </c>
      <c r="BS29" s="5" t="str" cm="1">
        <f t="array" ref="BS29">_xlfn.XLOOKUP(TRUE, EXACT(Table27[[#This Row],[Z]], Table27[orig]), Table27[B])</f>
        <v>I</v>
      </c>
      <c r="BT29" s="5" t="str" cm="1">
        <f t="array" ref="BT29">_xlfn.XLOOKUP(TRUE, EXACT(Table27[[#This Row],[f-lower]], Table27[orig]), Table27[f-lower])</f>
        <v>J</v>
      </c>
      <c r="BU29" s="5" t="str" cm="1">
        <f t="array" ref="BU29">_xlfn.XLOOKUP(TRUE, EXACT(Table27[[#This Row],[f2-lower]], Table27[orig]), Table27[f-lower])</f>
        <v>K</v>
      </c>
      <c r="BV29" s="5" t="str" cm="1">
        <f t="array" ref="BV29">_xlfn.XLOOKUP(TRUE, EXACT(Table27[[#This Row],[Z'']], Table27[orig]), Table27[F])</f>
        <v>L</v>
      </c>
      <c r="BW29" s="5" t="str" cm="1">
        <f t="array" ref="BW29">_xlfn.XLOOKUP(TRUE, EXACT(Table27[[#This Row],[b-lower]], Table27[orig]), Table27[b-lower])</f>
        <v>L</v>
      </c>
      <c r="BX29" s="5" t="str" cm="1">
        <f t="array" ref="BX29">_xlfn.XLOOKUP(TRUE, EXACT(Table27[[#This Row],[b2-lower]], Table27[orig]), Table27[b-lower])</f>
        <v>L</v>
      </c>
      <c r="BY29" s="5" t="str" cm="1">
        <f t="array" ref="BY29">_xlfn.XLOOKUP(TRUE, EXACT(Table27[[#This Row],[F]], Table27[orig]), Table27[B''])</f>
        <v>I</v>
      </c>
      <c r="BZ29" s="5" t="str" cm="1">
        <f t="array" ref="BZ29">_xlfn.XLOOKUP(TRUE, EXACT(Table27[[#This Row],[FB'']], Table27[orig]), Table27[FB''])</f>
        <v>J</v>
      </c>
      <c r="CA29" s="5" t="str" cm="1">
        <f t="array" ref="CA29">_xlfn.XLOOKUP(TRUE, EXACT(Table27[[#This Row],[F2B2]], Table27[orig]), Table27[FB''])</f>
        <v>K</v>
      </c>
      <c r="CB29"/>
      <c r="CC29"/>
      <c r="CD29" s="5" t="s">
        <v>30</v>
      </c>
      <c r="CE29" s="5" t="str">
        <f>Table28[[#This Row],[orig]]</f>
        <v>L</v>
      </c>
      <c r="CF29" s="5" t="str">
        <f>Table29[[#This Row],[X]]</f>
        <v>D</v>
      </c>
      <c r="CG29" s="5" t="str" cm="1">
        <f t="array" ref="CG29">_xlfn.XLOOKUP(TRUE, EXACT(Table28[[#This Row],[X]], Table28[orig]), Table28[X])</f>
        <v>R</v>
      </c>
      <c r="CH29" s="5" t="str" cm="1">
        <f t="array" ref="CH29">_xlfn.XLOOKUP(TRUE, EXACT(Table28[[#This Row],[X2]], Table28[orig]), Table28[X])</f>
        <v>X</v>
      </c>
      <c r="CI29" s="5" t="str">
        <f>Table29[[#This Row],[Y]]</f>
        <v>H</v>
      </c>
      <c r="CJ29" s="5" t="str" cm="1">
        <f t="array" ref="CJ29">_xlfn.XLOOKUP(TRUE, EXACT(Table28[[#This Row],[Y]], Table28[orig]), Table28[Y])</f>
        <v>T</v>
      </c>
      <c r="CK29" s="5" t="str" cm="1">
        <f t="array" ref="CK29">_xlfn.XLOOKUP(TRUE, EXACT(Table28[[#This Row],[Y2]], Table28[orig]), Table28[Y])</f>
        <v>P</v>
      </c>
      <c r="CL29" s="5" t="str">
        <f>Table29[[#This Row],[Z]]</f>
        <v>I</v>
      </c>
      <c r="CM29" s="5" t="str" cm="1">
        <f t="array" ref="CM29">_xlfn.XLOOKUP(TRUE, EXACT(Table28[[#This Row],[Z]], Table28[orig]), Table28[Z])</f>
        <v>J</v>
      </c>
      <c r="CN29" s="5" t="str" cm="1">
        <f t="array" ref="CN29">_xlfn.XLOOKUP(TRUE, EXACT(Table28[[#This Row],[Z2]], Table28[orig]), Table28[Z])</f>
        <v>K</v>
      </c>
      <c r="CO29" s="5" t="str" cm="1">
        <f t="array" ref="CO29">_xlfn.XLOOKUP(TRUE, EXACT(Table28[[#This Row],[Z]], Table28[orig]), Table28[X])</f>
        <v>A</v>
      </c>
      <c r="CP29" s="5" t="str" cm="1">
        <f t="array" ref="CP29">_xlfn.XLOOKUP(TRUE, EXACT(Table28[[#This Row],[Y'']], Table28[orig]), Table28[X''])</f>
        <v>O</v>
      </c>
      <c r="CQ29" s="5" t="str" cm="1">
        <f t="array" ref="CQ29">_xlfn.XLOOKUP(TRUE, EXACT(Table28[[#This Row],[Y]], Table28[orig]), Table28[X''])</f>
        <v>E</v>
      </c>
      <c r="CR29" s="5" t="str" cm="1">
        <f t="array" ref="CR29">_xlfn.XLOOKUP(TRUE, EXACT(Table28[[#This Row],[Z'']], Table28[orig]), Table28[X])</f>
        <v>C</v>
      </c>
      <c r="CS29" s="5" t="str" cm="1">
        <f t="array" ref="CS29">_xlfn.XLOOKUP(TRUE, EXACT(Table28[[#This Row],[Z'']], Table28[orig]), Table28[X''])</f>
        <v>W</v>
      </c>
      <c r="CT29" s="5" t="str" cm="1">
        <f t="array" ref="CT29">_xlfn.XLOOKUP(TRUE, EXACT(Table28[[#This Row],[Y'']], Table28[orig]), Table28[X])</f>
        <v>M</v>
      </c>
      <c r="CU29" s="5" t="str" cm="1">
        <f t="array" ref="CU29">_xlfn.XLOOKUP(TRUE, EXACT(Table28[[#This Row],[Y]], Table28[orig]), Table28[X])</f>
        <v>G</v>
      </c>
      <c r="CV29" s="5" t="str" cm="1">
        <f t="array" ref="CV29">_xlfn.XLOOKUP(TRUE, EXACT(Table28[[#This Row],[Z]], Table28[orig]), Table28[X''])</f>
        <v>U</v>
      </c>
      <c r="CW29" s="5" t="str" cm="1">
        <f t="array" ref="CW29">_xlfn.XLOOKUP(TRUE, EXACT(Table28[[#This Row],[Y'']], Table28[orig]), Table28[X2])</f>
        <v>N</v>
      </c>
      <c r="CX29" s="5" t="str" cm="1">
        <f t="array" ref="CX29">_xlfn.XLOOKUP(TRUE, EXACT(Table28[[#This Row],[Y]], Table28[orig]), Table28[X2])</f>
        <v>F</v>
      </c>
      <c r="CY29" s="5" t="str" cm="1">
        <f t="array" ref="CY29">_xlfn.XLOOKUP(TRUE, EXACT(Table28[[#This Row],[Z]], Table28[orig]), Table28[X2])</f>
        <v>S</v>
      </c>
      <c r="CZ29" s="5" t="str" cm="1">
        <f t="array" ref="CZ29">_xlfn.XLOOKUP(TRUE, EXACT(Table28[[#This Row],[Z'']], Table28[orig]), Table28[X2])</f>
        <v>Q</v>
      </c>
      <c r="DA29" s="5" t="str" cm="1">
        <f t="array" ref="DA29">_xlfn.XLOOKUP(TRUE, EXACT(Table28[[#This Row],[Z2]], Table28[orig]), Table28[X])</f>
        <v>B</v>
      </c>
      <c r="DB29" s="5" t="str" cm="1">
        <f t="array" ref="DB29">_xlfn.XLOOKUP(TRUE, EXACT(Table28[[#This Row],[Z2]], Table28[orig]), Table28[X''])</f>
        <v>V</v>
      </c>
      <c r="DC29"/>
      <c r="DD29"/>
      <c r="DE29" s="8" t="s">
        <v>30</v>
      </c>
      <c r="DF29" s="8" t="str" cm="1">
        <f t="array" ref="DF29">_xlfn.XLOOKUP(TRUE, EXACT(Table28[[#This Row],[I]], Table29[orig]), Table29[T-reflection])</f>
        <v>K</v>
      </c>
      <c r="DG29" s="8" t="str" cm="1">
        <f t="array" ref="DG29">_xlfn.XLOOKUP(TRUE, EXACT(Table28[[#This Row],[X]], Table29[orig]), Table29[T-reflection])</f>
        <v>C</v>
      </c>
      <c r="DH29" s="5" t="str" cm="1">
        <f t="array" ref="DH29">_xlfn.XLOOKUP(TRUE, EXACT(Table28[[#This Row],[X2]], Table29[orig]), Table29[T-reflection])</f>
        <v>Q</v>
      </c>
      <c r="DI29" s="5" t="str" cm="1">
        <f t="array" ref="DI29">_xlfn.XLOOKUP(TRUE, EXACT(Table28[[#This Row],[X'']], Table29[orig]), Table29[T-reflection])</f>
        <v>W</v>
      </c>
      <c r="DJ29" s="8" t="str" cm="1">
        <f t="array" ref="DJ29">_xlfn.XLOOKUP(TRUE, EXACT(Table28[[#This Row],[Y]], Table29[orig]), Table29[T-reflection])</f>
        <v>O</v>
      </c>
      <c r="DK29" s="5" t="str" cm="1">
        <f t="array" ref="DK29">_xlfn.XLOOKUP(TRUE, EXACT(Table28[[#This Row],[Y2]], Table29[orig]), Table29[T-reflection])</f>
        <v>S</v>
      </c>
      <c r="DL29" s="5" t="str" cm="1">
        <f t="array" ref="DL29">_xlfn.XLOOKUP(TRUE, EXACT(Table28[[#This Row],[Y'']], Table29[orig]), Table29[T-reflection])</f>
        <v>G</v>
      </c>
      <c r="DM29" s="8" t="str" cm="1">
        <f t="array" ref="DM29">_xlfn.XLOOKUP(TRUE, EXACT(Table28[[#This Row],[Z]], Table29[orig]), Table29[T-reflection])</f>
        <v>J</v>
      </c>
      <c r="DN29" s="5" t="str" cm="1">
        <f t="array" ref="DN29">_xlfn.XLOOKUP(TRUE, EXACT(Table28[[#This Row],[Z2]], Table29[orig]), Table29[T-reflection])</f>
        <v>I</v>
      </c>
      <c r="DO29" s="5" t="str" cm="1">
        <f t="array" ref="DO29">_xlfn.XLOOKUP(TRUE, EXACT(Table28[[#This Row],[Z'']], Table29[orig]), Table29[T-reflection])</f>
        <v>L</v>
      </c>
      <c r="DP29" s="5" t="str" cm="1">
        <f t="array" ref="DP29">_xlfn.XLOOKUP(TRUE, EXACT(Table28[[#This Row],[Z X]], Table29[orig]), Table29[T-reflection])</f>
        <v>B</v>
      </c>
      <c r="DQ29" s="5" t="str" cm="1">
        <f t="array" ref="DQ29">_xlfn.XLOOKUP(TRUE, EXACT(Table28[[#This Row],[Y'' X'']], Table29[orig]), Table29[T-reflection])</f>
        <v>H</v>
      </c>
      <c r="DR29" s="5" t="str" cm="1">
        <f t="array" ref="DR29">_xlfn.XLOOKUP(TRUE, EXACT(Table28[[#This Row],[Y X'']], Table29[orig]), Table29[T-reflection])</f>
        <v>N</v>
      </c>
      <c r="DS29" s="5" t="str" cm="1">
        <f t="array" ref="DS29">_xlfn.XLOOKUP(TRUE, EXACT(Table28[[#This Row],[Z'' X]], Table29[orig]), Table29[T-reflection])</f>
        <v>D</v>
      </c>
      <c r="DT29" s="5" t="str" cm="1">
        <f t="array" ref="DT29">_xlfn.XLOOKUP(TRUE, EXACT(Table28[[#This Row],[Z'' X'']], Table29[orig]), Table29[T-reflection])</f>
        <v>X</v>
      </c>
      <c r="DU29" s="5" t="str" cm="1">
        <f t="array" ref="DU29">_xlfn.XLOOKUP(TRUE, EXACT(Table28[[#This Row],[Y'' X]], Table29[orig]), Table29[T-reflection])</f>
        <v>F</v>
      </c>
      <c r="DV29" s="5" t="str" cm="1">
        <f t="array" ref="DV29">_xlfn.XLOOKUP(TRUE, EXACT(Table28[[#This Row],[Y X]], Table29[orig]), Table29[T-reflection])</f>
        <v>P</v>
      </c>
      <c r="DW29" s="5" t="str" cm="1">
        <f t="array" ref="DW29">_xlfn.XLOOKUP(TRUE, EXACT(Table28[[#This Row],[Z X'']], Table29[orig]), Table29[T-reflection])</f>
        <v>V</v>
      </c>
      <c r="DX29" s="5" t="str" cm="1">
        <f t="array" ref="DX29">_xlfn.XLOOKUP(TRUE, EXACT(Table28[[#This Row],[Y'' X2]], Table29[orig]), Table29[T-reflection])</f>
        <v>E</v>
      </c>
      <c r="DY29" s="5" t="str" cm="1">
        <f t="array" ref="DY29">_xlfn.XLOOKUP(TRUE, EXACT(Table28[[#This Row],[Y X2]], Table29[orig]), Table29[T-reflection])</f>
        <v>M</v>
      </c>
      <c r="DZ29" s="5" t="str" cm="1">
        <f t="array" ref="DZ29">_xlfn.XLOOKUP(TRUE, EXACT(Table28[[#This Row],[Z X2]], Table29[orig]), Table29[T-reflection])</f>
        <v>T</v>
      </c>
      <c r="EA29" s="5" t="str" cm="1">
        <f t="array" ref="EA29">_xlfn.XLOOKUP(TRUE, EXACT(Table28[[#This Row],[Z'' X2]], Table29[orig]), Table29[T-reflection])</f>
        <v>R</v>
      </c>
      <c r="EB29" s="5" t="str" cm="1">
        <f t="array" ref="EB29">_xlfn.XLOOKUP(TRUE, EXACT(Table28[[#This Row],[Z2 X]], Table29[orig]), Table29[T-reflection])</f>
        <v>A</v>
      </c>
      <c r="EC29" s="5" t="str" cm="1">
        <f t="array" ref="EC29">_xlfn.XLOOKUP(TRUE, EXACT(Table28[[#This Row],[Z2 X'']], Table29[orig]), Table29[T-reflection])</f>
        <v>U</v>
      </c>
      <c r="ED29"/>
      <c r="EE29"/>
      <c r="EF29"/>
      <c r="EG29"/>
      <c r="EH29"/>
      <c r="EI29"/>
      <c r="EJ29"/>
      <c r="EK29"/>
      <c r="EL29"/>
      <c r="EM29"/>
      <c r="EN29"/>
      <c r="EO29"/>
      <c r="EP29"/>
      <c r="EQ29"/>
      <c r="ER29"/>
      <c r="ES29"/>
      <c r="ET29"/>
      <c r="EU29"/>
      <c r="EV29"/>
      <c r="EW29"/>
      <c r="EX29"/>
      <c r="EY29"/>
      <c r="EZ29"/>
      <c r="FA29"/>
      <c r="FB29"/>
      <c r="FC29"/>
      <c r="FD29"/>
      <c r="FE29"/>
      <c r="FF29"/>
      <c r="FG29"/>
      <c r="FH29"/>
    </row>
    <row r="30" spans="1:164" ht="16" thickTop="1" x14ac:dyDescent="0.2">
      <c r="B30" t="s">
        <v>127</v>
      </c>
      <c r="C30" t="s">
        <v>127</v>
      </c>
      <c r="D30" t="s">
        <v>74</v>
      </c>
      <c r="E30" t="s">
        <v>90</v>
      </c>
      <c r="F30" t="s">
        <v>81</v>
      </c>
      <c r="G30" t="s">
        <v>45</v>
      </c>
      <c r="H30" t="s">
        <v>77</v>
      </c>
      <c r="I30" t="s">
        <v>74</v>
      </c>
      <c r="J30" t="s">
        <v>74</v>
      </c>
      <c r="K30" t="s">
        <v>90</v>
      </c>
      <c r="L30" t="s">
        <v>81</v>
      </c>
      <c r="O30" t="s">
        <v>127</v>
      </c>
      <c r="P30" t="str">
        <f>Table27[[#This Row],[orig]]</f>
        <v>M</v>
      </c>
      <c r="Q30" t="str">
        <f>Table29[[#This Row],[X]]</f>
        <v>N</v>
      </c>
      <c r="R30" t="str" cm="1">
        <f t="array" ref="R30">_xlfn.XLOOKUP(TRUE, EXACT(Table27[[#This Row],[X]], Table27[orig]), Table27[X])</f>
        <v>O</v>
      </c>
      <c r="S30" t="str" cm="1">
        <f t="array" ref="S30">_xlfn.XLOOKUP(TRUE, EXACT(Table27[[#This Row],[X2]], Table27[orig]), Table27[X])</f>
        <v>P</v>
      </c>
      <c r="T30" t="str">
        <f>Table29[[#This Row],[Y]]</f>
        <v>I</v>
      </c>
      <c r="U30" t="str" cm="1">
        <f t="array" ref="U30">_xlfn.XLOOKUP(TRUE, EXACT(Table27[[#This Row],[Y]], Table27[orig]), Table27[Y])</f>
        <v>E</v>
      </c>
      <c r="V30" t="str" cm="1">
        <f t="array" ref="V30">_xlfn.XLOOKUP(TRUE, EXACT(Table27[[#This Row],[Y2]], Table27[orig]), Table27[Y])</f>
        <v>Q</v>
      </c>
      <c r="W30" t="str">
        <f>Table29[[#This Row],[Z]]</f>
        <v>V</v>
      </c>
      <c r="X30" t="str" cm="1">
        <f t="array" ref="X30">_xlfn.XLOOKUP(TRUE, EXACT(Table27[[#This Row],[Z]], Table27[orig]), Table27[Z])</f>
        <v>G</v>
      </c>
      <c r="Y30" t="str" cm="1">
        <f t="array" ref="Y30">_xlfn.XLOOKUP(TRUE, EXACT(Table27[[#This Row],[Z2]], Table27[orig]), Table27[Z])</f>
        <v>D</v>
      </c>
      <c r="Z30" t="str">
        <f>Table29[[#This Row],[R]]</f>
        <v>N</v>
      </c>
      <c r="AA30" t="str" cm="1">
        <f t="array" ref="AA30">_xlfn.XLOOKUP(TRUE, EXACT(Table27[[#This Row],[R]], Table27[orig]), Table27[R])</f>
        <v>O</v>
      </c>
      <c r="AB30" t="str" cm="1">
        <f t="array" ref="AB30">_xlfn.XLOOKUP(TRUE, EXACT(Table27[[#This Row],[R2]], Table27[orig]), Table27[R])</f>
        <v>P</v>
      </c>
      <c r="AC30" t="str" cm="1">
        <f t="array" ref="AC30">_xlfn.XLOOKUP(TRUE, EXACT(_xlfn.XLOOKUP(TRUE, EXACT(Table27[[#This Row],[Y2]], Table27[orig]), Table27[R]), Table27[orig]), Table27[Y2])</f>
        <v>M</v>
      </c>
      <c r="AD30" t="str" cm="1">
        <f t="array" ref="AD30">_xlfn.XLOOKUP(TRUE, EXACT(Table27[[#This Row],[L]], Table27[orig]), Table27[L])</f>
        <v>M</v>
      </c>
      <c r="AE30" t="str" cm="1">
        <f t="array" ref="AE30">_xlfn.XLOOKUP(TRUE, EXACT(Table27[[#This Row],[L2]], Table27[orig]), Table27[L])</f>
        <v>M</v>
      </c>
      <c r="AF30" t="str" cm="1">
        <f t="array" ref="AF30">_xlfn.XLOOKUP(TRUE, EXACT(Table27[[#This Row],[r-lower]], Table27[orig]), Table27[R''])</f>
        <v>M</v>
      </c>
      <c r="AG30" t="str" cm="1">
        <f t="array" ref="AG30">_xlfn.XLOOKUP(TRUE, EXACT(Table27[[#This Row],[T]], Table27[orig]), Table27[T])</f>
        <v>M</v>
      </c>
      <c r="AH30" t="str" cm="1">
        <f t="array" ref="AH30">_xlfn.XLOOKUP(TRUE, EXACT(Table27[[#This Row],[T2]], Table27[orig]), Table27[T])</f>
        <v>M</v>
      </c>
      <c r="AI30" t="str" cm="1">
        <f t="array" ref="AI30">_xlfn.XLOOKUP(TRUE, EXACT(Table27[[#This Row],[X]], Table27[orig]), Table27[L])</f>
        <v>N</v>
      </c>
      <c r="AJ30" t="str" cm="1">
        <f t="array" ref="AJ30">_xlfn.XLOOKUP(TRUE, EXACT(Table27[[#This Row],[r-lower]], Table27[orig]), Table27[r-lower])</f>
        <v>O</v>
      </c>
      <c r="AK30" t="str" cm="1">
        <f t="array" ref="AK30">_xlfn.XLOOKUP(TRUE, EXACT(Table27[[#This Row],[r2-lower]], Table27[orig]), Table27[r-lower])</f>
        <v>P</v>
      </c>
      <c r="AL30" t="str" cm="1">
        <f t="array" ref="AL30">_xlfn.XLOOKUP(TRUE, EXACT(Table27[[#This Row],[X'']], Table27[orig]), Table27[R])</f>
        <v>M</v>
      </c>
      <c r="AM30" t="str" cm="1">
        <f t="array" ref="AM30">_xlfn.XLOOKUP(TRUE, EXACT(Table27[[#This Row],[l-lower]], Table27[orig]), Table27[l-lower])</f>
        <v>M</v>
      </c>
      <c r="AN30" t="str" cm="1">
        <f t="array" ref="AN30">_xlfn.XLOOKUP(TRUE, EXACT(Table27[[#This Row],[l2-lower]], Table27[orig]), Table27[l-lower])</f>
        <v>M</v>
      </c>
      <c r="AO30" t="str" cm="1">
        <f t="array" ref="AO30">_xlfn.XLOOKUP(TRUE, EXACT(Table27[[#This Row],[R]], Table27[orig]), Table27[L''])</f>
        <v>N</v>
      </c>
      <c r="AP30" t="str" cm="1">
        <f t="array" ref="AP30">_xlfn.XLOOKUP(TRUE, EXACT(Table27[[#This Row],[RL'']], Table27[orig]), Table27[RL''])</f>
        <v>O</v>
      </c>
      <c r="AQ30" t="str" cm="1">
        <f t="array" ref="AQ30">_xlfn.XLOOKUP(TRUE, EXACT(Table27[[#This Row],[R2L2]], Table27[orig]), Table27[RL''])</f>
        <v>P</v>
      </c>
      <c r="AR30" t="str">
        <f>Table29[[#This Row],[U]]</f>
        <v>I</v>
      </c>
      <c r="AS30" t="str" cm="1">
        <f t="array" ref="AS30">_xlfn.XLOOKUP(TRUE, EXACT(Table27[[#This Row],[U]], Table27[orig]), Table27[U])</f>
        <v>E</v>
      </c>
      <c r="AT30" t="str" cm="1">
        <f t="array" ref="AT30">_xlfn.XLOOKUP(TRUE, EXACT(Table27[[#This Row],[U2]], Table27[orig]), Table27[U])</f>
        <v>Q</v>
      </c>
      <c r="AU30" t="str" cm="1">
        <f t="array" ref="AU30">_xlfn.XLOOKUP(TRUE, EXACT(_xlfn.XLOOKUP(TRUE, EXACT(Table27[[#This Row],[Z2]], Table27[orig]), Table27[U]), Table27[orig]), Table27[Z2])</f>
        <v>M</v>
      </c>
      <c r="AV30" t="str" cm="1">
        <f t="array" ref="AV30">_xlfn.XLOOKUP(TRUE, EXACT(Table27[[#This Row],[D]], Table27[orig]), Table27[D])</f>
        <v>M</v>
      </c>
      <c r="AW30" t="str" cm="1">
        <f t="array" ref="AW30">_xlfn.XLOOKUP(TRUE, EXACT(Table27[[#This Row],[D2]], Table27[orig]), Table27[D])</f>
        <v>M</v>
      </c>
      <c r="AX30" t="str" cm="1">
        <f t="array" ref="AX30">_xlfn.XLOOKUP(TRUE, EXACT(Table27[[#This Row],[u-lower]], Table27[orig]), Table27[U''])</f>
        <v>M</v>
      </c>
      <c r="AY30" t="str" cm="1">
        <f t="array" ref="AY30">_xlfn.XLOOKUP(TRUE, EXACT(Table27[[#This Row],[H]], Table27[orig]), Table27[H])</f>
        <v>M</v>
      </c>
      <c r="AZ30" t="str" cm="1">
        <f t="array" ref="AZ30">_xlfn.XLOOKUP(TRUE, EXACT(Table27[[#This Row],[H2]], Table27[orig]), Table27[H])</f>
        <v>M</v>
      </c>
      <c r="BA30" t="str" cm="1">
        <f t="array" ref="BA30">_xlfn.XLOOKUP(TRUE, EXACT(Table27[[#This Row],[Y]], Table27[orig]), Table27[D])</f>
        <v>I</v>
      </c>
      <c r="BB30" t="str" cm="1">
        <f t="array" ref="BB30">_xlfn.XLOOKUP(TRUE, EXACT(Table27[[#This Row],[u-lower]], Table27[orig]), Table27[u-lower])</f>
        <v>E</v>
      </c>
      <c r="BC30" t="str" cm="1">
        <f t="array" ref="BC30">_xlfn.XLOOKUP(TRUE, EXACT(Table27[[#This Row],[u2-lower]], Table27[orig]), Table27[u-lower])</f>
        <v>Q</v>
      </c>
      <c r="BD30" t="str" cm="1">
        <f t="array" ref="BD30">_xlfn.XLOOKUP(TRUE, EXACT(Table27[[#This Row],[Y'']], Table27[orig]), Table27[U])</f>
        <v>M</v>
      </c>
      <c r="BE30" t="str" cm="1">
        <f t="array" ref="BE30">_xlfn.XLOOKUP(TRUE, EXACT(Table27[[#This Row],[d-lower]], Table27[orig]), Table27[d-lower])</f>
        <v>M</v>
      </c>
      <c r="BF30" t="str" cm="1">
        <f t="array" ref="BF30">_xlfn.XLOOKUP(TRUE, EXACT(Table27[[#This Row],[d2-lower]], Table27[orig]), Table27[d-lower])</f>
        <v>M</v>
      </c>
      <c r="BG30" t="str" cm="1">
        <f t="array" ref="BG30">_xlfn.XLOOKUP(TRUE, EXACT(Table27[[#This Row],[U]], Table27[orig]), Table27[D''])</f>
        <v>I</v>
      </c>
      <c r="BH30" t="str" cm="1">
        <f t="array" ref="BH30">_xlfn.XLOOKUP(TRUE, EXACT(Table27[[#This Row],[UD'']], Table27[orig]), Table27[UD''])</f>
        <v>E</v>
      </c>
      <c r="BI30" t="str" cm="1">
        <f t="array" ref="BI30">_xlfn.XLOOKUP(TRUE, EXACT(Table27[[#This Row],[U2D2]], Table27[orig]), Table27[UD''])</f>
        <v>Q</v>
      </c>
      <c r="BJ30" t="str">
        <f>Table29[[#This Row],[F]]</f>
        <v>V</v>
      </c>
      <c r="BK30" t="str" cm="1">
        <f t="array" ref="BK30">_xlfn.XLOOKUP(TRUE, EXACT(Table27[[#This Row],[F]], Table27[orig]), Table27[F])</f>
        <v>G</v>
      </c>
      <c r="BL30" t="str" cm="1">
        <f t="array" ref="BL30">_xlfn.XLOOKUP(TRUE, EXACT(Table27[[#This Row],[F2]], Table27[orig]), Table27[F])</f>
        <v>D</v>
      </c>
      <c r="BM30" t="str" cm="1">
        <f t="array" ref="BM30">_xlfn.XLOOKUP(TRUE, EXACT(_xlfn.XLOOKUP(TRUE, EXACT(Table27[[#This Row],[X2]], Table27[orig]), Table27[F]), Table27[orig]), Table27[X2])</f>
        <v>M</v>
      </c>
      <c r="BN30" t="str" cm="1">
        <f t="array" ref="BN30">_xlfn.XLOOKUP(TRUE, EXACT(Table27[[#This Row],[B]], Table27[orig]), Table27[B])</f>
        <v>M</v>
      </c>
      <c r="BO30" t="str" cm="1">
        <f t="array" ref="BO30">_xlfn.XLOOKUP(TRUE, EXACT(Table27[[#This Row],[B2]], Table27[orig]), Table27[B])</f>
        <v>M</v>
      </c>
      <c r="BP30" t="str" cm="1">
        <f t="array" ref="BP30">_xlfn.XLOOKUP(TRUE, EXACT(Table27[[#This Row],[f-lower]], Table27[orig]), Table27[F''])</f>
        <v>M</v>
      </c>
      <c r="BQ30" t="str" cm="1">
        <f t="array" ref="BQ30">_xlfn.XLOOKUP(TRUE, EXACT(Table27[[#This Row],[S]], Table27[orig]), Table27[S])</f>
        <v>M</v>
      </c>
      <c r="BR30" t="str" cm="1">
        <f t="array" ref="BR30">_xlfn.XLOOKUP(TRUE, EXACT(Table27[[#This Row],[S2]], Table27[orig]), Table27[S])</f>
        <v>M</v>
      </c>
      <c r="BS30" t="str" cm="1">
        <f t="array" ref="BS30">_xlfn.XLOOKUP(TRUE, EXACT(Table27[[#This Row],[Z]], Table27[orig]), Table27[B])</f>
        <v>V</v>
      </c>
      <c r="BT30" t="str" cm="1">
        <f t="array" ref="BT30">_xlfn.XLOOKUP(TRUE, EXACT(Table27[[#This Row],[f-lower]], Table27[orig]), Table27[f-lower])</f>
        <v>G</v>
      </c>
      <c r="BU30" t="str" cm="1">
        <f t="array" ref="BU30">_xlfn.XLOOKUP(TRUE, EXACT(Table27[[#This Row],[f2-lower]], Table27[orig]), Table27[f-lower])</f>
        <v>D</v>
      </c>
      <c r="BV30" t="str" cm="1">
        <f t="array" ref="BV30">_xlfn.XLOOKUP(TRUE, EXACT(Table27[[#This Row],[Z'']], Table27[orig]), Table27[F])</f>
        <v>M</v>
      </c>
      <c r="BW30" t="str" cm="1">
        <f t="array" ref="BW30">_xlfn.XLOOKUP(TRUE, EXACT(Table27[[#This Row],[b-lower]], Table27[orig]), Table27[b-lower])</f>
        <v>M</v>
      </c>
      <c r="BX30" t="str" cm="1">
        <f t="array" ref="BX30">_xlfn.XLOOKUP(TRUE, EXACT(Table27[[#This Row],[b2-lower]], Table27[orig]), Table27[b-lower])</f>
        <v>M</v>
      </c>
      <c r="BY30" t="str" cm="1">
        <f t="array" ref="BY30">_xlfn.XLOOKUP(TRUE, EXACT(Table27[[#This Row],[F]], Table27[orig]), Table27[B''])</f>
        <v>V</v>
      </c>
      <c r="BZ30" t="str" cm="1">
        <f t="array" ref="BZ30">_xlfn.XLOOKUP(TRUE, EXACT(Table27[[#This Row],[FB'']], Table27[orig]), Table27[FB''])</f>
        <v>G</v>
      </c>
      <c r="CA30" t="str" cm="1">
        <f t="array" ref="CA30">_xlfn.XLOOKUP(TRUE, EXACT(Table27[[#This Row],[F2B2]], Table27[orig]), Table27[FB''])</f>
        <v>D</v>
      </c>
      <c r="CD30" t="s">
        <v>127</v>
      </c>
      <c r="CE30" t="str">
        <f>Table28[[#This Row],[orig]]</f>
        <v>M</v>
      </c>
      <c r="CF30" t="str">
        <f>Table29[[#This Row],[X]]</f>
        <v>N</v>
      </c>
      <c r="CG30" t="str" cm="1">
        <f t="array" ref="CG30">_xlfn.XLOOKUP(TRUE, EXACT(Table28[[#This Row],[X]], Table28[orig]), Table28[X])</f>
        <v>O</v>
      </c>
      <c r="CH30" t="str" cm="1">
        <f t="array" ref="CH30">_xlfn.XLOOKUP(TRUE, EXACT(Table28[[#This Row],[X2]], Table28[orig]), Table28[X])</f>
        <v>P</v>
      </c>
      <c r="CI30" t="str">
        <f>Table29[[#This Row],[Y]]</f>
        <v>I</v>
      </c>
      <c r="CJ30" t="str" cm="1">
        <f t="array" ref="CJ30">_xlfn.XLOOKUP(TRUE, EXACT(Table28[[#This Row],[Y]], Table28[orig]), Table28[Y])</f>
        <v>E</v>
      </c>
      <c r="CK30" t="str" cm="1">
        <f t="array" ref="CK30">_xlfn.XLOOKUP(TRUE, EXACT(Table28[[#This Row],[Y2]], Table28[orig]), Table28[Y])</f>
        <v>Q</v>
      </c>
      <c r="CL30" t="str">
        <f>Table29[[#This Row],[Z]]</f>
        <v>V</v>
      </c>
      <c r="CM30" t="str" cm="1">
        <f t="array" ref="CM30">_xlfn.XLOOKUP(TRUE, EXACT(Table28[[#This Row],[Z]], Table28[orig]), Table28[Z])</f>
        <v>G</v>
      </c>
      <c r="CN30" t="str" cm="1">
        <f t="array" ref="CN30">_xlfn.XLOOKUP(TRUE, EXACT(Table28[[#This Row],[Z2]], Table28[orig]), Table28[Z])</f>
        <v>D</v>
      </c>
      <c r="CO30" t="str" cm="1">
        <f t="array" ref="CO30">_xlfn.XLOOKUP(TRUE, EXACT(Table28[[#This Row],[Z]], Table28[orig]), Table28[X])</f>
        <v>J</v>
      </c>
      <c r="CP30" t="str" cm="1">
        <f t="array" ref="CP30">_xlfn.XLOOKUP(TRUE, EXACT(Table28[[#This Row],[Y'']], Table28[orig]), Table28[X''])</f>
        <v>C</v>
      </c>
      <c r="CQ30" t="str" cm="1">
        <f t="array" ref="CQ30">_xlfn.XLOOKUP(TRUE, EXACT(Table28[[#This Row],[Y]], Table28[orig]), Table28[X''])</f>
        <v>U</v>
      </c>
      <c r="CR30" t="str" cm="1">
        <f t="array" ref="CR30">_xlfn.XLOOKUP(TRUE, EXACT(Table28[[#This Row],[Z'']], Table28[orig]), Table28[X])</f>
        <v>R</v>
      </c>
      <c r="CS30" t="str" cm="1">
        <f t="array" ref="CS30">_xlfn.XLOOKUP(TRUE, EXACT(Table28[[#This Row],[Z'']], Table28[orig]), Table28[X''])</f>
        <v>L</v>
      </c>
      <c r="CT30" t="str" cm="1">
        <f t="array" ref="CT30">_xlfn.XLOOKUP(TRUE, EXACT(Table28[[#This Row],[Y'']], Table28[orig]), Table28[X])</f>
        <v>W</v>
      </c>
      <c r="CU30" t="str" cm="1">
        <f t="array" ref="CU30">_xlfn.XLOOKUP(TRUE, EXACT(Table28[[#This Row],[Y]], Table28[orig]), Table28[X])</f>
        <v>A</v>
      </c>
      <c r="CV30" t="str" cm="1">
        <f t="array" ref="CV30">_xlfn.XLOOKUP(TRUE, EXACT(Table28[[#This Row],[Z]], Table28[orig]), Table28[X''])</f>
        <v>T</v>
      </c>
      <c r="CW30" t="str" cm="1">
        <f t="array" ref="CW30">_xlfn.XLOOKUP(TRUE, EXACT(Table28[[#This Row],[Y'']], Table28[orig]), Table28[X2])</f>
        <v>K</v>
      </c>
      <c r="CX30" t="str" cm="1">
        <f t="array" ref="CX30">_xlfn.XLOOKUP(TRUE, EXACT(Table28[[#This Row],[Y]], Table28[orig]), Table28[X2])</f>
        <v>S</v>
      </c>
      <c r="CY30" t="str" cm="1">
        <f t="array" ref="CY30">_xlfn.XLOOKUP(TRUE, EXACT(Table28[[#This Row],[Z]], Table28[orig]), Table28[X2])</f>
        <v>B</v>
      </c>
      <c r="CZ30" t="str" cm="1">
        <f t="array" ref="CZ30">_xlfn.XLOOKUP(TRUE, EXACT(Table28[[#This Row],[Z'']], Table28[orig]), Table28[X2])</f>
        <v>X</v>
      </c>
      <c r="DA30" t="str" cm="1">
        <f t="array" ref="DA30">_xlfn.XLOOKUP(TRUE, EXACT(Table28[[#This Row],[Z2]], Table28[orig]), Table28[X])</f>
        <v>F</v>
      </c>
      <c r="DB30" t="str" cm="1">
        <f t="array" ref="DB30">_xlfn.XLOOKUP(TRUE, EXACT(Table28[[#This Row],[Z2]], Table28[orig]), Table28[X''])</f>
        <v>H</v>
      </c>
      <c r="DE30" s="6" t="s">
        <v>127</v>
      </c>
      <c r="DF30" s="6" t="str" cm="1">
        <f t="array" ref="DF30">_xlfn.XLOOKUP(TRUE, EXACT(Table28[[#This Row],[I]], Table29[orig]), Table29[T-reflection])</f>
        <v>F</v>
      </c>
      <c r="DG30" s="6" t="str" cm="1">
        <f t="array" ref="DG30">_xlfn.XLOOKUP(TRUE, EXACT(Table28[[#This Row],[X]], Table29[orig]), Table29[T-reflection])</f>
        <v>E</v>
      </c>
      <c r="DH30" t="str" cm="1">
        <f t="array" ref="DH30">_xlfn.XLOOKUP(TRUE, EXACT(Table28[[#This Row],[X2]], Table29[orig]), Table29[T-reflection])</f>
        <v>H</v>
      </c>
      <c r="DI30" t="str" cm="1">
        <f t="array" ref="DI30">_xlfn.XLOOKUP(TRUE, EXACT(Table28[[#This Row],[X'']], Table29[orig]), Table29[T-reflection])</f>
        <v>G</v>
      </c>
      <c r="DJ30" s="6" t="str" cm="1">
        <f t="array" ref="DJ30">_xlfn.XLOOKUP(TRUE, EXACT(Table28[[#This Row],[Y]], Table29[orig]), Table29[T-reflection])</f>
        <v>J</v>
      </c>
      <c r="DK30" t="str" cm="1">
        <f t="array" ref="DK30">_xlfn.XLOOKUP(TRUE, EXACT(Table28[[#This Row],[Y2]], Table29[orig]), Table29[T-reflection])</f>
        <v>N</v>
      </c>
      <c r="DL30" t="str" cm="1">
        <f t="array" ref="DL30">_xlfn.XLOOKUP(TRUE, EXACT(Table28[[#This Row],[Y'']], Table29[orig]), Table29[T-reflection])</f>
        <v>R</v>
      </c>
      <c r="DM30" s="6" t="str" cm="1">
        <f t="array" ref="DM30">_xlfn.XLOOKUP(TRUE, EXACT(Table28[[#This Row],[Z]], Table29[orig]), Table29[T-reflection])</f>
        <v>U</v>
      </c>
      <c r="DN30" t="str" cm="1">
        <f t="array" ref="DN30">_xlfn.XLOOKUP(TRUE, EXACT(Table28[[#This Row],[Z2]], Table29[orig]), Table29[T-reflection])</f>
        <v>P</v>
      </c>
      <c r="DO30" t="str" cm="1">
        <f t="array" ref="DO30">_xlfn.XLOOKUP(TRUE, EXACT(Table28[[#This Row],[Z'']], Table29[orig]), Table29[T-reflection])</f>
        <v>C</v>
      </c>
      <c r="DP30" t="str" cm="1">
        <f t="array" ref="DP30">_xlfn.XLOOKUP(TRUE, EXACT(Table28[[#This Row],[Z X]], Table29[orig]), Table29[T-reflection])</f>
        <v>I</v>
      </c>
      <c r="DQ30" t="str" cm="1">
        <f t="array" ref="DQ30">_xlfn.XLOOKUP(TRUE, EXACT(Table28[[#This Row],[Y'' X'']], Table29[orig]), Table29[T-reflection])</f>
        <v>D</v>
      </c>
      <c r="DR30" t="str" cm="1">
        <f t="array" ref="DR30">_xlfn.XLOOKUP(TRUE, EXACT(Table28[[#This Row],[Y X'']], Table29[orig]), Table29[T-reflection])</f>
        <v>V</v>
      </c>
      <c r="DS30" t="str" cm="1">
        <f t="array" ref="DS30">_xlfn.XLOOKUP(TRUE, EXACT(Table28[[#This Row],[Z'' X]], Table29[orig]), Table29[T-reflection])</f>
        <v>Q</v>
      </c>
      <c r="DT30" t="str" cm="1">
        <f t="array" ref="DT30">_xlfn.XLOOKUP(TRUE, EXACT(Table28[[#This Row],[Z'' X'']], Table29[orig]), Table29[T-reflection])</f>
        <v>K</v>
      </c>
      <c r="DU30" t="str" cm="1">
        <f t="array" ref="DU30">_xlfn.XLOOKUP(TRUE, EXACT(Table28[[#This Row],[Y'' X]], Table29[orig]), Table29[T-reflection])</f>
        <v>X</v>
      </c>
      <c r="DV30" t="str" cm="1">
        <f t="array" ref="DV30">_xlfn.XLOOKUP(TRUE, EXACT(Table28[[#This Row],[Y X]], Table29[orig]), Table29[T-reflection])</f>
        <v>B</v>
      </c>
      <c r="DW30" t="str" cm="1">
        <f t="array" ref="DW30">_xlfn.XLOOKUP(TRUE, EXACT(Table28[[#This Row],[Z X'']], Table29[orig]), Table29[T-reflection])</f>
        <v>S</v>
      </c>
      <c r="DX30" t="str" cm="1">
        <f t="array" ref="DX30">_xlfn.XLOOKUP(TRUE, EXACT(Table28[[#This Row],[Y'' X2]], Table29[orig]), Table29[T-reflection])</f>
        <v>L</v>
      </c>
      <c r="DY30" t="str" cm="1">
        <f t="array" ref="DY30">_xlfn.XLOOKUP(TRUE, EXACT(Table28[[#This Row],[Y X2]], Table29[orig]), Table29[T-reflection])</f>
        <v>T</v>
      </c>
      <c r="DZ30" t="str" cm="1">
        <f t="array" ref="DZ30">_xlfn.XLOOKUP(TRUE, EXACT(Table28[[#This Row],[Z X2]], Table29[orig]), Table29[T-reflection])</f>
        <v>A</v>
      </c>
      <c r="EA30" t="str" cm="1">
        <f t="array" ref="EA30">_xlfn.XLOOKUP(TRUE, EXACT(Table28[[#This Row],[Z'' X2]], Table29[orig]), Table29[T-reflection])</f>
        <v>W</v>
      </c>
      <c r="EB30" t="str" cm="1">
        <f t="array" ref="EB30">_xlfn.XLOOKUP(TRUE, EXACT(Table28[[#This Row],[Z2 X]], Table29[orig]), Table29[T-reflection])</f>
        <v>M</v>
      </c>
      <c r="EC30" t="str" cm="1">
        <f t="array" ref="EC30">_xlfn.XLOOKUP(TRUE, EXACT(Table28[[#This Row],[Z2 X'']], Table29[orig]), Table29[T-reflection])</f>
        <v>O</v>
      </c>
    </row>
    <row r="31" spans="1:164" x14ac:dyDescent="0.2">
      <c r="B31" t="s">
        <v>74</v>
      </c>
      <c r="C31" t="s">
        <v>74</v>
      </c>
      <c r="D31" t="s">
        <v>128</v>
      </c>
      <c r="E31" t="s">
        <v>64</v>
      </c>
      <c r="F31" t="s">
        <v>129</v>
      </c>
      <c r="G31" t="s">
        <v>126</v>
      </c>
      <c r="H31" t="s">
        <v>128</v>
      </c>
      <c r="I31" t="s">
        <v>127</v>
      </c>
      <c r="J31" t="s">
        <v>128</v>
      </c>
      <c r="K31" t="s">
        <v>64</v>
      </c>
      <c r="L31" t="s">
        <v>74</v>
      </c>
      <c r="O31" t="s">
        <v>74</v>
      </c>
      <c r="P31" t="str">
        <f>Table27[[#This Row],[orig]]</f>
        <v>N</v>
      </c>
      <c r="Q31" t="str">
        <f>Table29[[#This Row],[X]]</f>
        <v>O</v>
      </c>
      <c r="R31" t="str" cm="1">
        <f t="array" ref="R31">_xlfn.XLOOKUP(TRUE, EXACT(Table27[[#This Row],[X]], Table27[orig]), Table27[X])</f>
        <v>P</v>
      </c>
      <c r="S31" t="str" cm="1">
        <f t="array" ref="S31">_xlfn.XLOOKUP(TRUE, EXACT(Table27[[#This Row],[X2]], Table27[orig]), Table27[X])</f>
        <v>M</v>
      </c>
      <c r="T31" t="str">
        <f>Table29[[#This Row],[Y]]</f>
        <v>J</v>
      </c>
      <c r="U31" t="str" cm="1">
        <f t="array" ref="U31">_xlfn.XLOOKUP(TRUE, EXACT(Table27[[#This Row],[Y]], Table27[orig]), Table27[Y])</f>
        <v>F</v>
      </c>
      <c r="V31" t="str" cm="1">
        <f t="array" ref="V31">_xlfn.XLOOKUP(TRUE, EXACT(Table27[[#This Row],[Y2]], Table27[orig]), Table27[Y])</f>
        <v>R</v>
      </c>
      <c r="W31" t="str">
        <f>Table29[[#This Row],[Z]]</f>
        <v>W</v>
      </c>
      <c r="X31" t="str" cm="1">
        <f t="array" ref="X31">_xlfn.XLOOKUP(TRUE, EXACT(Table27[[#This Row],[Z]], Table27[orig]), Table27[Z])</f>
        <v>H</v>
      </c>
      <c r="Y31" t="str" cm="1">
        <f t="array" ref="Y31">_xlfn.XLOOKUP(TRUE, EXACT(Table27[[#This Row],[Z2]], Table27[orig]), Table27[Z])</f>
        <v>A</v>
      </c>
      <c r="Z31" t="str">
        <f>Table29[[#This Row],[R]]</f>
        <v>O</v>
      </c>
      <c r="AA31" t="str" cm="1">
        <f t="array" ref="AA31">_xlfn.XLOOKUP(TRUE, EXACT(Table27[[#This Row],[R]], Table27[orig]), Table27[R])</f>
        <v>P</v>
      </c>
      <c r="AB31" t="str" cm="1">
        <f t="array" ref="AB31">_xlfn.XLOOKUP(TRUE, EXACT(Table27[[#This Row],[R2]], Table27[orig]), Table27[R])</f>
        <v>M</v>
      </c>
      <c r="AC31" t="str" cm="1">
        <f t="array" ref="AC31">_xlfn.XLOOKUP(TRUE, EXACT(_xlfn.XLOOKUP(TRUE, EXACT(Table27[[#This Row],[Y2]], Table27[orig]), Table27[R]), Table27[orig]), Table27[Y2])</f>
        <v>N</v>
      </c>
      <c r="AD31" t="str" cm="1">
        <f t="array" ref="AD31">_xlfn.XLOOKUP(TRUE, EXACT(Table27[[#This Row],[L]], Table27[orig]), Table27[L])</f>
        <v>N</v>
      </c>
      <c r="AE31" t="str" cm="1">
        <f t="array" ref="AE31">_xlfn.XLOOKUP(TRUE, EXACT(Table27[[#This Row],[L2]], Table27[orig]), Table27[L])</f>
        <v>N</v>
      </c>
      <c r="AF31" t="str" cm="1">
        <f t="array" ref="AF31">_xlfn.XLOOKUP(TRUE, EXACT(Table27[[#This Row],[r-lower]], Table27[orig]), Table27[R''])</f>
        <v>N</v>
      </c>
      <c r="AG31" t="str" cm="1">
        <f t="array" ref="AG31">_xlfn.XLOOKUP(TRUE, EXACT(Table27[[#This Row],[T]], Table27[orig]), Table27[T])</f>
        <v>N</v>
      </c>
      <c r="AH31" t="str" cm="1">
        <f t="array" ref="AH31">_xlfn.XLOOKUP(TRUE, EXACT(Table27[[#This Row],[T2]], Table27[orig]), Table27[T])</f>
        <v>N</v>
      </c>
      <c r="AI31" t="str" cm="1">
        <f t="array" ref="AI31">_xlfn.XLOOKUP(TRUE, EXACT(Table27[[#This Row],[X]], Table27[orig]), Table27[L])</f>
        <v>O</v>
      </c>
      <c r="AJ31" t="str" cm="1">
        <f t="array" ref="AJ31">_xlfn.XLOOKUP(TRUE, EXACT(Table27[[#This Row],[r-lower]], Table27[orig]), Table27[r-lower])</f>
        <v>P</v>
      </c>
      <c r="AK31" t="str" cm="1">
        <f t="array" ref="AK31">_xlfn.XLOOKUP(TRUE, EXACT(Table27[[#This Row],[r2-lower]], Table27[orig]), Table27[r-lower])</f>
        <v>M</v>
      </c>
      <c r="AL31" t="str" cm="1">
        <f t="array" ref="AL31">_xlfn.XLOOKUP(TRUE, EXACT(Table27[[#This Row],[X'']], Table27[orig]), Table27[R])</f>
        <v>N</v>
      </c>
      <c r="AM31" t="str" cm="1">
        <f t="array" ref="AM31">_xlfn.XLOOKUP(TRUE, EXACT(Table27[[#This Row],[l-lower]], Table27[orig]), Table27[l-lower])</f>
        <v>N</v>
      </c>
      <c r="AN31" t="str" cm="1">
        <f t="array" ref="AN31">_xlfn.XLOOKUP(TRUE, EXACT(Table27[[#This Row],[l2-lower]], Table27[orig]), Table27[l-lower])</f>
        <v>N</v>
      </c>
      <c r="AO31" t="str" cm="1">
        <f t="array" ref="AO31">_xlfn.XLOOKUP(TRUE, EXACT(Table27[[#This Row],[R]], Table27[orig]), Table27[L''])</f>
        <v>O</v>
      </c>
      <c r="AP31" t="str" cm="1">
        <f t="array" ref="AP31">_xlfn.XLOOKUP(TRUE, EXACT(Table27[[#This Row],[RL'']], Table27[orig]), Table27[RL''])</f>
        <v>P</v>
      </c>
      <c r="AQ31" t="str" cm="1">
        <f t="array" ref="AQ31">_xlfn.XLOOKUP(TRUE, EXACT(Table27[[#This Row],[R2L2]], Table27[orig]), Table27[RL''])</f>
        <v>M</v>
      </c>
      <c r="AR31" t="str">
        <f>Table29[[#This Row],[U]]</f>
        <v>J</v>
      </c>
      <c r="AS31" t="str" cm="1">
        <f t="array" ref="AS31">_xlfn.XLOOKUP(TRUE, EXACT(Table27[[#This Row],[U]], Table27[orig]), Table27[U])</f>
        <v>F</v>
      </c>
      <c r="AT31" t="str" cm="1">
        <f t="array" ref="AT31">_xlfn.XLOOKUP(TRUE, EXACT(Table27[[#This Row],[U2]], Table27[orig]), Table27[U])</f>
        <v>R</v>
      </c>
      <c r="AU31" t="str" cm="1">
        <f t="array" ref="AU31">_xlfn.XLOOKUP(TRUE, EXACT(_xlfn.XLOOKUP(TRUE, EXACT(Table27[[#This Row],[Z2]], Table27[orig]), Table27[U]), Table27[orig]), Table27[Z2])</f>
        <v>N</v>
      </c>
      <c r="AV31" t="str" cm="1">
        <f t="array" ref="AV31">_xlfn.XLOOKUP(TRUE, EXACT(Table27[[#This Row],[D]], Table27[orig]), Table27[D])</f>
        <v>N</v>
      </c>
      <c r="AW31" t="str" cm="1">
        <f t="array" ref="AW31">_xlfn.XLOOKUP(TRUE, EXACT(Table27[[#This Row],[D2]], Table27[orig]), Table27[D])</f>
        <v>N</v>
      </c>
      <c r="AX31" t="str" cm="1">
        <f t="array" ref="AX31">_xlfn.XLOOKUP(TRUE, EXACT(Table27[[#This Row],[u-lower]], Table27[orig]), Table27[U''])</f>
        <v>N</v>
      </c>
      <c r="AY31" t="str" cm="1">
        <f t="array" ref="AY31">_xlfn.XLOOKUP(TRUE, EXACT(Table27[[#This Row],[H]], Table27[orig]), Table27[H])</f>
        <v>N</v>
      </c>
      <c r="AZ31" t="str" cm="1">
        <f t="array" ref="AZ31">_xlfn.XLOOKUP(TRUE, EXACT(Table27[[#This Row],[H2]], Table27[orig]), Table27[H])</f>
        <v>N</v>
      </c>
      <c r="BA31" t="str" cm="1">
        <f t="array" ref="BA31">_xlfn.XLOOKUP(TRUE, EXACT(Table27[[#This Row],[Y]], Table27[orig]), Table27[D])</f>
        <v>J</v>
      </c>
      <c r="BB31" t="str" cm="1">
        <f t="array" ref="BB31">_xlfn.XLOOKUP(TRUE, EXACT(Table27[[#This Row],[u-lower]], Table27[orig]), Table27[u-lower])</f>
        <v>F</v>
      </c>
      <c r="BC31" t="str" cm="1">
        <f t="array" ref="BC31">_xlfn.XLOOKUP(TRUE, EXACT(Table27[[#This Row],[u2-lower]], Table27[orig]), Table27[u-lower])</f>
        <v>R</v>
      </c>
      <c r="BD31" t="str" cm="1">
        <f t="array" ref="BD31">_xlfn.XLOOKUP(TRUE, EXACT(Table27[[#This Row],[Y'']], Table27[orig]), Table27[U])</f>
        <v>N</v>
      </c>
      <c r="BE31" t="str" cm="1">
        <f t="array" ref="BE31">_xlfn.XLOOKUP(TRUE, EXACT(Table27[[#This Row],[d-lower]], Table27[orig]), Table27[d-lower])</f>
        <v>N</v>
      </c>
      <c r="BF31" t="str" cm="1">
        <f t="array" ref="BF31">_xlfn.XLOOKUP(TRUE, EXACT(Table27[[#This Row],[d2-lower]], Table27[orig]), Table27[d-lower])</f>
        <v>N</v>
      </c>
      <c r="BG31" t="str" cm="1">
        <f t="array" ref="BG31">_xlfn.XLOOKUP(TRUE, EXACT(Table27[[#This Row],[U]], Table27[orig]), Table27[D''])</f>
        <v>J</v>
      </c>
      <c r="BH31" t="str" cm="1">
        <f t="array" ref="BH31">_xlfn.XLOOKUP(TRUE, EXACT(Table27[[#This Row],[UD'']], Table27[orig]), Table27[UD''])</f>
        <v>F</v>
      </c>
      <c r="BI31" t="str" cm="1">
        <f t="array" ref="BI31">_xlfn.XLOOKUP(TRUE, EXACT(Table27[[#This Row],[U2D2]], Table27[orig]), Table27[UD''])</f>
        <v>R</v>
      </c>
      <c r="BJ31" t="str">
        <f>Table29[[#This Row],[F]]</f>
        <v>N</v>
      </c>
      <c r="BK31" t="str" cm="1">
        <f t="array" ref="BK31">_xlfn.XLOOKUP(TRUE, EXACT(Table27[[#This Row],[F]], Table27[orig]), Table27[F])</f>
        <v>N</v>
      </c>
      <c r="BL31" t="str" cm="1">
        <f t="array" ref="BL31">_xlfn.XLOOKUP(TRUE, EXACT(Table27[[#This Row],[F2]], Table27[orig]), Table27[F])</f>
        <v>N</v>
      </c>
      <c r="BM31" t="str" cm="1">
        <f t="array" ref="BM31">_xlfn.XLOOKUP(TRUE, EXACT(_xlfn.XLOOKUP(TRUE, EXACT(Table27[[#This Row],[X2]], Table27[orig]), Table27[F]), Table27[orig]), Table27[X2])</f>
        <v>A</v>
      </c>
      <c r="BN31" t="str" cm="1">
        <f t="array" ref="BN31">_xlfn.XLOOKUP(TRUE, EXACT(Table27[[#This Row],[B]], Table27[orig]), Table27[B])</f>
        <v>H</v>
      </c>
      <c r="BO31" t="str" cm="1">
        <f t="array" ref="BO31">_xlfn.XLOOKUP(TRUE, EXACT(Table27[[#This Row],[B2]], Table27[orig]), Table27[B])</f>
        <v>W</v>
      </c>
      <c r="BP31" t="str" cm="1">
        <f t="array" ref="BP31">_xlfn.XLOOKUP(TRUE, EXACT(Table27[[#This Row],[f-lower]], Table27[orig]), Table27[F''])</f>
        <v>N</v>
      </c>
      <c r="BQ31" t="str" cm="1">
        <f t="array" ref="BQ31">_xlfn.XLOOKUP(TRUE, EXACT(Table27[[#This Row],[S]], Table27[orig]), Table27[S])</f>
        <v>N</v>
      </c>
      <c r="BR31" t="str" cm="1">
        <f t="array" ref="BR31">_xlfn.XLOOKUP(TRUE, EXACT(Table27[[#This Row],[S2]], Table27[orig]), Table27[S])</f>
        <v>N</v>
      </c>
      <c r="BS31" t="str" cm="1">
        <f t="array" ref="BS31">_xlfn.XLOOKUP(TRUE, EXACT(Table27[[#This Row],[Z]], Table27[orig]), Table27[B])</f>
        <v>N</v>
      </c>
      <c r="BT31" t="str" cm="1">
        <f t="array" ref="BT31">_xlfn.XLOOKUP(TRUE, EXACT(Table27[[#This Row],[f-lower]], Table27[orig]), Table27[f-lower])</f>
        <v>N</v>
      </c>
      <c r="BU31" t="str" cm="1">
        <f t="array" ref="BU31">_xlfn.XLOOKUP(TRUE, EXACT(Table27[[#This Row],[f2-lower]], Table27[orig]), Table27[f-lower])</f>
        <v>N</v>
      </c>
      <c r="BV31" t="str" cm="1">
        <f t="array" ref="BV31">_xlfn.XLOOKUP(TRUE, EXACT(Table27[[#This Row],[Z'']], Table27[orig]), Table27[F])</f>
        <v>A</v>
      </c>
      <c r="BW31" t="str" cm="1">
        <f t="array" ref="BW31">_xlfn.XLOOKUP(TRUE, EXACT(Table27[[#This Row],[b-lower]], Table27[orig]), Table27[b-lower])</f>
        <v>H</v>
      </c>
      <c r="BX31" t="str" cm="1">
        <f t="array" ref="BX31">_xlfn.XLOOKUP(TRUE, EXACT(Table27[[#This Row],[b2-lower]], Table27[orig]), Table27[b-lower])</f>
        <v>W</v>
      </c>
      <c r="BY31" t="str" cm="1">
        <f t="array" ref="BY31">_xlfn.XLOOKUP(TRUE, EXACT(Table27[[#This Row],[F]], Table27[orig]), Table27[B''])</f>
        <v>W</v>
      </c>
      <c r="BZ31" t="str" cm="1">
        <f t="array" ref="BZ31">_xlfn.XLOOKUP(TRUE, EXACT(Table27[[#This Row],[FB'']], Table27[orig]), Table27[FB''])</f>
        <v>H</v>
      </c>
      <c r="CA31" t="str" cm="1">
        <f t="array" ref="CA31">_xlfn.XLOOKUP(TRUE, EXACT(Table27[[#This Row],[F2B2]], Table27[orig]), Table27[FB''])</f>
        <v>A</v>
      </c>
      <c r="CD31" t="s">
        <v>74</v>
      </c>
      <c r="CE31" t="str">
        <f>Table28[[#This Row],[orig]]</f>
        <v>N</v>
      </c>
      <c r="CF31" t="str">
        <f>Table29[[#This Row],[X]]</f>
        <v>O</v>
      </c>
      <c r="CG31" t="str" cm="1">
        <f t="array" ref="CG31">_xlfn.XLOOKUP(TRUE, EXACT(Table28[[#This Row],[X]], Table28[orig]), Table28[X])</f>
        <v>P</v>
      </c>
      <c r="CH31" t="str" cm="1">
        <f t="array" ref="CH31">_xlfn.XLOOKUP(TRUE, EXACT(Table28[[#This Row],[X2]], Table28[orig]), Table28[X])</f>
        <v>M</v>
      </c>
      <c r="CI31" t="str">
        <f>Table29[[#This Row],[Y]]</f>
        <v>J</v>
      </c>
      <c r="CJ31" t="str" cm="1">
        <f t="array" ref="CJ31">_xlfn.XLOOKUP(TRUE, EXACT(Table28[[#This Row],[Y]], Table28[orig]), Table28[Y])</f>
        <v>F</v>
      </c>
      <c r="CK31" t="str" cm="1">
        <f t="array" ref="CK31">_xlfn.XLOOKUP(TRUE, EXACT(Table28[[#This Row],[Y2]], Table28[orig]), Table28[Y])</f>
        <v>R</v>
      </c>
      <c r="CL31" t="str">
        <f>Table29[[#This Row],[Z]]</f>
        <v>W</v>
      </c>
      <c r="CM31" t="str" cm="1">
        <f t="array" ref="CM31">_xlfn.XLOOKUP(TRUE, EXACT(Table28[[#This Row],[Z]], Table28[orig]), Table28[Z])</f>
        <v>H</v>
      </c>
      <c r="CN31" t="str" cm="1">
        <f t="array" ref="CN31">_xlfn.XLOOKUP(TRUE, EXACT(Table28[[#This Row],[Z2]], Table28[orig]), Table28[Z])</f>
        <v>A</v>
      </c>
      <c r="CO31" t="str" cm="1">
        <f t="array" ref="CO31">_xlfn.XLOOKUP(TRUE, EXACT(Table28[[#This Row],[Z]], Table28[orig]), Table28[X])</f>
        <v>K</v>
      </c>
      <c r="CP31" t="str" cm="1">
        <f t="array" ref="CP31">_xlfn.XLOOKUP(TRUE, EXACT(Table28[[#This Row],[Y'']], Table28[orig]), Table28[X''])</f>
        <v>D</v>
      </c>
      <c r="CQ31" t="str" cm="1">
        <f t="array" ref="CQ31">_xlfn.XLOOKUP(TRUE, EXACT(Table28[[#This Row],[Y]], Table28[orig]), Table28[X''])</f>
        <v>V</v>
      </c>
      <c r="CR31" t="str" cm="1">
        <f t="array" ref="CR31">_xlfn.XLOOKUP(TRUE, EXACT(Table28[[#This Row],[Z'']], Table28[orig]), Table28[X])</f>
        <v>S</v>
      </c>
      <c r="CS31" t="str" cm="1">
        <f t="array" ref="CS31">_xlfn.XLOOKUP(TRUE, EXACT(Table28[[#This Row],[Z'']], Table28[orig]), Table28[X''])</f>
        <v>I</v>
      </c>
      <c r="CT31" t="str" cm="1">
        <f t="array" ref="CT31">_xlfn.XLOOKUP(TRUE, EXACT(Table28[[#This Row],[Y'']], Table28[orig]), Table28[X])</f>
        <v>X</v>
      </c>
      <c r="CU31" t="str" cm="1">
        <f t="array" ref="CU31">_xlfn.XLOOKUP(TRUE, EXACT(Table28[[#This Row],[Y]], Table28[orig]), Table28[X])</f>
        <v>B</v>
      </c>
      <c r="CV31" t="str" cm="1">
        <f t="array" ref="CV31">_xlfn.XLOOKUP(TRUE, EXACT(Table28[[#This Row],[Z]], Table28[orig]), Table28[X''])</f>
        <v>Q</v>
      </c>
      <c r="CW31" t="str" cm="1">
        <f t="array" ref="CW31">_xlfn.XLOOKUP(TRUE, EXACT(Table28[[#This Row],[Y'']], Table28[orig]), Table28[X2])</f>
        <v>L</v>
      </c>
      <c r="CX31" t="str" cm="1">
        <f t="array" ref="CX31">_xlfn.XLOOKUP(TRUE, EXACT(Table28[[#This Row],[Y]], Table28[orig]), Table28[X2])</f>
        <v>T</v>
      </c>
      <c r="CY31" t="str" cm="1">
        <f t="array" ref="CY31">_xlfn.XLOOKUP(TRUE, EXACT(Table28[[#This Row],[Z]], Table28[orig]), Table28[X2])</f>
        <v>C</v>
      </c>
      <c r="CZ31" t="str" cm="1">
        <f t="array" ref="CZ31">_xlfn.XLOOKUP(TRUE, EXACT(Table28[[#This Row],[Z'']], Table28[orig]), Table28[X2])</f>
        <v>U</v>
      </c>
      <c r="DA31" t="str" cm="1">
        <f t="array" ref="DA31">_xlfn.XLOOKUP(TRUE, EXACT(Table28[[#This Row],[Z2]], Table28[orig]), Table28[X])</f>
        <v>G</v>
      </c>
      <c r="DB31" t="str" cm="1">
        <f t="array" ref="DB31">_xlfn.XLOOKUP(TRUE, EXACT(Table28[[#This Row],[Z2]], Table28[orig]), Table28[X''])</f>
        <v>E</v>
      </c>
      <c r="DE31" s="4" t="s">
        <v>74</v>
      </c>
      <c r="DF31" s="4" t="str" cm="1">
        <f t="array" ref="DF31">_xlfn.XLOOKUP(TRUE, EXACT(Table28[[#This Row],[I]], Table29[orig]), Table29[T-reflection])</f>
        <v>E</v>
      </c>
      <c r="DG31" s="4" t="str" cm="1">
        <f t="array" ref="DG31">_xlfn.XLOOKUP(TRUE, EXACT(Table28[[#This Row],[X]], Table29[orig]), Table29[T-reflection])</f>
        <v>H</v>
      </c>
      <c r="DH31" t="str" cm="1">
        <f t="array" ref="DH31">_xlfn.XLOOKUP(TRUE, EXACT(Table28[[#This Row],[X2]], Table29[orig]), Table29[T-reflection])</f>
        <v>G</v>
      </c>
      <c r="DI31" t="str" cm="1">
        <f t="array" ref="DI31">_xlfn.XLOOKUP(TRUE, EXACT(Table28[[#This Row],[X'']], Table29[orig]), Table29[T-reflection])</f>
        <v>F</v>
      </c>
      <c r="DJ31" s="4" t="str" cm="1">
        <f t="array" ref="DJ31">_xlfn.XLOOKUP(TRUE, EXACT(Table28[[#This Row],[Y]], Table29[orig]), Table29[T-reflection])</f>
        <v>I</v>
      </c>
      <c r="DK31" t="str" cm="1">
        <f t="array" ref="DK31">_xlfn.XLOOKUP(TRUE, EXACT(Table28[[#This Row],[Y2]], Table29[orig]), Table29[T-reflection])</f>
        <v>M</v>
      </c>
      <c r="DL31" t="str" cm="1">
        <f t="array" ref="DL31">_xlfn.XLOOKUP(TRUE, EXACT(Table28[[#This Row],[Y'']], Table29[orig]), Table29[T-reflection])</f>
        <v>Q</v>
      </c>
      <c r="DM31" s="4" t="str" cm="1">
        <f t="array" ref="DM31">_xlfn.XLOOKUP(TRUE, EXACT(Table28[[#This Row],[Z]], Table29[orig]), Table29[T-reflection])</f>
        <v>X</v>
      </c>
      <c r="DN31" t="str" cm="1">
        <f t="array" ref="DN31">_xlfn.XLOOKUP(TRUE, EXACT(Table28[[#This Row],[Z2]], Table29[orig]), Table29[T-reflection])</f>
        <v>O</v>
      </c>
      <c r="DO31" t="str" cm="1">
        <f t="array" ref="DO31">_xlfn.XLOOKUP(TRUE, EXACT(Table28[[#This Row],[Z'']], Table29[orig]), Table29[T-reflection])</f>
        <v>B</v>
      </c>
      <c r="DP31" t="str" cm="1">
        <f t="array" ref="DP31">_xlfn.XLOOKUP(TRUE, EXACT(Table28[[#This Row],[Z X]], Table29[orig]), Table29[T-reflection])</f>
        <v>L</v>
      </c>
      <c r="DQ31" t="str" cm="1">
        <f t="array" ref="DQ31">_xlfn.XLOOKUP(TRUE, EXACT(Table28[[#This Row],[Y'' X'']], Table29[orig]), Table29[T-reflection])</f>
        <v>C</v>
      </c>
      <c r="DR31" t="str" cm="1">
        <f t="array" ref="DR31">_xlfn.XLOOKUP(TRUE, EXACT(Table28[[#This Row],[Y X'']], Table29[orig]), Table29[T-reflection])</f>
        <v>U</v>
      </c>
      <c r="DS31" t="str" cm="1">
        <f t="array" ref="DS31">_xlfn.XLOOKUP(TRUE, EXACT(Table28[[#This Row],[Z'' X]], Table29[orig]), Table29[T-reflection])</f>
        <v>T</v>
      </c>
      <c r="DT31" t="str" cm="1">
        <f t="array" ref="DT31">_xlfn.XLOOKUP(TRUE, EXACT(Table28[[#This Row],[Z'' X'']], Table29[orig]), Table29[T-reflection])</f>
        <v>J</v>
      </c>
      <c r="DU31" t="str" cm="1">
        <f t="array" ref="DU31">_xlfn.XLOOKUP(TRUE, EXACT(Table28[[#This Row],[Y'' X]], Table29[orig]), Table29[T-reflection])</f>
        <v>W</v>
      </c>
      <c r="DV31" t="str" cm="1">
        <f t="array" ref="DV31">_xlfn.XLOOKUP(TRUE, EXACT(Table28[[#This Row],[Y X]], Table29[orig]), Table29[T-reflection])</f>
        <v>A</v>
      </c>
      <c r="DW31" t="str" cm="1">
        <f t="array" ref="DW31">_xlfn.XLOOKUP(TRUE, EXACT(Table28[[#This Row],[Z X'']], Table29[orig]), Table29[T-reflection])</f>
        <v>R</v>
      </c>
      <c r="DX31" t="str" cm="1">
        <f t="array" ref="DX31">_xlfn.XLOOKUP(TRUE, EXACT(Table28[[#This Row],[Y'' X2]], Table29[orig]), Table29[T-reflection])</f>
        <v>K</v>
      </c>
      <c r="DY31" t="str" cm="1">
        <f t="array" ref="DY31">_xlfn.XLOOKUP(TRUE, EXACT(Table28[[#This Row],[Y X2]], Table29[orig]), Table29[T-reflection])</f>
        <v>S</v>
      </c>
      <c r="DZ31" t="str" cm="1">
        <f t="array" ref="DZ31">_xlfn.XLOOKUP(TRUE, EXACT(Table28[[#This Row],[Z X2]], Table29[orig]), Table29[T-reflection])</f>
        <v>D</v>
      </c>
      <c r="EA31" t="str" cm="1">
        <f t="array" ref="EA31">_xlfn.XLOOKUP(TRUE, EXACT(Table28[[#This Row],[Z'' X2]], Table29[orig]), Table29[T-reflection])</f>
        <v>V</v>
      </c>
      <c r="EB31" t="str" cm="1">
        <f t="array" ref="EB31">_xlfn.XLOOKUP(TRUE, EXACT(Table28[[#This Row],[Z2 X]], Table29[orig]), Table29[T-reflection])</f>
        <v>P</v>
      </c>
      <c r="EC31" t="str" cm="1">
        <f t="array" ref="EC31">_xlfn.XLOOKUP(TRUE, EXACT(Table28[[#This Row],[Z2 X'']], Table29[orig]), Table29[T-reflection])</f>
        <v>N</v>
      </c>
    </row>
    <row r="32" spans="1:164" x14ac:dyDescent="0.2">
      <c r="B32" t="s">
        <v>128</v>
      </c>
      <c r="C32" t="s">
        <v>128</v>
      </c>
      <c r="D32" t="s">
        <v>77</v>
      </c>
      <c r="E32" t="s">
        <v>69</v>
      </c>
      <c r="F32" t="s">
        <v>0</v>
      </c>
      <c r="G32" t="s">
        <v>59</v>
      </c>
      <c r="H32" t="s">
        <v>74</v>
      </c>
      <c r="I32" t="s">
        <v>48</v>
      </c>
      <c r="J32" t="s">
        <v>77</v>
      </c>
      <c r="K32" t="s">
        <v>128</v>
      </c>
      <c r="L32" t="s">
        <v>128</v>
      </c>
      <c r="O32" t="s">
        <v>128</v>
      </c>
      <c r="P32" t="str">
        <f>Table27[[#This Row],[orig]]</f>
        <v>O</v>
      </c>
      <c r="Q32" t="str">
        <f>Table29[[#This Row],[X]]</f>
        <v>P</v>
      </c>
      <c r="R32" t="str" cm="1">
        <f t="array" ref="R32">_xlfn.XLOOKUP(TRUE, EXACT(Table27[[#This Row],[X]], Table27[orig]), Table27[X])</f>
        <v>M</v>
      </c>
      <c r="S32" t="str" cm="1">
        <f t="array" ref="S32">_xlfn.XLOOKUP(TRUE, EXACT(Table27[[#This Row],[X2]], Table27[orig]), Table27[X])</f>
        <v>N</v>
      </c>
      <c r="T32" t="str">
        <f>Table29[[#This Row],[Y]]</f>
        <v>K</v>
      </c>
      <c r="U32" t="str" cm="1">
        <f t="array" ref="U32">_xlfn.XLOOKUP(TRUE, EXACT(Table27[[#This Row],[Y]], Table27[orig]), Table27[Y])</f>
        <v>G</v>
      </c>
      <c r="V32" t="str" cm="1">
        <f t="array" ref="V32">_xlfn.XLOOKUP(TRUE, EXACT(Table27[[#This Row],[Y2]], Table27[orig]), Table27[Y])</f>
        <v>S</v>
      </c>
      <c r="W32" t="str">
        <f>Table29[[#This Row],[Z]]</f>
        <v>X</v>
      </c>
      <c r="X32" t="str" cm="1">
        <f t="array" ref="X32">_xlfn.XLOOKUP(TRUE, EXACT(Table27[[#This Row],[Z]], Table27[orig]), Table27[Z])</f>
        <v>E</v>
      </c>
      <c r="Y32" t="str" cm="1">
        <f t="array" ref="Y32">_xlfn.XLOOKUP(TRUE, EXACT(Table27[[#This Row],[Z2]], Table27[orig]), Table27[Z])</f>
        <v>B</v>
      </c>
      <c r="Z32" t="str">
        <f>Table29[[#This Row],[R]]</f>
        <v>P</v>
      </c>
      <c r="AA32" t="str" cm="1">
        <f t="array" ref="AA32">_xlfn.XLOOKUP(TRUE, EXACT(Table27[[#This Row],[R]], Table27[orig]), Table27[R])</f>
        <v>M</v>
      </c>
      <c r="AB32" t="str" cm="1">
        <f t="array" ref="AB32">_xlfn.XLOOKUP(TRUE, EXACT(Table27[[#This Row],[R2]], Table27[orig]), Table27[R])</f>
        <v>N</v>
      </c>
      <c r="AC32" t="str" cm="1">
        <f t="array" ref="AC32">_xlfn.XLOOKUP(TRUE, EXACT(_xlfn.XLOOKUP(TRUE, EXACT(Table27[[#This Row],[Y2]], Table27[orig]), Table27[R]), Table27[orig]), Table27[Y2])</f>
        <v>O</v>
      </c>
      <c r="AD32" t="str" cm="1">
        <f t="array" ref="AD32">_xlfn.XLOOKUP(TRUE, EXACT(Table27[[#This Row],[L]], Table27[orig]), Table27[L])</f>
        <v>O</v>
      </c>
      <c r="AE32" t="str" cm="1">
        <f t="array" ref="AE32">_xlfn.XLOOKUP(TRUE, EXACT(Table27[[#This Row],[L2]], Table27[orig]), Table27[L])</f>
        <v>O</v>
      </c>
      <c r="AF32" t="str" cm="1">
        <f t="array" ref="AF32">_xlfn.XLOOKUP(TRUE, EXACT(Table27[[#This Row],[r-lower]], Table27[orig]), Table27[R''])</f>
        <v>O</v>
      </c>
      <c r="AG32" t="str" cm="1">
        <f t="array" ref="AG32">_xlfn.XLOOKUP(TRUE, EXACT(Table27[[#This Row],[T]], Table27[orig]), Table27[T])</f>
        <v>O</v>
      </c>
      <c r="AH32" t="str" cm="1">
        <f t="array" ref="AH32">_xlfn.XLOOKUP(TRUE, EXACT(Table27[[#This Row],[T2]], Table27[orig]), Table27[T])</f>
        <v>O</v>
      </c>
      <c r="AI32" t="str" cm="1">
        <f t="array" ref="AI32">_xlfn.XLOOKUP(TRUE, EXACT(Table27[[#This Row],[X]], Table27[orig]), Table27[L])</f>
        <v>P</v>
      </c>
      <c r="AJ32" t="str" cm="1">
        <f t="array" ref="AJ32">_xlfn.XLOOKUP(TRUE, EXACT(Table27[[#This Row],[r-lower]], Table27[orig]), Table27[r-lower])</f>
        <v>M</v>
      </c>
      <c r="AK32" t="str" cm="1">
        <f t="array" ref="AK32">_xlfn.XLOOKUP(TRUE, EXACT(Table27[[#This Row],[r2-lower]], Table27[orig]), Table27[r-lower])</f>
        <v>N</v>
      </c>
      <c r="AL32" t="str" cm="1">
        <f t="array" ref="AL32">_xlfn.XLOOKUP(TRUE, EXACT(Table27[[#This Row],[X'']], Table27[orig]), Table27[R])</f>
        <v>O</v>
      </c>
      <c r="AM32" t="str" cm="1">
        <f t="array" ref="AM32">_xlfn.XLOOKUP(TRUE, EXACT(Table27[[#This Row],[l-lower]], Table27[orig]), Table27[l-lower])</f>
        <v>O</v>
      </c>
      <c r="AN32" t="str" cm="1">
        <f t="array" ref="AN32">_xlfn.XLOOKUP(TRUE, EXACT(Table27[[#This Row],[l2-lower]], Table27[orig]), Table27[l-lower])</f>
        <v>O</v>
      </c>
      <c r="AO32" t="str" cm="1">
        <f t="array" ref="AO32">_xlfn.XLOOKUP(TRUE, EXACT(Table27[[#This Row],[R]], Table27[orig]), Table27[L''])</f>
        <v>P</v>
      </c>
      <c r="AP32" t="str" cm="1">
        <f t="array" ref="AP32">_xlfn.XLOOKUP(TRUE, EXACT(Table27[[#This Row],[RL'']], Table27[orig]), Table27[RL''])</f>
        <v>M</v>
      </c>
      <c r="AQ32" t="str" cm="1">
        <f t="array" ref="AQ32">_xlfn.XLOOKUP(TRUE, EXACT(Table27[[#This Row],[R2L2]], Table27[orig]), Table27[RL''])</f>
        <v>N</v>
      </c>
      <c r="AR32" t="str">
        <f>Table29[[#This Row],[U]]</f>
        <v>O</v>
      </c>
      <c r="AS32" t="str" cm="1">
        <f t="array" ref="AS32">_xlfn.XLOOKUP(TRUE, EXACT(Table27[[#This Row],[U]], Table27[orig]), Table27[U])</f>
        <v>O</v>
      </c>
      <c r="AT32" t="str" cm="1">
        <f t="array" ref="AT32">_xlfn.XLOOKUP(TRUE, EXACT(Table27[[#This Row],[U2]], Table27[orig]), Table27[U])</f>
        <v>O</v>
      </c>
      <c r="AU32" t="str" cm="1">
        <f t="array" ref="AU32">_xlfn.XLOOKUP(TRUE, EXACT(_xlfn.XLOOKUP(TRUE, EXACT(Table27[[#This Row],[Z2]], Table27[orig]), Table27[U]), Table27[orig]), Table27[Z2])</f>
        <v>S</v>
      </c>
      <c r="AV32" t="str" cm="1">
        <f t="array" ref="AV32">_xlfn.XLOOKUP(TRUE, EXACT(Table27[[#This Row],[D]], Table27[orig]), Table27[D])</f>
        <v>G</v>
      </c>
      <c r="AW32" t="str" cm="1">
        <f t="array" ref="AW32">_xlfn.XLOOKUP(TRUE, EXACT(Table27[[#This Row],[D2]], Table27[orig]), Table27[D])</f>
        <v>K</v>
      </c>
      <c r="AX32" t="str" cm="1">
        <f t="array" ref="AX32">_xlfn.XLOOKUP(TRUE, EXACT(Table27[[#This Row],[u-lower]], Table27[orig]), Table27[U''])</f>
        <v>O</v>
      </c>
      <c r="AY32" t="str" cm="1">
        <f t="array" ref="AY32">_xlfn.XLOOKUP(TRUE, EXACT(Table27[[#This Row],[H]], Table27[orig]), Table27[H])</f>
        <v>O</v>
      </c>
      <c r="AZ32" t="str" cm="1">
        <f t="array" ref="AZ32">_xlfn.XLOOKUP(TRUE, EXACT(Table27[[#This Row],[H2]], Table27[orig]), Table27[H])</f>
        <v>O</v>
      </c>
      <c r="BA32" t="str" cm="1">
        <f t="array" ref="BA32">_xlfn.XLOOKUP(TRUE, EXACT(Table27[[#This Row],[Y]], Table27[orig]), Table27[D])</f>
        <v>O</v>
      </c>
      <c r="BB32" t="str" cm="1">
        <f t="array" ref="BB32">_xlfn.XLOOKUP(TRUE, EXACT(Table27[[#This Row],[u-lower]], Table27[orig]), Table27[u-lower])</f>
        <v>O</v>
      </c>
      <c r="BC32" t="str" cm="1">
        <f t="array" ref="BC32">_xlfn.XLOOKUP(TRUE, EXACT(Table27[[#This Row],[u2-lower]], Table27[orig]), Table27[u-lower])</f>
        <v>O</v>
      </c>
      <c r="BD32" t="str" cm="1">
        <f t="array" ref="BD32">_xlfn.XLOOKUP(TRUE, EXACT(Table27[[#This Row],[Y'']], Table27[orig]), Table27[U])</f>
        <v>S</v>
      </c>
      <c r="BE32" t="str" cm="1">
        <f t="array" ref="BE32">_xlfn.XLOOKUP(TRUE, EXACT(Table27[[#This Row],[d-lower]], Table27[orig]), Table27[d-lower])</f>
        <v>G</v>
      </c>
      <c r="BF32" t="str" cm="1">
        <f t="array" ref="BF32">_xlfn.XLOOKUP(TRUE, EXACT(Table27[[#This Row],[d2-lower]], Table27[orig]), Table27[d-lower])</f>
        <v>K</v>
      </c>
      <c r="BG32" t="str" cm="1">
        <f t="array" ref="BG32">_xlfn.XLOOKUP(TRUE, EXACT(Table27[[#This Row],[U]], Table27[orig]), Table27[D''])</f>
        <v>K</v>
      </c>
      <c r="BH32" t="str" cm="1">
        <f t="array" ref="BH32">_xlfn.XLOOKUP(TRUE, EXACT(Table27[[#This Row],[UD'']], Table27[orig]), Table27[UD''])</f>
        <v>G</v>
      </c>
      <c r="BI32" t="str" cm="1">
        <f t="array" ref="BI32">_xlfn.XLOOKUP(TRUE, EXACT(Table27[[#This Row],[U2D2]], Table27[orig]), Table27[UD''])</f>
        <v>S</v>
      </c>
      <c r="BJ32" t="str">
        <f>Table29[[#This Row],[F]]</f>
        <v>O</v>
      </c>
      <c r="BK32" t="str" cm="1">
        <f t="array" ref="BK32">_xlfn.XLOOKUP(TRUE, EXACT(Table27[[#This Row],[F]], Table27[orig]), Table27[F])</f>
        <v>O</v>
      </c>
      <c r="BL32" t="str" cm="1">
        <f t="array" ref="BL32">_xlfn.XLOOKUP(TRUE, EXACT(Table27[[#This Row],[F2]], Table27[orig]), Table27[F])</f>
        <v>O</v>
      </c>
      <c r="BM32" t="str" cm="1">
        <f t="array" ref="BM32">_xlfn.XLOOKUP(TRUE, EXACT(_xlfn.XLOOKUP(TRUE, EXACT(Table27[[#This Row],[X2]], Table27[orig]), Table27[F]), Table27[orig]), Table27[X2])</f>
        <v>B</v>
      </c>
      <c r="BN32" t="str" cm="1">
        <f t="array" ref="BN32">_xlfn.XLOOKUP(TRUE, EXACT(Table27[[#This Row],[B]], Table27[orig]), Table27[B])</f>
        <v>E</v>
      </c>
      <c r="BO32" t="str" cm="1">
        <f t="array" ref="BO32">_xlfn.XLOOKUP(TRUE, EXACT(Table27[[#This Row],[B2]], Table27[orig]), Table27[B])</f>
        <v>X</v>
      </c>
      <c r="BP32" t="str" cm="1">
        <f t="array" ref="BP32">_xlfn.XLOOKUP(TRUE, EXACT(Table27[[#This Row],[f-lower]], Table27[orig]), Table27[F''])</f>
        <v>O</v>
      </c>
      <c r="BQ32" t="str" cm="1">
        <f t="array" ref="BQ32">_xlfn.XLOOKUP(TRUE, EXACT(Table27[[#This Row],[S]], Table27[orig]), Table27[S])</f>
        <v>O</v>
      </c>
      <c r="BR32" t="str" cm="1">
        <f t="array" ref="BR32">_xlfn.XLOOKUP(TRUE, EXACT(Table27[[#This Row],[S2]], Table27[orig]), Table27[S])</f>
        <v>O</v>
      </c>
      <c r="BS32" t="str" cm="1">
        <f t="array" ref="BS32">_xlfn.XLOOKUP(TRUE, EXACT(Table27[[#This Row],[Z]], Table27[orig]), Table27[B])</f>
        <v>O</v>
      </c>
      <c r="BT32" t="str" cm="1">
        <f t="array" ref="BT32">_xlfn.XLOOKUP(TRUE, EXACT(Table27[[#This Row],[f-lower]], Table27[orig]), Table27[f-lower])</f>
        <v>O</v>
      </c>
      <c r="BU32" t="str" cm="1">
        <f t="array" ref="BU32">_xlfn.XLOOKUP(TRUE, EXACT(Table27[[#This Row],[f2-lower]], Table27[orig]), Table27[f-lower])</f>
        <v>O</v>
      </c>
      <c r="BV32" t="str" cm="1">
        <f t="array" ref="BV32">_xlfn.XLOOKUP(TRUE, EXACT(Table27[[#This Row],[Z'']], Table27[orig]), Table27[F])</f>
        <v>B</v>
      </c>
      <c r="BW32" t="str" cm="1">
        <f t="array" ref="BW32">_xlfn.XLOOKUP(TRUE, EXACT(Table27[[#This Row],[b-lower]], Table27[orig]), Table27[b-lower])</f>
        <v>E</v>
      </c>
      <c r="BX32" t="str" cm="1">
        <f t="array" ref="BX32">_xlfn.XLOOKUP(TRUE, EXACT(Table27[[#This Row],[b2-lower]], Table27[orig]), Table27[b-lower])</f>
        <v>X</v>
      </c>
      <c r="BY32" t="str" cm="1">
        <f t="array" ref="BY32">_xlfn.XLOOKUP(TRUE, EXACT(Table27[[#This Row],[F]], Table27[orig]), Table27[B''])</f>
        <v>X</v>
      </c>
      <c r="BZ32" t="str" cm="1">
        <f t="array" ref="BZ32">_xlfn.XLOOKUP(TRUE, EXACT(Table27[[#This Row],[FB'']], Table27[orig]), Table27[FB''])</f>
        <v>E</v>
      </c>
      <c r="CA32" t="str" cm="1">
        <f t="array" ref="CA32">_xlfn.XLOOKUP(TRUE, EXACT(Table27[[#This Row],[F2B2]], Table27[orig]), Table27[FB''])</f>
        <v>B</v>
      </c>
      <c r="CD32" t="s">
        <v>128</v>
      </c>
      <c r="CE32" t="str">
        <f>Table28[[#This Row],[orig]]</f>
        <v>O</v>
      </c>
      <c r="CF32" t="str">
        <f>Table29[[#This Row],[X]]</f>
        <v>P</v>
      </c>
      <c r="CG32" t="str" cm="1">
        <f t="array" ref="CG32">_xlfn.XLOOKUP(TRUE, EXACT(Table28[[#This Row],[X]], Table28[orig]), Table28[X])</f>
        <v>M</v>
      </c>
      <c r="CH32" t="str" cm="1">
        <f t="array" ref="CH32">_xlfn.XLOOKUP(TRUE, EXACT(Table28[[#This Row],[X2]], Table28[orig]), Table28[X])</f>
        <v>N</v>
      </c>
      <c r="CI32" t="str">
        <f>Table29[[#This Row],[Y]]</f>
        <v>K</v>
      </c>
      <c r="CJ32" t="str" cm="1">
        <f t="array" ref="CJ32">_xlfn.XLOOKUP(TRUE, EXACT(Table28[[#This Row],[Y]], Table28[orig]), Table28[Y])</f>
        <v>G</v>
      </c>
      <c r="CK32" t="str" cm="1">
        <f t="array" ref="CK32">_xlfn.XLOOKUP(TRUE, EXACT(Table28[[#This Row],[Y2]], Table28[orig]), Table28[Y])</f>
        <v>S</v>
      </c>
      <c r="CL32" t="str">
        <f>Table29[[#This Row],[Z]]</f>
        <v>X</v>
      </c>
      <c r="CM32" t="str" cm="1">
        <f t="array" ref="CM32">_xlfn.XLOOKUP(TRUE, EXACT(Table28[[#This Row],[Z]], Table28[orig]), Table28[Z])</f>
        <v>E</v>
      </c>
      <c r="CN32" t="str" cm="1">
        <f t="array" ref="CN32">_xlfn.XLOOKUP(TRUE, EXACT(Table28[[#This Row],[Z2]], Table28[orig]), Table28[Z])</f>
        <v>B</v>
      </c>
      <c r="CO32" t="str" cm="1">
        <f t="array" ref="CO32">_xlfn.XLOOKUP(TRUE, EXACT(Table28[[#This Row],[Z]], Table28[orig]), Table28[X])</f>
        <v>L</v>
      </c>
      <c r="CP32" t="str" cm="1">
        <f t="array" ref="CP32">_xlfn.XLOOKUP(TRUE, EXACT(Table28[[#This Row],[Y'']], Table28[orig]), Table28[X''])</f>
        <v>A</v>
      </c>
      <c r="CQ32" t="str" cm="1">
        <f t="array" ref="CQ32">_xlfn.XLOOKUP(TRUE, EXACT(Table28[[#This Row],[Y]], Table28[orig]), Table28[X''])</f>
        <v>W</v>
      </c>
      <c r="CR32" t="str" cm="1">
        <f t="array" ref="CR32">_xlfn.XLOOKUP(TRUE, EXACT(Table28[[#This Row],[Z'']], Table28[orig]), Table28[X])</f>
        <v>T</v>
      </c>
      <c r="CS32" t="str" cm="1">
        <f t="array" ref="CS32">_xlfn.XLOOKUP(TRUE, EXACT(Table28[[#This Row],[Z'']], Table28[orig]), Table28[X''])</f>
        <v>J</v>
      </c>
      <c r="CT32" t="str" cm="1">
        <f t="array" ref="CT32">_xlfn.XLOOKUP(TRUE, EXACT(Table28[[#This Row],[Y'']], Table28[orig]), Table28[X])</f>
        <v>U</v>
      </c>
      <c r="CU32" t="str" cm="1">
        <f t="array" ref="CU32">_xlfn.XLOOKUP(TRUE, EXACT(Table28[[#This Row],[Y]], Table28[orig]), Table28[X])</f>
        <v>C</v>
      </c>
      <c r="CV32" t="str" cm="1">
        <f t="array" ref="CV32">_xlfn.XLOOKUP(TRUE, EXACT(Table28[[#This Row],[Z]], Table28[orig]), Table28[X''])</f>
        <v>R</v>
      </c>
      <c r="CW32" t="str" cm="1">
        <f t="array" ref="CW32">_xlfn.XLOOKUP(TRUE, EXACT(Table28[[#This Row],[Y'']], Table28[orig]), Table28[X2])</f>
        <v>I</v>
      </c>
      <c r="CX32" t="str" cm="1">
        <f t="array" ref="CX32">_xlfn.XLOOKUP(TRUE, EXACT(Table28[[#This Row],[Y]], Table28[orig]), Table28[X2])</f>
        <v>Q</v>
      </c>
      <c r="CY32" t="str" cm="1">
        <f t="array" ref="CY32">_xlfn.XLOOKUP(TRUE, EXACT(Table28[[#This Row],[Z]], Table28[orig]), Table28[X2])</f>
        <v>D</v>
      </c>
      <c r="CZ32" t="str" cm="1">
        <f t="array" ref="CZ32">_xlfn.XLOOKUP(TRUE, EXACT(Table28[[#This Row],[Z'']], Table28[orig]), Table28[X2])</f>
        <v>V</v>
      </c>
      <c r="DA32" t="str" cm="1">
        <f t="array" ref="DA32">_xlfn.XLOOKUP(TRUE, EXACT(Table28[[#This Row],[Z2]], Table28[orig]), Table28[X])</f>
        <v>H</v>
      </c>
      <c r="DB32" t="str" cm="1">
        <f t="array" ref="DB32">_xlfn.XLOOKUP(TRUE, EXACT(Table28[[#This Row],[Z2]], Table28[orig]), Table28[X''])</f>
        <v>F</v>
      </c>
      <c r="DE32" s="6" t="s">
        <v>128</v>
      </c>
      <c r="DF32" s="6" t="str" cm="1">
        <f t="array" ref="DF32">_xlfn.XLOOKUP(TRUE, EXACT(Table28[[#This Row],[I]], Table29[orig]), Table29[T-reflection])</f>
        <v>H</v>
      </c>
      <c r="DG32" s="6" t="str" cm="1">
        <f t="array" ref="DG32">_xlfn.XLOOKUP(TRUE, EXACT(Table28[[#This Row],[X]], Table29[orig]), Table29[T-reflection])</f>
        <v>G</v>
      </c>
      <c r="DH32" t="str" cm="1">
        <f t="array" ref="DH32">_xlfn.XLOOKUP(TRUE, EXACT(Table28[[#This Row],[X2]], Table29[orig]), Table29[T-reflection])</f>
        <v>F</v>
      </c>
      <c r="DI32" t="str" cm="1">
        <f t="array" ref="DI32">_xlfn.XLOOKUP(TRUE, EXACT(Table28[[#This Row],[X'']], Table29[orig]), Table29[T-reflection])</f>
        <v>E</v>
      </c>
      <c r="DJ32" s="6" t="str" cm="1">
        <f t="array" ref="DJ32">_xlfn.XLOOKUP(TRUE, EXACT(Table28[[#This Row],[Y]], Table29[orig]), Table29[T-reflection])</f>
        <v>L</v>
      </c>
      <c r="DK32" t="str" cm="1">
        <f t="array" ref="DK32">_xlfn.XLOOKUP(TRUE, EXACT(Table28[[#This Row],[Y2]], Table29[orig]), Table29[T-reflection])</f>
        <v>P</v>
      </c>
      <c r="DL32" t="str" cm="1">
        <f t="array" ref="DL32">_xlfn.XLOOKUP(TRUE, EXACT(Table28[[#This Row],[Y'']], Table29[orig]), Table29[T-reflection])</f>
        <v>T</v>
      </c>
      <c r="DM32" s="6" t="str" cm="1">
        <f t="array" ref="DM32">_xlfn.XLOOKUP(TRUE, EXACT(Table28[[#This Row],[Z]], Table29[orig]), Table29[T-reflection])</f>
        <v>W</v>
      </c>
      <c r="DN32" t="str" cm="1">
        <f t="array" ref="DN32">_xlfn.XLOOKUP(TRUE, EXACT(Table28[[#This Row],[Z2]], Table29[orig]), Table29[T-reflection])</f>
        <v>N</v>
      </c>
      <c r="DO32" t="str" cm="1">
        <f t="array" ref="DO32">_xlfn.XLOOKUP(TRUE, EXACT(Table28[[#This Row],[Z'']], Table29[orig]), Table29[T-reflection])</f>
        <v>A</v>
      </c>
      <c r="DP32" t="str" cm="1">
        <f t="array" ref="DP32">_xlfn.XLOOKUP(TRUE, EXACT(Table28[[#This Row],[Z X]], Table29[orig]), Table29[T-reflection])</f>
        <v>K</v>
      </c>
      <c r="DQ32" t="str" cm="1">
        <f t="array" ref="DQ32">_xlfn.XLOOKUP(TRUE, EXACT(Table28[[#This Row],[Y'' X'']], Table29[orig]), Table29[T-reflection])</f>
        <v>B</v>
      </c>
      <c r="DR32" t="str" cm="1">
        <f t="array" ref="DR32">_xlfn.XLOOKUP(TRUE, EXACT(Table28[[#This Row],[Y X'']], Table29[orig]), Table29[T-reflection])</f>
        <v>X</v>
      </c>
      <c r="DS32" t="str" cm="1">
        <f t="array" ref="DS32">_xlfn.XLOOKUP(TRUE, EXACT(Table28[[#This Row],[Z'' X]], Table29[orig]), Table29[T-reflection])</f>
        <v>S</v>
      </c>
      <c r="DT32" t="str" cm="1">
        <f t="array" ref="DT32">_xlfn.XLOOKUP(TRUE, EXACT(Table28[[#This Row],[Z'' X'']], Table29[orig]), Table29[T-reflection])</f>
        <v>I</v>
      </c>
      <c r="DU32" t="str" cm="1">
        <f t="array" ref="DU32">_xlfn.XLOOKUP(TRUE, EXACT(Table28[[#This Row],[Y'' X]], Table29[orig]), Table29[T-reflection])</f>
        <v>V</v>
      </c>
      <c r="DV32" t="str" cm="1">
        <f t="array" ref="DV32">_xlfn.XLOOKUP(TRUE, EXACT(Table28[[#This Row],[Y X]], Table29[orig]), Table29[T-reflection])</f>
        <v>D</v>
      </c>
      <c r="DW32" t="str" cm="1">
        <f t="array" ref="DW32">_xlfn.XLOOKUP(TRUE, EXACT(Table28[[#This Row],[Z X'']], Table29[orig]), Table29[T-reflection])</f>
        <v>Q</v>
      </c>
      <c r="DX32" t="str" cm="1">
        <f t="array" ref="DX32">_xlfn.XLOOKUP(TRUE, EXACT(Table28[[#This Row],[Y'' X2]], Table29[orig]), Table29[T-reflection])</f>
        <v>J</v>
      </c>
      <c r="DY32" t="str" cm="1">
        <f t="array" ref="DY32">_xlfn.XLOOKUP(TRUE, EXACT(Table28[[#This Row],[Y X2]], Table29[orig]), Table29[T-reflection])</f>
        <v>R</v>
      </c>
      <c r="DZ32" t="str" cm="1">
        <f t="array" ref="DZ32">_xlfn.XLOOKUP(TRUE, EXACT(Table28[[#This Row],[Z X2]], Table29[orig]), Table29[T-reflection])</f>
        <v>C</v>
      </c>
      <c r="EA32" t="str" cm="1">
        <f t="array" ref="EA32">_xlfn.XLOOKUP(TRUE, EXACT(Table28[[#This Row],[Z'' X2]], Table29[orig]), Table29[T-reflection])</f>
        <v>U</v>
      </c>
      <c r="EB32" t="str" cm="1">
        <f t="array" ref="EB32">_xlfn.XLOOKUP(TRUE, EXACT(Table28[[#This Row],[Z2 X]], Table29[orig]), Table29[T-reflection])</f>
        <v>O</v>
      </c>
      <c r="EC32" t="str" cm="1">
        <f t="array" ref="EC32">_xlfn.XLOOKUP(TRUE, EXACT(Table28[[#This Row],[Z2 X'']], Table29[orig]), Table29[T-reflection])</f>
        <v>M</v>
      </c>
    </row>
    <row r="33" spans="1:164" s="5" customFormat="1" ht="16" thickBot="1" x14ac:dyDescent="0.25">
      <c r="A33"/>
      <c r="B33" s="5" t="s">
        <v>77</v>
      </c>
      <c r="C33" s="5" t="s">
        <v>77</v>
      </c>
      <c r="D33" s="5" t="s">
        <v>127</v>
      </c>
      <c r="E33" s="5" t="s">
        <v>30</v>
      </c>
      <c r="F33" s="5" t="s">
        <v>54</v>
      </c>
      <c r="G33" s="5" t="s">
        <v>61</v>
      </c>
      <c r="H33" s="5" t="s">
        <v>127</v>
      </c>
      <c r="I33" s="5" t="s">
        <v>38</v>
      </c>
      <c r="J33" s="5" t="s">
        <v>127</v>
      </c>
      <c r="K33" s="5" t="s">
        <v>77</v>
      </c>
      <c r="L33" s="5" t="s">
        <v>54</v>
      </c>
      <c r="M33"/>
      <c r="N33"/>
      <c r="O33" s="5" t="s">
        <v>77</v>
      </c>
      <c r="P33" s="5" t="str">
        <f>Table27[[#This Row],[orig]]</f>
        <v>P</v>
      </c>
      <c r="Q33" s="5" t="str">
        <f>Table29[[#This Row],[X]]</f>
        <v>M</v>
      </c>
      <c r="R33" s="5" t="str" cm="1">
        <f t="array" ref="R33">_xlfn.XLOOKUP(TRUE, EXACT(Table27[[#This Row],[X]], Table27[orig]), Table27[X])</f>
        <v>N</v>
      </c>
      <c r="S33" s="5" t="str" cm="1">
        <f t="array" ref="S33">_xlfn.XLOOKUP(TRUE, EXACT(Table27[[#This Row],[X2]], Table27[orig]), Table27[X])</f>
        <v>O</v>
      </c>
      <c r="T33" s="5" t="str">
        <f>Table29[[#This Row],[Y]]</f>
        <v>L</v>
      </c>
      <c r="U33" s="5" t="str" cm="1">
        <f t="array" ref="U33">_xlfn.XLOOKUP(TRUE, EXACT(Table27[[#This Row],[Y]], Table27[orig]), Table27[Y])</f>
        <v>H</v>
      </c>
      <c r="V33" s="5" t="str" cm="1">
        <f t="array" ref="V33">_xlfn.XLOOKUP(TRUE, EXACT(Table27[[#This Row],[Y2]], Table27[orig]), Table27[Y])</f>
        <v>T</v>
      </c>
      <c r="W33" s="5" t="str">
        <f>Table29[[#This Row],[Z]]</f>
        <v>U</v>
      </c>
      <c r="X33" s="5" t="str" cm="1">
        <f t="array" ref="X33">_xlfn.XLOOKUP(TRUE, EXACT(Table27[[#This Row],[Z]], Table27[orig]), Table27[Z])</f>
        <v>F</v>
      </c>
      <c r="Y33" s="5" t="str" cm="1">
        <f t="array" ref="Y33">_xlfn.XLOOKUP(TRUE, EXACT(Table27[[#This Row],[Z2]], Table27[orig]), Table27[Z])</f>
        <v>C</v>
      </c>
      <c r="Z33" s="5" t="str">
        <f>Table29[[#This Row],[R]]</f>
        <v>M</v>
      </c>
      <c r="AA33" s="5" t="str" cm="1">
        <f t="array" ref="AA33">_xlfn.XLOOKUP(TRUE, EXACT(Table27[[#This Row],[R]], Table27[orig]), Table27[R])</f>
        <v>N</v>
      </c>
      <c r="AB33" s="5" t="str" cm="1">
        <f t="array" ref="AB33">_xlfn.XLOOKUP(TRUE, EXACT(Table27[[#This Row],[R2]], Table27[orig]), Table27[R])</f>
        <v>O</v>
      </c>
      <c r="AC33" s="5" t="str" cm="1">
        <f t="array" ref="AC33">_xlfn.XLOOKUP(TRUE, EXACT(_xlfn.XLOOKUP(TRUE, EXACT(Table27[[#This Row],[Y2]], Table27[orig]), Table27[R]), Table27[orig]), Table27[Y2])</f>
        <v>P</v>
      </c>
      <c r="AD33" s="5" t="str" cm="1">
        <f t="array" ref="AD33">_xlfn.XLOOKUP(TRUE, EXACT(Table27[[#This Row],[L]], Table27[orig]), Table27[L])</f>
        <v>P</v>
      </c>
      <c r="AE33" s="5" t="str" cm="1">
        <f t="array" ref="AE33">_xlfn.XLOOKUP(TRUE, EXACT(Table27[[#This Row],[L2]], Table27[orig]), Table27[L])</f>
        <v>P</v>
      </c>
      <c r="AF33" s="5" t="str" cm="1">
        <f t="array" ref="AF33">_xlfn.XLOOKUP(TRUE, EXACT(Table27[[#This Row],[r-lower]], Table27[orig]), Table27[R''])</f>
        <v>P</v>
      </c>
      <c r="AG33" s="5" t="str" cm="1">
        <f t="array" ref="AG33">_xlfn.XLOOKUP(TRUE, EXACT(Table27[[#This Row],[T]], Table27[orig]), Table27[T])</f>
        <v>P</v>
      </c>
      <c r="AH33" s="5" t="str" cm="1">
        <f t="array" ref="AH33">_xlfn.XLOOKUP(TRUE, EXACT(Table27[[#This Row],[T2]], Table27[orig]), Table27[T])</f>
        <v>P</v>
      </c>
      <c r="AI33" s="5" t="str" cm="1">
        <f t="array" ref="AI33">_xlfn.XLOOKUP(TRUE, EXACT(Table27[[#This Row],[X]], Table27[orig]), Table27[L])</f>
        <v>M</v>
      </c>
      <c r="AJ33" s="5" t="str" cm="1">
        <f t="array" ref="AJ33">_xlfn.XLOOKUP(TRUE, EXACT(Table27[[#This Row],[r-lower]], Table27[orig]), Table27[r-lower])</f>
        <v>N</v>
      </c>
      <c r="AK33" s="5" t="str" cm="1">
        <f t="array" ref="AK33">_xlfn.XLOOKUP(TRUE, EXACT(Table27[[#This Row],[r2-lower]], Table27[orig]), Table27[r-lower])</f>
        <v>O</v>
      </c>
      <c r="AL33" s="5" t="str" cm="1">
        <f t="array" ref="AL33">_xlfn.XLOOKUP(TRUE, EXACT(Table27[[#This Row],[X'']], Table27[orig]), Table27[R])</f>
        <v>P</v>
      </c>
      <c r="AM33" s="5" t="str" cm="1">
        <f t="array" ref="AM33">_xlfn.XLOOKUP(TRUE, EXACT(Table27[[#This Row],[l-lower]], Table27[orig]), Table27[l-lower])</f>
        <v>P</v>
      </c>
      <c r="AN33" s="5" t="str" cm="1">
        <f t="array" ref="AN33">_xlfn.XLOOKUP(TRUE, EXACT(Table27[[#This Row],[l2-lower]], Table27[orig]), Table27[l-lower])</f>
        <v>P</v>
      </c>
      <c r="AO33" s="5" t="str" cm="1">
        <f t="array" ref="AO33">_xlfn.XLOOKUP(TRUE, EXACT(Table27[[#This Row],[R]], Table27[orig]), Table27[L''])</f>
        <v>M</v>
      </c>
      <c r="AP33" s="5" t="str" cm="1">
        <f t="array" ref="AP33">_xlfn.XLOOKUP(TRUE, EXACT(Table27[[#This Row],[RL'']], Table27[orig]), Table27[RL''])</f>
        <v>N</v>
      </c>
      <c r="AQ33" s="5" t="str" cm="1">
        <f t="array" ref="AQ33">_xlfn.XLOOKUP(TRUE, EXACT(Table27[[#This Row],[R2L2]], Table27[orig]), Table27[RL''])</f>
        <v>O</v>
      </c>
      <c r="AR33" s="5" t="str">
        <f>Table29[[#This Row],[U]]</f>
        <v>P</v>
      </c>
      <c r="AS33" s="5" t="str" cm="1">
        <f t="array" ref="AS33">_xlfn.XLOOKUP(TRUE, EXACT(Table27[[#This Row],[U]], Table27[orig]), Table27[U])</f>
        <v>P</v>
      </c>
      <c r="AT33" s="5" t="str" cm="1">
        <f t="array" ref="AT33">_xlfn.XLOOKUP(TRUE, EXACT(Table27[[#This Row],[U2]], Table27[orig]), Table27[U])</f>
        <v>P</v>
      </c>
      <c r="AU33" s="5" t="str" cm="1">
        <f t="array" ref="AU33">_xlfn.XLOOKUP(TRUE, EXACT(_xlfn.XLOOKUP(TRUE, EXACT(Table27[[#This Row],[Z2]], Table27[orig]), Table27[U]), Table27[orig]), Table27[Z2])</f>
        <v>T</v>
      </c>
      <c r="AV33" s="5" t="str" cm="1">
        <f t="array" ref="AV33">_xlfn.XLOOKUP(TRUE, EXACT(Table27[[#This Row],[D]], Table27[orig]), Table27[D])</f>
        <v>H</v>
      </c>
      <c r="AW33" s="5" t="str" cm="1">
        <f t="array" ref="AW33">_xlfn.XLOOKUP(TRUE, EXACT(Table27[[#This Row],[D2]], Table27[orig]), Table27[D])</f>
        <v>L</v>
      </c>
      <c r="AX33" s="5" t="str" cm="1">
        <f t="array" ref="AX33">_xlfn.XLOOKUP(TRUE, EXACT(Table27[[#This Row],[u-lower]], Table27[orig]), Table27[U''])</f>
        <v>P</v>
      </c>
      <c r="AY33" s="5" t="str" cm="1">
        <f t="array" ref="AY33">_xlfn.XLOOKUP(TRUE, EXACT(Table27[[#This Row],[H]], Table27[orig]), Table27[H])</f>
        <v>P</v>
      </c>
      <c r="AZ33" s="5" t="str" cm="1">
        <f t="array" ref="AZ33">_xlfn.XLOOKUP(TRUE, EXACT(Table27[[#This Row],[H2]], Table27[orig]), Table27[H])</f>
        <v>P</v>
      </c>
      <c r="BA33" s="5" t="str" cm="1">
        <f t="array" ref="BA33">_xlfn.XLOOKUP(TRUE, EXACT(Table27[[#This Row],[Y]], Table27[orig]), Table27[D])</f>
        <v>P</v>
      </c>
      <c r="BB33" s="5" t="str" cm="1">
        <f t="array" ref="BB33">_xlfn.XLOOKUP(TRUE, EXACT(Table27[[#This Row],[u-lower]], Table27[orig]), Table27[u-lower])</f>
        <v>P</v>
      </c>
      <c r="BC33" s="5" t="str" cm="1">
        <f t="array" ref="BC33">_xlfn.XLOOKUP(TRUE, EXACT(Table27[[#This Row],[u2-lower]], Table27[orig]), Table27[u-lower])</f>
        <v>P</v>
      </c>
      <c r="BD33" s="5" t="str" cm="1">
        <f t="array" ref="BD33">_xlfn.XLOOKUP(TRUE, EXACT(Table27[[#This Row],[Y'']], Table27[orig]), Table27[U])</f>
        <v>T</v>
      </c>
      <c r="BE33" s="5" t="str" cm="1">
        <f t="array" ref="BE33">_xlfn.XLOOKUP(TRUE, EXACT(Table27[[#This Row],[d-lower]], Table27[orig]), Table27[d-lower])</f>
        <v>H</v>
      </c>
      <c r="BF33" s="5" t="str" cm="1">
        <f t="array" ref="BF33">_xlfn.XLOOKUP(TRUE, EXACT(Table27[[#This Row],[d2-lower]], Table27[orig]), Table27[d-lower])</f>
        <v>L</v>
      </c>
      <c r="BG33" s="5" t="str" cm="1">
        <f t="array" ref="BG33">_xlfn.XLOOKUP(TRUE, EXACT(Table27[[#This Row],[U]], Table27[orig]), Table27[D''])</f>
        <v>L</v>
      </c>
      <c r="BH33" s="5" t="str" cm="1">
        <f t="array" ref="BH33">_xlfn.XLOOKUP(TRUE, EXACT(Table27[[#This Row],[UD'']], Table27[orig]), Table27[UD''])</f>
        <v>H</v>
      </c>
      <c r="BI33" s="5" t="str" cm="1">
        <f t="array" ref="BI33">_xlfn.XLOOKUP(TRUE, EXACT(Table27[[#This Row],[U2D2]], Table27[orig]), Table27[UD''])</f>
        <v>T</v>
      </c>
      <c r="BJ33" s="5" t="str">
        <f>Table29[[#This Row],[F]]</f>
        <v>U</v>
      </c>
      <c r="BK33" s="5" t="str" cm="1">
        <f t="array" ref="BK33">_xlfn.XLOOKUP(TRUE, EXACT(Table27[[#This Row],[F]], Table27[orig]), Table27[F])</f>
        <v>F</v>
      </c>
      <c r="BL33" s="5" t="str" cm="1">
        <f t="array" ref="BL33">_xlfn.XLOOKUP(TRUE, EXACT(Table27[[#This Row],[F2]], Table27[orig]), Table27[F])</f>
        <v>C</v>
      </c>
      <c r="BM33" s="5" t="str" cm="1">
        <f t="array" ref="BM33">_xlfn.XLOOKUP(TRUE, EXACT(_xlfn.XLOOKUP(TRUE, EXACT(Table27[[#This Row],[X2]], Table27[orig]), Table27[F]), Table27[orig]), Table27[X2])</f>
        <v>P</v>
      </c>
      <c r="BN33" s="5" t="str" cm="1">
        <f t="array" ref="BN33">_xlfn.XLOOKUP(TRUE, EXACT(Table27[[#This Row],[B]], Table27[orig]), Table27[B])</f>
        <v>P</v>
      </c>
      <c r="BO33" s="5" t="str" cm="1">
        <f t="array" ref="BO33">_xlfn.XLOOKUP(TRUE, EXACT(Table27[[#This Row],[B2]], Table27[orig]), Table27[B])</f>
        <v>P</v>
      </c>
      <c r="BP33" s="5" t="str" cm="1">
        <f t="array" ref="BP33">_xlfn.XLOOKUP(TRUE, EXACT(Table27[[#This Row],[f-lower]], Table27[orig]), Table27[F''])</f>
        <v>P</v>
      </c>
      <c r="BQ33" s="5" t="str" cm="1">
        <f t="array" ref="BQ33">_xlfn.XLOOKUP(TRUE, EXACT(Table27[[#This Row],[S]], Table27[orig]), Table27[S])</f>
        <v>P</v>
      </c>
      <c r="BR33" s="5" t="str" cm="1">
        <f t="array" ref="BR33">_xlfn.XLOOKUP(TRUE, EXACT(Table27[[#This Row],[S2]], Table27[orig]), Table27[S])</f>
        <v>P</v>
      </c>
      <c r="BS33" s="5" t="str" cm="1">
        <f t="array" ref="BS33">_xlfn.XLOOKUP(TRUE, EXACT(Table27[[#This Row],[Z]], Table27[orig]), Table27[B])</f>
        <v>U</v>
      </c>
      <c r="BT33" s="5" t="str" cm="1">
        <f t="array" ref="BT33">_xlfn.XLOOKUP(TRUE, EXACT(Table27[[#This Row],[f-lower]], Table27[orig]), Table27[f-lower])</f>
        <v>F</v>
      </c>
      <c r="BU33" s="5" t="str" cm="1">
        <f t="array" ref="BU33">_xlfn.XLOOKUP(TRUE, EXACT(Table27[[#This Row],[f2-lower]], Table27[orig]), Table27[f-lower])</f>
        <v>C</v>
      </c>
      <c r="BV33" s="5" t="str" cm="1">
        <f t="array" ref="BV33">_xlfn.XLOOKUP(TRUE, EXACT(Table27[[#This Row],[Z'']], Table27[orig]), Table27[F])</f>
        <v>P</v>
      </c>
      <c r="BW33" s="5" t="str" cm="1">
        <f t="array" ref="BW33">_xlfn.XLOOKUP(TRUE, EXACT(Table27[[#This Row],[b-lower]], Table27[orig]), Table27[b-lower])</f>
        <v>P</v>
      </c>
      <c r="BX33" s="5" t="str" cm="1">
        <f t="array" ref="BX33">_xlfn.XLOOKUP(TRUE, EXACT(Table27[[#This Row],[b2-lower]], Table27[orig]), Table27[b-lower])</f>
        <v>P</v>
      </c>
      <c r="BY33" s="5" t="str" cm="1">
        <f t="array" ref="BY33">_xlfn.XLOOKUP(TRUE, EXACT(Table27[[#This Row],[F]], Table27[orig]), Table27[B''])</f>
        <v>U</v>
      </c>
      <c r="BZ33" s="5" t="str" cm="1">
        <f t="array" ref="BZ33">_xlfn.XLOOKUP(TRUE, EXACT(Table27[[#This Row],[FB'']], Table27[orig]), Table27[FB''])</f>
        <v>F</v>
      </c>
      <c r="CA33" s="5" t="str" cm="1">
        <f t="array" ref="CA33">_xlfn.XLOOKUP(TRUE, EXACT(Table27[[#This Row],[F2B2]], Table27[orig]), Table27[FB''])</f>
        <v>C</v>
      </c>
      <c r="CB33"/>
      <c r="CC33"/>
      <c r="CD33" s="5" t="s">
        <v>77</v>
      </c>
      <c r="CE33" s="5" t="str">
        <f>Table28[[#This Row],[orig]]</f>
        <v>P</v>
      </c>
      <c r="CF33" s="5" t="str">
        <f>Table29[[#This Row],[X]]</f>
        <v>M</v>
      </c>
      <c r="CG33" s="5" t="str" cm="1">
        <f t="array" ref="CG33">_xlfn.XLOOKUP(TRUE, EXACT(Table28[[#This Row],[X]], Table28[orig]), Table28[X])</f>
        <v>N</v>
      </c>
      <c r="CH33" s="5" t="str" cm="1">
        <f t="array" ref="CH33">_xlfn.XLOOKUP(TRUE, EXACT(Table28[[#This Row],[X2]], Table28[orig]), Table28[X])</f>
        <v>O</v>
      </c>
      <c r="CI33" s="5" t="str">
        <f>Table29[[#This Row],[Y]]</f>
        <v>L</v>
      </c>
      <c r="CJ33" s="5" t="str" cm="1">
        <f t="array" ref="CJ33">_xlfn.XLOOKUP(TRUE, EXACT(Table28[[#This Row],[Y]], Table28[orig]), Table28[Y])</f>
        <v>H</v>
      </c>
      <c r="CK33" s="5" t="str" cm="1">
        <f t="array" ref="CK33">_xlfn.XLOOKUP(TRUE, EXACT(Table28[[#This Row],[Y2]], Table28[orig]), Table28[Y])</f>
        <v>T</v>
      </c>
      <c r="CL33" s="5" t="str">
        <f>Table29[[#This Row],[Z]]</f>
        <v>U</v>
      </c>
      <c r="CM33" s="5" t="str" cm="1">
        <f t="array" ref="CM33">_xlfn.XLOOKUP(TRUE, EXACT(Table28[[#This Row],[Z]], Table28[orig]), Table28[Z])</f>
        <v>F</v>
      </c>
      <c r="CN33" s="5" t="str" cm="1">
        <f t="array" ref="CN33">_xlfn.XLOOKUP(TRUE, EXACT(Table28[[#This Row],[Z2]], Table28[orig]), Table28[Z])</f>
        <v>C</v>
      </c>
      <c r="CO33" s="5" t="str" cm="1">
        <f t="array" ref="CO33">_xlfn.XLOOKUP(TRUE, EXACT(Table28[[#This Row],[Z]], Table28[orig]), Table28[X])</f>
        <v>I</v>
      </c>
      <c r="CP33" s="5" t="str" cm="1">
        <f t="array" ref="CP33">_xlfn.XLOOKUP(TRUE, EXACT(Table28[[#This Row],[Y'']], Table28[orig]), Table28[X''])</f>
        <v>B</v>
      </c>
      <c r="CQ33" s="5" t="str" cm="1">
        <f t="array" ref="CQ33">_xlfn.XLOOKUP(TRUE, EXACT(Table28[[#This Row],[Y]], Table28[orig]), Table28[X''])</f>
        <v>X</v>
      </c>
      <c r="CR33" s="5" t="str" cm="1">
        <f t="array" ref="CR33">_xlfn.XLOOKUP(TRUE, EXACT(Table28[[#This Row],[Z'']], Table28[orig]), Table28[X])</f>
        <v>Q</v>
      </c>
      <c r="CS33" s="5" t="str" cm="1">
        <f t="array" ref="CS33">_xlfn.XLOOKUP(TRUE, EXACT(Table28[[#This Row],[Z'']], Table28[orig]), Table28[X''])</f>
        <v>K</v>
      </c>
      <c r="CT33" s="5" t="str" cm="1">
        <f t="array" ref="CT33">_xlfn.XLOOKUP(TRUE, EXACT(Table28[[#This Row],[Y'']], Table28[orig]), Table28[X])</f>
        <v>V</v>
      </c>
      <c r="CU33" s="5" t="str" cm="1">
        <f t="array" ref="CU33">_xlfn.XLOOKUP(TRUE, EXACT(Table28[[#This Row],[Y]], Table28[orig]), Table28[X])</f>
        <v>D</v>
      </c>
      <c r="CV33" s="5" t="str" cm="1">
        <f t="array" ref="CV33">_xlfn.XLOOKUP(TRUE, EXACT(Table28[[#This Row],[Z]], Table28[orig]), Table28[X''])</f>
        <v>S</v>
      </c>
      <c r="CW33" s="5" t="str" cm="1">
        <f t="array" ref="CW33">_xlfn.XLOOKUP(TRUE, EXACT(Table28[[#This Row],[Y'']], Table28[orig]), Table28[X2])</f>
        <v>J</v>
      </c>
      <c r="CX33" s="5" t="str" cm="1">
        <f t="array" ref="CX33">_xlfn.XLOOKUP(TRUE, EXACT(Table28[[#This Row],[Y]], Table28[orig]), Table28[X2])</f>
        <v>R</v>
      </c>
      <c r="CY33" s="5" t="str" cm="1">
        <f t="array" ref="CY33">_xlfn.XLOOKUP(TRUE, EXACT(Table28[[#This Row],[Z]], Table28[orig]), Table28[X2])</f>
        <v>A</v>
      </c>
      <c r="CZ33" s="5" t="str" cm="1">
        <f t="array" ref="CZ33">_xlfn.XLOOKUP(TRUE, EXACT(Table28[[#This Row],[Z'']], Table28[orig]), Table28[X2])</f>
        <v>W</v>
      </c>
      <c r="DA33" s="5" t="str" cm="1">
        <f t="array" ref="DA33">_xlfn.XLOOKUP(TRUE, EXACT(Table28[[#This Row],[Z2]], Table28[orig]), Table28[X])</f>
        <v>E</v>
      </c>
      <c r="DB33" s="5" t="str" cm="1">
        <f t="array" ref="DB33">_xlfn.XLOOKUP(TRUE, EXACT(Table28[[#This Row],[Z2]], Table28[orig]), Table28[X''])</f>
        <v>G</v>
      </c>
      <c r="DC33"/>
      <c r="DD33"/>
      <c r="DE33" s="8" t="s">
        <v>77</v>
      </c>
      <c r="DF33" s="8" t="str" cm="1">
        <f t="array" ref="DF33">_xlfn.XLOOKUP(TRUE, EXACT(Table28[[#This Row],[I]], Table29[orig]), Table29[T-reflection])</f>
        <v>G</v>
      </c>
      <c r="DG33" s="8" t="str" cm="1">
        <f t="array" ref="DG33">_xlfn.XLOOKUP(TRUE, EXACT(Table28[[#This Row],[X]], Table29[orig]), Table29[T-reflection])</f>
        <v>F</v>
      </c>
      <c r="DH33" s="5" t="str" cm="1">
        <f t="array" ref="DH33">_xlfn.XLOOKUP(TRUE, EXACT(Table28[[#This Row],[X2]], Table29[orig]), Table29[T-reflection])</f>
        <v>E</v>
      </c>
      <c r="DI33" s="5" t="str" cm="1">
        <f t="array" ref="DI33">_xlfn.XLOOKUP(TRUE, EXACT(Table28[[#This Row],[X'']], Table29[orig]), Table29[T-reflection])</f>
        <v>H</v>
      </c>
      <c r="DJ33" s="8" t="str" cm="1">
        <f t="array" ref="DJ33">_xlfn.XLOOKUP(TRUE, EXACT(Table28[[#This Row],[Y]], Table29[orig]), Table29[T-reflection])</f>
        <v>K</v>
      </c>
      <c r="DK33" s="5" t="str" cm="1">
        <f t="array" ref="DK33">_xlfn.XLOOKUP(TRUE, EXACT(Table28[[#This Row],[Y2]], Table29[orig]), Table29[T-reflection])</f>
        <v>O</v>
      </c>
      <c r="DL33" s="5" t="str" cm="1">
        <f t="array" ref="DL33">_xlfn.XLOOKUP(TRUE, EXACT(Table28[[#This Row],[Y'']], Table29[orig]), Table29[T-reflection])</f>
        <v>S</v>
      </c>
      <c r="DM33" s="8" t="str" cm="1">
        <f t="array" ref="DM33">_xlfn.XLOOKUP(TRUE, EXACT(Table28[[#This Row],[Z]], Table29[orig]), Table29[T-reflection])</f>
        <v>V</v>
      </c>
      <c r="DN33" s="5" t="str" cm="1">
        <f t="array" ref="DN33">_xlfn.XLOOKUP(TRUE, EXACT(Table28[[#This Row],[Z2]], Table29[orig]), Table29[T-reflection])</f>
        <v>M</v>
      </c>
      <c r="DO33" s="5" t="str" cm="1">
        <f t="array" ref="DO33">_xlfn.XLOOKUP(TRUE, EXACT(Table28[[#This Row],[Z'']], Table29[orig]), Table29[T-reflection])</f>
        <v>D</v>
      </c>
      <c r="DP33" s="5" t="str" cm="1">
        <f t="array" ref="DP33">_xlfn.XLOOKUP(TRUE, EXACT(Table28[[#This Row],[Z X]], Table29[orig]), Table29[T-reflection])</f>
        <v>J</v>
      </c>
      <c r="DQ33" s="5" t="str" cm="1">
        <f t="array" ref="DQ33">_xlfn.XLOOKUP(TRUE, EXACT(Table28[[#This Row],[Y'' X'']], Table29[orig]), Table29[T-reflection])</f>
        <v>A</v>
      </c>
      <c r="DR33" s="5" t="str" cm="1">
        <f t="array" ref="DR33">_xlfn.XLOOKUP(TRUE, EXACT(Table28[[#This Row],[Y X'']], Table29[orig]), Table29[T-reflection])</f>
        <v>W</v>
      </c>
      <c r="DS33" s="5" t="str" cm="1">
        <f t="array" ref="DS33">_xlfn.XLOOKUP(TRUE, EXACT(Table28[[#This Row],[Z'' X]], Table29[orig]), Table29[T-reflection])</f>
        <v>R</v>
      </c>
      <c r="DT33" s="5" t="str" cm="1">
        <f t="array" ref="DT33">_xlfn.XLOOKUP(TRUE, EXACT(Table28[[#This Row],[Z'' X'']], Table29[orig]), Table29[T-reflection])</f>
        <v>L</v>
      </c>
      <c r="DU33" s="5" t="str" cm="1">
        <f t="array" ref="DU33">_xlfn.XLOOKUP(TRUE, EXACT(Table28[[#This Row],[Y'' X]], Table29[orig]), Table29[T-reflection])</f>
        <v>U</v>
      </c>
      <c r="DV33" s="5" t="str" cm="1">
        <f t="array" ref="DV33">_xlfn.XLOOKUP(TRUE, EXACT(Table28[[#This Row],[Y X]], Table29[orig]), Table29[T-reflection])</f>
        <v>C</v>
      </c>
      <c r="DW33" s="5" t="str" cm="1">
        <f t="array" ref="DW33">_xlfn.XLOOKUP(TRUE, EXACT(Table28[[#This Row],[Z X'']], Table29[orig]), Table29[T-reflection])</f>
        <v>T</v>
      </c>
      <c r="DX33" s="5" t="str" cm="1">
        <f t="array" ref="DX33">_xlfn.XLOOKUP(TRUE, EXACT(Table28[[#This Row],[Y'' X2]], Table29[orig]), Table29[T-reflection])</f>
        <v>I</v>
      </c>
      <c r="DY33" s="5" t="str" cm="1">
        <f t="array" ref="DY33">_xlfn.XLOOKUP(TRUE, EXACT(Table28[[#This Row],[Y X2]], Table29[orig]), Table29[T-reflection])</f>
        <v>Q</v>
      </c>
      <c r="DZ33" s="5" t="str" cm="1">
        <f t="array" ref="DZ33">_xlfn.XLOOKUP(TRUE, EXACT(Table28[[#This Row],[Z X2]], Table29[orig]), Table29[T-reflection])</f>
        <v>B</v>
      </c>
      <c r="EA33" s="5" t="str" cm="1">
        <f t="array" ref="EA33">_xlfn.XLOOKUP(TRUE, EXACT(Table28[[#This Row],[Z'' X2]], Table29[orig]), Table29[T-reflection])</f>
        <v>X</v>
      </c>
      <c r="EB33" s="5" t="str" cm="1">
        <f t="array" ref="EB33">_xlfn.XLOOKUP(TRUE, EXACT(Table28[[#This Row],[Z2 X]], Table29[orig]), Table29[T-reflection])</f>
        <v>N</v>
      </c>
      <c r="EC33" s="5" t="str" cm="1">
        <f t="array" ref="EC33">_xlfn.XLOOKUP(TRUE, EXACT(Table28[[#This Row],[Z2 X'']], Table29[orig]), Table29[T-reflection])</f>
        <v>P</v>
      </c>
      <c r="ED33"/>
      <c r="EE33"/>
      <c r="EF33"/>
      <c r="EG33"/>
      <c r="EH33"/>
      <c r="EI33"/>
      <c r="EJ33"/>
      <c r="EK33"/>
      <c r="EL33"/>
      <c r="EM33"/>
      <c r="EN33"/>
      <c r="EO33"/>
      <c r="EP33"/>
      <c r="EQ33"/>
      <c r="ER33"/>
      <c r="ES33"/>
      <c r="ET33"/>
      <c r="EU33"/>
      <c r="EV33"/>
      <c r="EW33"/>
      <c r="EX33"/>
      <c r="EY33"/>
      <c r="EZ33"/>
      <c r="FA33"/>
      <c r="FB33"/>
      <c r="FC33"/>
      <c r="FD33"/>
      <c r="FE33"/>
      <c r="FF33"/>
      <c r="FG33"/>
      <c r="FH33"/>
    </row>
    <row r="34" spans="1:164" ht="16" thickTop="1" x14ac:dyDescent="0.2">
      <c r="B34" t="s">
        <v>79</v>
      </c>
      <c r="C34" t="s">
        <v>79</v>
      </c>
      <c r="D34" t="s">
        <v>129</v>
      </c>
      <c r="E34" t="s">
        <v>127</v>
      </c>
      <c r="F34" t="s">
        <v>48</v>
      </c>
      <c r="G34" t="s">
        <v>27</v>
      </c>
      <c r="H34" t="s">
        <v>48</v>
      </c>
      <c r="I34" t="s">
        <v>64</v>
      </c>
      <c r="J34" t="s">
        <v>129</v>
      </c>
      <c r="K34" t="s">
        <v>127</v>
      </c>
      <c r="L34" t="s">
        <v>79</v>
      </c>
      <c r="O34" t="s">
        <v>79</v>
      </c>
      <c r="P34" t="str">
        <f>Table27[[#This Row],[orig]]</f>
        <v>Q</v>
      </c>
      <c r="Q34" t="str">
        <f>Table29[[#This Row],[X]]</f>
        <v>W</v>
      </c>
      <c r="R34" t="str" cm="1">
        <f t="array" ref="R34">_xlfn.XLOOKUP(TRUE, EXACT(Table27[[#This Row],[X]], Table27[orig]), Table27[X])</f>
        <v>K</v>
      </c>
      <c r="S34" t="str" cm="1">
        <f t="array" ref="S34">_xlfn.XLOOKUP(TRUE, EXACT(Table27[[#This Row],[X2]], Table27[orig]), Table27[X])</f>
        <v>C</v>
      </c>
      <c r="T34" t="str">
        <f>Table29[[#This Row],[Y]]</f>
        <v>M</v>
      </c>
      <c r="U34" t="str" cm="1">
        <f t="array" ref="U34">_xlfn.XLOOKUP(TRUE, EXACT(Table27[[#This Row],[Y]], Table27[orig]), Table27[Y])</f>
        <v>I</v>
      </c>
      <c r="V34" t="str" cm="1">
        <f t="array" ref="V34">_xlfn.XLOOKUP(TRUE, EXACT(Table27[[#This Row],[Y2]], Table27[orig]), Table27[Y])</f>
        <v>E</v>
      </c>
      <c r="W34" t="str">
        <f>Table29[[#This Row],[Z]]</f>
        <v>T</v>
      </c>
      <c r="X34" t="str" cm="1">
        <f t="array" ref="X34">_xlfn.XLOOKUP(TRUE, EXACT(Table27[[#This Row],[Z]], Table27[orig]), Table27[Z])</f>
        <v>S</v>
      </c>
      <c r="Y34" t="str" cm="1">
        <f t="array" ref="Y34">_xlfn.XLOOKUP(TRUE, EXACT(Table27[[#This Row],[Z2]], Table27[orig]), Table27[Z])</f>
        <v>R</v>
      </c>
      <c r="Z34" t="str">
        <f>Table29[[#This Row],[R]]</f>
        <v>W</v>
      </c>
      <c r="AA34" t="str" cm="1">
        <f t="array" ref="AA34">_xlfn.XLOOKUP(TRUE, EXACT(Table27[[#This Row],[R]], Table27[orig]), Table27[R])</f>
        <v>K</v>
      </c>
      <c r="AB34" t="str" cm="1">
        <f t="array" ref="AB34">_xlfn.XLOOKUP(TRUE, EXACT(Table27[[#This Row],[R2]], Table27[orig]), Table27[R])</f>
        <v>C</v>
      </c>
      <c r="AC34" t="str" cm="1">
        <f t="array" ref="AC34">_xlfn.XLOOKUP(TRUE, EXACT(_xlfn.XLOOKUP(TRUE, EXACT(Table27[[#This Row],[Y2]], Table27[orig]), Table27[R]), Table27[orig]), Table27[Y2])</f>
        <v>Q</v>
      </c>
      <c r="AD34" t="str" cm="1">
        <f t="array" ref="AD34">_xlfn.XLOOKUP(TRUE, EXACT(Table27[[#This Row],[L]], Table27[orig]), Table27[L])</f>
        <v>Q</v>
      </c>
      <c r="AE34" t="str" cm="1">
        <f t="array" ref="AE34">_xlfn.XLOOKUP(TRUE, EXACT(Table27[[#This Row],[L2]], Table27[orig]), Table27[L])</f>
        <v>Q</v>
      </c>
      <c r="AF34" t="str" cm="1">
        <f t="array" ref="AF34">_xlfn.XLOOKUP(TRUE, EXACT(Table27[[#This Row],[r-lower]], Table27[orig]), Table27[R''])</f>
        <v>Q</v>
      </c>
      <c r="AG34" t="str" cm="1">
        <f t="array" ref="AG34">_xlfn.XLOOKUP(TRUE, EXACT(Table27[[#This Row],[T]], Table27[orig]), Table27[T])</f>
        <v>Q</v>
      </c>
      <c r="AH34" t="str" cm="1">
        <f t="array" ref="AH34">_xlfn.XLOOKUP(TRUE, EXACT(Table27[[#This Row],[T2]], Table27[orig]), Table27[T])</f>
        <v>Q</v>
      </c>
      <c r="AI34" t="str" cm="1">
        <f t="array" ref="AI34">_xlfn.XLOOKUP(TRUE, EXACT(Table27[[#This Row],[X]], Table27[orig]), Table27[L])</f>
        <v>W</v>
      </c>
      <c r="AJ34" t="str" cm="1">
        <f t="array" ref="AJ34">_xlfn.XLOOKUP(TRUE, EXACT(Table27[[#This Row],[r-lower]], Table27[orig]), Table27[r-lower])</f>
        <v>K</v>
      </c>
      <c r="AK34" t="str" cm="1">
        <f t="array" ref="AK34">_xlfn.XLOOKUP(TRUE, EXACT(Table27[[#This Row],[r2-lower]], Table27[orig]), Table27[r-lower])</f>
        <v>C</v>
      </c>
      <c r="AL34" t="str" cm="1">
        <f t="array" ref="AL34">_xlfn.XLOOKUP(TRUE, EXACT(Table27[[#This Row],[X'']], Table27[orig]), Table27[R])</f>
        <v>Q</v>
      </c>
      <c r="AM34" t="str" cm="1">
        <f t="array" ref="AM34">_xlfn.XLOOKUP(TRUE, EXACT(Table27[[#This Row],[l-lower]], Table27[orig]), Table27[l-lower])</f>
        <v>Q</v>
      </c>
      <c r="AN34" t="str" cm="1">
        <f t="array" ref="AN34">_xlfn.XLOOKUP(TRUE, EXACT(Table27[[#This Row],[l2-lower]], Table27[orig]), Table27[l-lower])</f>
        <v>Q</v>
      </c>
      <c r="AO34" t="str" cm="1">
        <f t="array" ref="AO34">_xlfn.XLOOKUP(TRUE, EXACT(Table27[[#This Row],[R]], Table27[orig]), Table27[L''])</f>
        <v>W</v>
      </c>
      <c r="AP34" t="str" cm="1">
        <f t="array" ref="AP34">_xlfn.XLOOKUP(TRUE, EXACT(Table27[[#This Row],[RL'']], Table27[orig]), Table27[RL''])</f>
        <v>K</v>
      </c>
      <c r="AQ34" t="str" cm="1">
        <f t="array" ref="AQ34">_xlfn.XLOOKUP(TRUE, EXACT(Table27[[#This Row],[R2L2]], Table27[orig]), Table27[RL''])</f>
        <v>C</v>
      </c>
      <c r="AR34" t="str">
        <f>Table29[[#This Row],[U]]</f>
        <v>M</v>
      </c>
      <c r="AS34" t="str" cm="1">
        <f t="array" ref="AS34">_xlfn.XLOOKUP(TRUE, EXACT(Table27[[#This Row],[U]], Table27[orig]), Table27[U])</f>
        <v>I</v>
      </c>
      <c r="AT34" t="str" cm="1">
        <f t="array" ref="AT34">_xlfn.XLOOKUP(TRUE, EXACT(Table27[[#This Row],[U2]], Table27[orig]), Table27[U])</f>
        <v>E</v>
      </c>
      <c r="AU34" t="str" cm="1">
        <f t="array" ref="AU34">_xlfn.XLOOKUP(TRUE, EXACT(_xlfn.XLOOKUP(TRUE, EXACT(Table27[[#This Row],[Z2]], Table27[orig]), Table27[U]), Table27[orig]), Table27[Z2])</f>
        <v>Q</v>
      </c>
      <c r="AV34" t="str" cm="1">
        <f t="array" ref="AV34">_xlfn.XLOOKUP(TRUE, EXACT(Table27[[#This Row],[D]], Table27[orig]), Table27[D])</f>
        <v>Q</v>
      </c>
      <c r="AW34" t="str" cm="1">
        <f t="array" ref="AW34">_xlfn.XLOOKUP(TRUE, EXACT(Table27[[#This Row],[D2]], Table27[orig]), Table27[D])</f>
        <v>Q</v>
      </c>
      <c r="AX34" t="str" cm="1">
        <f t="array" ref="AX34">_xlfn.XLOOKUP(TRUE, EXACT(Table27[[#This Row],[u-lower]], Table27[orig]), Table27[U''])</f>
        <v>Q</v>
      </c>
      <c r="AY34" t="str" cm="1">
        <f t="array" ref="AY34">_xlfn.XLOOKUP(TRUE, EXACT(Table27[[#This Row],[H]], Table27[orig]), Table27[H])</f>
        <v>Q</v>
      </c>
      <c r="AZ34" t="str" cm="1">
        <f t="array" ref="AZ34">_xlfn.XLOOKUP(TRUE, EXACT(Table27[[#This Row],[H2]], Table27[orig]), Table27[H])</f>
        <v>Q</v>
      </c>
      <c r="BA34" t="str" cm="1">
        <f t="array" ref="BA34">_xlfn.XLOOKUP(TRUE, EXACT(Table27[[#This Row],[Y]], Table27[orig]), Table27[D])</f>
        <v>M</v>
      </c>
      <c r="BB34" t="str" cm="1">
        <f t="array" ref="BB34">_xlfn.XLOOKUP(TRUE, EXACT(Table27[[#This Row],[u-lower]], Table27[orig]), Table27[u-lower])</f>
        <v>I</v>
      </c>
      <c r="BC34" t="str" cm="1">
        <f t="array" ref="BC34">_xlfn.XLOOKUP(TRUE, EXACT(Table27[[#This Row],[u2-lower]], Table27[orig]), Table27[u-lower])</f>
        <v>E</v>
      </c>
      <c r="BD34" t="str" cm="1">
        <f t="array" ref="BD34">_xlfn.XLOOKUP(TRUE, EXACT(Table27[[#This Row],[Y'']], Table27[orig]), Table27[U])</f>
        <v>Q</v>
      </c>
      <c r="BE34" t="str" cm="1">
        <f t="array" ref="BE34">_xlfn.XLOOKUP(TRUE, EXACT(Table27[[#This Row],[d-lower]], Table27[orig]), Table27[d-lower])</f>
        <v>Q</v>
      </c>
      <c r="BF34" t="str" cm="1">
        <f t="array" ref="BF34">_xlfn.XLOOKUP(TRUE, EXACT(Table27[[#This Row],[d2-lower]], Table27[orig]), Table27[d-lower])</f>
        <v>Q</v>
      </c>
      <c r="BG34" t="str" cm="1">
        <f t="array" ref="BG34">_xlfn.XLOOKUP(TRUE, EXACT(Table27[[#This Row],[U]], Table27[orig]), Table27[D''])</f>
        <v>M</v>
      </c>
      <c r="BH34" t="str" cm="1">
        <f t="array" ref="BH34">_xlfn.XLOOKUP(TRUE, EXACT(Table27[[#This Row],[UD'']], Table27[orig]), Table27[UD''])</f>
        <v>I</v>
      </c>
      <c r="BI34" t="str" cm="1">
        <f t="array" ref="BI34">_xlfn.XLOOKUP(TRUE, EXACT(Table27[[#This Row],[U2D2]], Table27[orig]), Table27[UD''])</f>
        <v>E</v>
      </c>
      <c r="BJ34" t="str">
        <f>Table29[[#This Row],[F]]</f>
        <v>Q</v>
      </c>
      <c r="BK34" t="str" cm="1">
        <f t="array" ref="BK34">_xlfn.XLOOKUP(TRUE, EXACT(Table27[[#This Row],[F]], Table27[orig]), Table27[F])</f>
        <v>Q</v>
      </c>
      <c r="BL34" t="str" cm="1">
        <f t="array" ref="BL34">_xlfn.XLOOKUP(TRUE, EXACT(Table27[[#This Row],[F2]], Table27[orig]), Table27[F])</f>
        <v>Q</v>
      </c>
      <c r="BM34" t="str" cm="1">
        <f t="array" ref="BM34">_xlfn.XLOOKUP(TRUE, EXACT(_xlfn.XLOOKUP(TRUE, EXACT(Table27[[#This Row],[X2]], Table27[orig]), Table27[F]), Table27[orig]), Table27[X2])</f>
        <v>R</v>
      </c>
      <c r="BN34" t="str" cm="1">
        <f t="array" ref="BN34">_xlfn.XLOOKUP(TRUE, EXACT(Table27[[#This Row],[B]], Table27[orig]), Table27[B])</f>
        <v>S</v>
      </c>
      <c r="BO34" t="str" cm="1">
        <f t="array" ref="BO34">_xlfn.XLOOKUP(TRUE, EXACT(Table27[[#This Row],[B2]], Table27[orig]), Table27[B])</f>
        <v>T</v>
      </c>
      <c r="BP34" t="str" cm="1">
        <f t="array" ref="BP34">_xlfn.XLOOKUP(TRUE, EXACT(Table27[[#This Row],[f-lower]], Table27[orig]), Table27[F''])</f>
        <v>Q</v>
      </c>
      <c r="BQ34" t="str" cm="1">
        <f t="array" ref="BQ34">_xlfn.XLOOKUP(TRUE, EXACT(Table27[[#This Row],[S]], Table27[orig]), Table27[S])</f>
        <v>Q</v>
      </c>
      <c r="BR34" t="str" cm="1">
        <f t="array" ref="BR34">_xlfn.XLOOKUP(TRUE, EXACT(Table27[[#This Row],[S2]], Table27[orig]), Table27[S])</f>
        <v>Q</v>
      </c>
      <c r="BS34" t="str" cm="1">
        <f t="array" ref="BS34">_xlfn.XLOOKUP(TRUE, EXACT(Table27[[#This Row],[Z]], Table27[orig]), Table27[B])</f>
        <v>Q</v>
      </c>
      <c r="BT34" t="str" cm="1">
        <f t="array" ref="BT34">_xlfn.XLOOKUP(TRUE, EXACT(Table27[[#This Row],[f-lower]], Table27[orig]), Table27[f-lower])</f>
        <v>Q</v>
      </c>
      <c r="BU34" t="str" cm="1">
        <f t="array" ref="BU34">_xlfn.XLOOKUP(TRUE, EXACT(Table27[[#This Row],[f2-lower]], Table27[orig]), Table27[f-lower])</f>
        <v>Q</v>
      </c>
      <c r="BV34" t="str" cm="1">
        <f t="array" ref="BV34">_xlfn.XLOOKUP(TRUE, EXACT(Table27[[#This Row],[Z'']], Table27[orig]), Table27[F])</f>
        <v>R</v>
      </c>
      <c r="BW34" t="str" cm="1">
        <f t="array" ref="BW34">_xlfn.XLOOKUP(TRUE, EXACT(Table27[[#This Row],[b-lower]], Table27[orig]), Table27[b-lower])</f>
        <v>S</v>
      </c>
      <c r="BX34" t="str" cm="1">
        <f t="array" ref="BX34">_xlfn.XLOOKUP(TRUE, EXACT(Table27[[#This Row],[b2-lower]], Table27[orig]), Table27[b-lower])</f>
        <v>T</v>
      </c>
      <c r="BY34" t="str" cm="1">
        <f t="array" ref="BY34">_xlfn.XLOOKUP(TRUE, EXACT(Table27[[#This Row],[F]], Table27[orig]), Table27[B''])</f>
        <v>T</v>
      </c>
      <c r="BZ34" t="str" cm="1">
        <f t="array" ref="BZ34">_xlfn.XLOOKUP(TRUE, EXACT(Table27[[#This Row],[FB'']], Table27[orig]), Table27[FB''])</f>
        <v>S</v>
      </c>
      <c r="CA34" t="str" cm="1">
        <f t="array" ref="CA34">_xlfn.XLOOKUP(TRUE, EXACT(Table27[[#This Row],[F2B2]], Table27[orig]), Table27[FB''])</f>
        <v>R</v>
      </c>
      <c r="CD34" t="s">
        <v>79</v>
      </c>
      <c r="CE34" t="str">
        <f>Table28[[#This Row],[orig]]</f>
        <v>Q</v>
      </c>
      <c r="CF34" t="str">
        <f>Table29[[#This Row],[X]]</f>
        <v>W</v>
      </c>
      <c r="CG34" t="str" cm="1">
        <f t="array" ref="CG34">_xlfn.XLOOKUP(TRUE, EXACT(Table28[[#This Row],[X]], Table28[orig]), Table28[X])</f>
        <v>K</v>
      </c>
      <c r="CH34" t="str" cm="1">
        <f t="array" ref="CH34">_xlfn.XLOOKUP(TRUE, EXACT(Table28[[#This Row],[X2]], Table28[orig]), Table28[X])</f>
        <v>C</v>
      </c>
      <c r="CI34" t="str">
        <f>Table29[[#This Row],[Y]]</f>
        <v>M</v>
      </c>
      <c r="CJ34" t="str" cm="1">
        <f t="array" ref="CJ34">_xlfn.XLOOKUP(TRUE, EXACT(Table28[[#This Row],[Y]], Table28[orig]), Table28[Y])</f>
        <v>I</v>
      </c>
      <c r="CK34" t="str" cm="1">
        <f t="array" ref="CK34">_xlfn.XLOOKUP(TRUE, EXACT(Table28[[#This Row],[Y2]], Table28[orig]), Table28[Y])</f>
        <v>E</v>
      </c>
      <c r="CL34" t="str">
        <f>Table29[[#This Row],[Z]]</f>
        <v>T</v>
      </c>
      <c r="CM34" t="str" cm="1">
        <f t="array" ref="CM34">_xlfn.XLOOKUP(TRUE, EXACT(Table28[[#This Row],[Z]], Table28[orig]), Table28[Z])</f>
        <v>S</v>
      </c>
      <c r="CN34" t="str" cm="1">
        <f t="array" ref="CN34">_xlfn.XLOOKUP(TRUE, EXACT(Table28[[#This Row],[Z2]], Table28[orig]), Table28[Z])</f>
        <v>R</v>
      </c>
      <c r="CO34" t="str" cm="1">
        <f t="array" ref="CO34">_xlfn.XLOOKUP(TRUE, EXACT(Table28[[#This Row],[Z]], Table28[orig]), Table28[X])</f>
        <v>V</v>
      </c>
      <c r="CP34" t="str" cm="1">
        <f t="array" ref="CP34">_xlfn.XLOOKUP(TRUE, EXACT(Table28[[#This Row],[Y'']], Table28[orig]), Table28[X''])</f>
        <v>F</v>
      </c>
      <c r="CQ34" t="str" cm="1">
        <f t="array" ref="CQ34">_xlfn.XLOOKUP(TRUE, EXACT(Table28[[#This Row],[Y]], Table28[orig]), Table28[X''])</f>
        <v>P</v>
      </c>
      <c r="CR34" t="str" cm="1">
        <f t="array" ref="CR34">_xlfn.XLOOKUP(TRUE, EXACT(Table28[[#This Row],[Z'']], Table28[orig]), Table28[X])</f>
        <v>X</v>
      </c>
      <c r="CS34" t="str" cm="1">
        <f t="array" ref="CS34">_xlfn.XLOOKUP(TRUE, EXACT(Table28[[#This Row],[Z'']], Table28[orig]), Table28[X''])</f>
        <v>D</v>
      </c>
      <c r="CT34" t="str" cm="1">
        <f t="array" ref="CT34">_xlfn.XLOOKUP(TRUE, EXACT(Table28[[#This Row],[Y'']], Table28[orig]), Table28[X])</f>
        <v>H</v>
      </c>
      <c r="CU34" t="str" cm="1">
        <f t="array" ref="CU34">_xlfn.XLOOKUP(TRUE, EXACT(Table28[[#This Row],[Y]], Table28[orig]), Table28[X])</f>
        <v>N</v>
      </c>
      <c r="CV34" t="str" cm="1">
        <f t="array" ref="CV34">_xlfn.XLOOKUP(TRUE, EXACT(Table28[[#This Row],[Z]], Table28[orig]), Table28[X''])</f>
        <v>B</v>
      </c>
      <c r="CW34" t="str" cm="1">
        <f t="array" ref="CW34">_xlfn.XLOOKUP(TRUE, EXACT(Table28[[#This Row],[Y'']], Table28[orig]), Table28[X2])</f>
        <v>G</v>
      </c>
      <c r="CX34" t="str" cm="1">
        <f t="array" ref="CX34">_xlfn.XLOOKUP(TRUE, EXACT(Table28[[#This Row],[Y]], Table28[orig]), Table28[X2])</f>
        <v>O</v>
      </c>
      <c r="CY34" t="str" cm="1">
        <f t="array" ref="CY34">_xlfn.XLOOKUP(TRUE, EXACT(Table28[[#This Row],[Z]], Table28[orig]), Table28[X2])</f>
        <v>J</v>
      </c>
      <c r="CZ34" t="str" cm="1">
        <f t="array" ref="CZ34">_xlfn.XLOOKUP(TRUE, EXACT(Table28[[#This Row],[Z'']], Table28[orig]), Table28[X2])</f>
        <v>L</v>
      </c>
      <c r="DA34" t="str" cm="1">
        <f t="array" ref="DA34">_xlfn.XLOOKUP(TRUE, EXACT(Table28[[#This Row],[Z2]], Table28[orig]), Table28[X])</f>
        <v>U</v>
      </c>
      <c r="DB34" t="str" cm="1">
        <f t="array" ref="DB34">_xlfn.XLOOKUP(TRUE, EXACT(Table28[[#This Row],[Z2]], Table28[orig]), Table28[X''])</f>
        <v>A</v>
      </c>
      <c r="DE34" s="6" t="s">
        <v>79</v>
      </c>
      <c r="DF34" s="6" t="str" cm="1">
        <f t="array" ref="DF34">_xlfn.XLOOKUP(TRUE, EXACT(Table28[[#This Row],[I]], Table29[orig]), Table29[T-reflection])</f>
        <v>R</v>
      </c>
      <c r="DG34" s="6" t="str" cm="1">
        <f t="array" ref="DG34">_xlfn.XLOOKUP(TRUE, EXACT(Table28[[#This Row],[X]], Table29[orig]), Table29[T-reflection])</f>
        <v>X</v>
      </c>
      <c r="DH34" t="str" cm="1">
        <f t="array" ref="DH34">_xlfn.XLOOKUP(TRUE, EXACT(Table28[[#This Row],[X2]], Table29[orig]), Table29[T-reflection])</f>
        <v>L</v>
      </c>
      <c r="DI34" t="str" cm="1">
        <f t="array" ref="DI34">_xlfn.XLOOKUP(TRUE, EXACT(Table28[[#This Row],[X'']], Table29[orig]), Table29[T-reflection])</f>
        <v>D</v>
      </c>
      <c r="DJ34" s="6" t="str" cm="1">
        <f t="array" ref="DJ34">_xlfn.XLOOKUP(TRUE, EXACT(Table28[[#This Row],[Y]], Table29[orig]), Table29[T-reflection])</f>
        <v>F</v>
      </c>
      <c r="DK34" t="str" cm="1">
        <f t="array" ref="DK34">_xlfn.XLOOKUP(TRUE, EXACT(Table28[[#This Row],[Y2]], Table29[orig]), Table29[T-reflection])</f>
        <v>J</v>
      </c>
      <c r="DL34" t="str" cm="1">
        <f t="array" ref="DL34">_xlfn.XLOOKUP(TRUE, EXACT(Table28[[#This Row],[Y'']], Table29[orig]), Table29[T-reflection])</f>
        <v>N</v>
      </c>
      <c r="DM34" s="6" t="str" cm="1">
        <f t="array" ref="DM34">_xlfn.XLOOKUP(TRUE, EXACT(Table28[[#This Row],[Z]], Table29[orig]), Table29[T-reflection])</f>
        <v>S</v>
      </c>
      <c r="DN34" t="str" cm="1">
        <f t="array" ref="DN34">_xlfn.XLOOKUP(TRUE, EXACT(Table28[[#This Row],[Z2]], Table29[orig]), Table29[T-reflection])</f>
        <v>T</v>
      </c>
      <c r="DO34" t="str" cm="1">
        <f t="array" ref="DO34">_xlfn.XLOOKUP(TRUE, EXACT(Table28[[#This Row],[Z'']], Table29[orig]), Table29[T-reflection])</f>
        <v>Q</v>
      </c>
      <c r="DP34" t="str" cm="1">
        <f t="array" ref="DP34">_xlfn.XLOOKUP(TRUE, EXACT(Table28[[#This Row],[Z X]], Table29[orig]), Table29[T-reflection])</f>
        <v>U</v>
      </c>
      <c r="DQ34" t="str" cm="1">
        <f t="array" ref="DQ34">_xlfn.XLOOKUP(TRUE, EXACT(Table28[[#This Row],[Y'' X'']], Table29[orig]), Table29[T-reflection])</f>
        <v>M</v>
      </c>
      <c r="DR34" t="str" cm="1">
        <f t="array" ref="DR34">_xlfn.XLOOKUP(TRUE, EXACT(Table28[[#This Row],[Y X'']], Table29[orig]), Table29[T-reflection])</f>
        <v>G</v>
      </c>
      <c r="DS34" t="str" cm="1">
        <f t="array" ref="DS34">_xlfn.XLOOKUP(TRUE, EXACT(Table28[[#This Row],[Z'' X]], Table29[orig]), Table29[T-reflection])</f>
        <v>W</v>
      </c>
      <c r="DT34" t="str" cm="1">
        <f t="array" ref="DT34">_xlfn.XLOOKUP(TRUE, EXACT(Table28[[#This Row],[Z'' X'']], Table29[orig]), Table29[T-reflection])</f>
        <v>C</v>
      </c>
      <c r="DU34" t="str" cm="1">
        <f t="array" ref="DU34">_xlfn.XLOOKUP(TRUE, EXACT(Table28[[#This Row],[Y'' X]], Table29[orig]), Table29[T-reflection])</f>
        <v>O</v>
      </c>
      <c r="DV34" t="str" cm="1">
        <f t="array" ref="DV34">_xlfn.XLOOKUP(TRUE, EXACT(Table28[[#This Row],[Y X]], Table29[orig]), Table29[T-reflection])</f>
        <v>E</v>
      </c>
      <c r="DW34" t="str" cm="1">
        <f t="array" ref="DW34">_xlfn.XLOOKUP(TRUE, EXACT(Table28[[#This Row],[Z X'']], Table29[orig]), Table29[T-reflection])</f>
        <v>A</v>
      </c>
      <c r="DX34" t="str" cm="1">
        <f t="array" ref="DX34">_xlfn.XLOOKUP(TRUE, EXACT(Table28[[#This Row],[Y'' X2]], Table29[orig]), Table29[T-reflection])</f>
        <v>P</v>
      </c>
      <c r="DY34" t="str" cm="1">
        <f t="array" ref="DY34">_xlfn.XLOOKUP(TRUE, EXACT(Table28[[#This Row],[Y X2]], Table29[orig]), Table29[T-reflection])</f>
        <v>H</v>
      </c>
      <c r="DZ34" t="str" cm="1">
        <f t="array" ref="DZ34">_xlfn.XLOOKUP(TRUE, EXACT(Table28[[#This Row],[Z X2]], Table29[orig]), Table29[T-reflection])</f>
        <v>I</v>
      </c>
      <c r="EA34" t="str" cm="1">
        <f t="array" ref="EA34">_xlfn.XLOOKUP(TRUE, EXACT(Table28[[#This Row],[Z'' X2]], Table29[orig]), Table29[T-reflection])</f>
        <v>K</v>
      </c>
      <c r="EB34" t="str" cm="1">
        <f t="array" ref="EB34">_xlfn.XLOOKUP(TRUE, EXACT(Table28[[#This Row],[Z2 X]], Table29[orig]), Table29[T-reflection])</f>
        <v>V</v>
      </c>
      <c r="EC34" t="str" cm="1">
        <f t="array" ref="EC34">_xlfn.XLOOKUP(TRUE, EXACT(Table28[[#This Row],[Z2 X'']], Table29[orig]), Table29[T-reflection])</f>
        <v>B</v>
      </c>
    </row>
    <row r="35" spans="1:164" x14ac:dyDescent="0.2">
      <c r="B35" t="s">
        <v>27</v>
      </c>
      <c r="C35" t="s">
        <v>27</v>
      </c>
      <c r="D35" t="s">
        <v>0</v>
      </c>
      <c r="E35" t="s">
        <v>74</v>
      </c>
      <c r="F35" t="s">
        <v>79</v>
      </c>
      <c r="G35" t="s">
        <v>79</v>
      </c>
      <c r="H35" t="s">
        <v>51</v>
      </c>
      <c r="I35" t="s">
        <v>90</v>
      </c>
      <c r="J35" t="s">
        <v>27</v>
      </c>
      <c r="K35" t="s">
        <v>74</v>
      </c>
      <c r="L35" t="s">
        <v>27</v>
      </c>
      <c r="O35" t="s">
        <v>27</v>
      </c>
      <c r="P35" t="str">
        <f>Table27[[#This Row],[orig]]</f>
        <v>R</v>
      </c>
      <c r="Q35" t="str">
        <f>Table29[[#This Row],[X]]</f>
        <v>X</v>
      </c>
      <c r="R35" t="str" cm="1">
        <f t="array" ref="R35">_xlfn.XLOOKUP(TRUE, EXACT(Table27[[#This Row],[X]], Table27[orig]), Table27[X])</f>
        <v>L</v>
      </c>
      <c r="S35" t="str" cm="1">
        <f t="array" ref="S35">_xlfn.XLOOKUP(TRUE, EXACT(Table27[[#This Row],[X2]], Table27[orig]), Table27[X])</f>
        <v>D</v>
      </c>
      <c r="T35" t="str">
        <f>Table29[[#This Row],[Y]]</f>
        <v>N</v>
      </c>
      <c r="U35" t="str" cm="1">
        <f t="array" ref="U35">_xlfn.XLOOKUP(TRUE, EXACT(Table27[[#This Row],[Y]], Table27[orig]), Table27[Y])</f>
        <v>J</v>
      </c>
      <c r="V35" t="str" cm="1">
        <f t="array" ref="V35">_xlfn.XLOOKUP(TRUE, EXACT(Table27[[#This Row],[Y2]], Table27[orig]), Table27[Y])</f>
        <v>F</v>
      </c>
      <c r="W35" t="str">
        <f>Table29[[#This Row],[Z]]</f>
        <v>Q</v>
      </c>
      <c r="X35" t="str" cm="1">
        <f t="array" ref="X35">_xlfn.XLOOKUP(TRUE, EXACT(Table27[[#This Row],[Z]], Table27[orig]), Table27[Z])</f>
        <v>T</v>
      </c>
      <c r="Y35" t="str" cm="1">
        <f t="array" ref="Y35">_xlfn.XLOOKUP(TRUE, EXACT(Table27[[#This Row],[Z2]], Table27[orig]), Table27[Z])</f>
        <v>S</v>
      </c>
      <c r="Z35" t="str">
        <f>Table29[[#This Row],[R]]</f>
        <v>R</v>
      </c>
      <c r="AA35" t="str" cm="1">
        <f t="array" ref="AA35">_xlfn.XLOOKUP(TRUE, EXACT(Table27[[#This Row],[R]], Table27[orig]), Table27[R])</f>
        <v>R</v>
      </c>
      <c r="AB35" t="str" cm="1">
        <f t="array" ref="AB35">_xlfn.XLOOKUP(TRUE, EXACT(Table27[[#This Row],[R2]], Table27[orig]), Table27[R])</f>
        <v>R</v>
      </c>
      <c r="AC35" t="str" cm="1">
        <f t="array" ref="AC35">_xlfn.XLOOKUP(TRUE, EXACT(_xlfn.XLOOKUP(TRUE, EXACT(Table27[[#This Row],[Y2]], Table27[orig]), Table27[R]), Table27[orig]), Table27[Y2])</f>
        <v>D</v>
      </c>
      <c r="AD35" t="str" cm="1">
        <f t="array" ref="AD35">_xlfn.XLOOKUP(TRUE, EXACT(Table27[[#This Row],[L]], Table27[orig]), Table27[L])</f>
        <v>L</v>
      </c>
      <c r="AE35" t="str" cm="1">
        <f t="array" ref="AE35">_xlfn.XLOOKUP(TRUE, EXACT(Table27[[#This Row],[L2]], Table27[orig]), Table27[L])</f>
        <v>X</v>
      </c>
      <c r="AF35" t="str" cm="1">
        <f t="array" ref="AF35">_xlfn.XLOOKUP(TRUE, EXACT(Table27[[#This Row],[r-lower]], Table27[orig]), Table27[R''])</f>
        <v>R</v>
      </c>
      <c r="AG35" t="str" cm="1">
        <f t="array" ref="AG35">_xlfn.XLOOKUP(TRUE, EXACT(Table27[[#This Row],[T]], Table27[orig]), Table27[T])</f>
        <v>R</v>
      </c>
      <c r="AH35" t="str" cm="1">
        <f t="array" ref="AH35">_xlfn.XLOOKUP(TRUE, EXACT(Table27[[#This Row],[T2]], Table27[orig]), Table27[T])</f>
        <v>R</v>
      </c>
      <c r="AI35" t="str" cm="1">
        <f t="array" ref="AI35">_xlfn.XLOOKUP(TRUE, EXACT(Table27[[#This Row],[X]], Table27[orig]), Table27[L])</f>
        <v>R</v>
      </c>
      <c r="AJ35" t="str" cm="1">
        <f t="array" ref="AJ35">_xlfn.XLOOKUP(TRUE, EXACT(Table27[[#This Row],[r-lower]], Table27[orig]), Table27[r-lower])</f>
        <v>R</v>
      </c>
      <c r="AK35" t="str" cm="1">
        <f t="array" ref="AK35">_xlfn.XLOOKUP(TRUE, EXACT(Table27[[#This Row],[r2-lower]], Table27[orig]), Table27[r-lower])</f>
        <v>R</v>
      </c>
      <c r="AL35" t="str" cm="1">
        <f t="array" ref="AL35">_xlfn.XLOOKUP(TRUE, EXACT(Table27[[#This Row],[X'']], Table27[orig]), Table27[R])</f>
        <v>D</v>
      </c>
      <c r="AM35" t="str" cm="1">
        <f t="array" ref="AM35">_xlfn.XLOOKUP(TRUE, EXACT(Table27[[#This Row],[l-lower]], Table27[orig]), Table27[l-lower])</f>
        <v>L</v>
      </c>
      <c r="AN35" t="str" cm="1">
        <f t="array" ref="AN35">_xlfn.XLOOKUP(TRUE, EXACT(Table27[[#This Row],[l2-lower]], Table27[orig]), Table27[l-lower])</f>
        <v>X</v>
      </c>
      <c r="AO35" t="str" cm="1">
        <f t="array" ref="AO35">_xlfn.XLOOKUP(TRUE, EXACT(Table27[[#This Row],[R]], Table27[orig]), Table27[L''])</f>
        <v>X</v>
      </c>
      <c r="AP35" t="str" cm="1">
        <f t="array" ref="AP35">_xlfn.XLOOKUP(TRUE, EXACT(Table27[[#This Row],[RL'']], Table27[orig]), Table27[RL''])</f>
        <v>L</v>
      </c>
      <c r="AQ35" t="str" cm="1">
        <f t="array" ref="AQ35">_xlfn.XLOOKUP(TRUE, EXACT(Table27[[#This Row],[R2L2]], Table27[orig]), Table27[RL''])</f>
        <v>D</v>
      </c>
      <c r="AR35" t="str">
        <f>Table29[[#This Row],[U]]</f>
        <v>N</v>
      </c>
      <c r="AS35" t="str" cm="1">
        <f t="array" ref="AS35">_xlfn.XLOOKUP(TRUE, EXACT(Table27[[#This Row],[U]], Table27[orig]), Table27[U])</f>
        <v>J</v>
      </c>
      <c r="AT35" t="str" cm="1">
        <f t="array" ref="AT35">_xlfn.XLOOKUP(TRUE, EXACT(Table27[[#This Row],[U2]], Table27[orig]), Table27[U])</f>
        <v>F</v>
      </c>
      <c r="AU35" t="str" cm="1">
        <f t="array" ref="AU35">_xlfn.XLOOKUP(TRUE, EXACT(_xlfn.XLOOKUP(TRUE, EXACT(Table27[[#This Row],[Z2]], Table27[orig]), Table27[U]), Table27[orig]), Table27[Z2])</f>
        <v>R</v>
      </c>
      <c r="AV35" t="str" cm="1">
        <f t="array" ref="AV35">_xlfn.XLOOKUP(TRUE, EXACT(Table27[[#This Row],[D]], Table27[orig]), Table27[D])</f>
        <v>R</v>
      </c>
      <c r="AW35" t="str" cm="1">
        <f t="array" ref="AW35">_xlfn.XLOOKUP(TRUE, EXACT(Table27[[#This Row],[D2]], Table27[orig]), Table27[D])</f>
        <v>R</v>
      </c>
      <c r="AX35" t="str" cm="1">
        <f t="array" ref="AX35">_xlfn.XLOOKUP(TRUE, EXACT(Table27[[#This Row],[u-lower]], Table27[orig]), Table27[U''])</f>
        <v>R</v>
      </c>
      <c r="AY35" t="str" cm="1">
        <f t="array" ref="AY35">_xlfn.XLOOKUP(TRUE, EXACT(Table27[[#This Row],[H]], Table27[orig]), Table27[H])</f>
        <v>R</v>
      </c>
      <c r="AZ35" t="str" cm="1">
        <f t="array" ref="AZ35">_xlfn.XLOOKUP(TRUE, EXACT(Table27[[#This Row],[H2]], Table27[orig]), Table27[H])</f>
        <v>R</v>
      </c>
      <c r="BA35" t="str" cm="1">
        <f t="array" ref="BA35">_xlfn.XLOOKUP(TRUE, EXACT(Table27[[#This Row],[Y]], Table27[orig]), Table27[D])</f>
        <v>N</v>
      </c>
      <c r="BB35" t="str" cm="1">
        <f t="array" ref="BB35">_xlfn.XLOOKUP(TRUE, EXACT(Table27[[#This Row],[u-lower]], Table27[orig]), Table27[u-lower])</f>
        <v>J</v>
      </c>
      <c r="BC35" t="str" cm="1">
        <f t="array" ref="BC35">_xlfn.XLOOKUP(TRUE, EXACT(Table27[[#This Row],[u2-lower]], Table27[orig]), Table27[u-lower])</f>
        <v>F</v>
      </c>
      <c r="BD35" t="str" cm="1">
        <f t="array" ref="BD35">_xlfn.XLOOKUP(TRUE, EXACT(Table27[[#This Row],[Y'']], Table27[orig]), Table27[U])</f>
        <v>R</v>
      </c>
      <c r="BE35" t="str" cm="1">
        <f t="array" ref="BE35">_xlfn.XLOOKUP(TRUE, EXACT(Table27[[#This Row],[d-lower]], Table27[orig]), Table27[d-lower])</f>
        <v>R</v>
      </c>
      <c r="BF35" t="str" cm="1">
        <f t="array" ref="BF35">_xlfn.XLOOKUP(TRUE, EXACT(Table27[[#This Row],[d2-lower]], Table27[orig]), Table27[d-lower])</f>
        <v>R</v>
      </c>
      <c r="BG35" t="str" cm="1">
        <f t="array" ref="BG35">_xlfn.XLOOKUP(TRUE, EXACT(Table27[[#This Row],[U]], Table27[orig]), Table27[D''])</f>
        <v>N</v>
      </c>
      <c r="BH35" t="str" cm="1">
        <f t="array" ref="BH35">_xlfn.XLOOKUP(TRUE, EXACT(Table27[[#This Row],[UD'']], Table27[orig]), Table27[UD''])</f>
        <v>J</v>
      </c>
      <c r="BI35" t="str" cm="1">
        <f t="array" ref="BI35">_xlfn.XLOOKUP(TRUE, EXACT(Table27[[#This Row],[U2D2]], Table27[orig]), Table27[UD''])</f>
        <v>F</v>
      </c>
      <c r="BJ35" t="str">
        <f>Table29[[#This Row],[F]]</f>
        <v>R</v>
      </c>
      <c r="BK35" t="str" cm="1">
        <f t="array" ref="BK35">_xlfn.XLOOKUP(TRUE, EXACT(Table27[[#This Row],[F]], Table27[orig]), Table27[F])</f>
        <v>R</v>
      </c>
      <c r="BL35" t="str" cm="1">
        <f t="array" ref="BL35">_xlfn.XLOOKUP(TRUE, EXACT(Table27[[#This Row],[F2]], Table27[orig]), Table27[F])</f>
        <v>R</v>
      </c>
      <c r="BM35" t="str" cm="1">
        <f t="array" ref="BM35">_xlfn.XLOOKUP(TRUE, EXACT(_xlfn.XLOOKUP(TRUE, EXACT(Table27[[#This Row],[X2]], Table27[orig]), Table27[F]), Table27[orig]), Table27[X2])</f>
        <v>S</v>
      </c>
      <c r="BN35" t="str" cm="1">
        <f t="array" ref="BN35">_xlfn.XLOOKUP(TRUE, EXACT(Table27[[#This Row],[B]], Table27[orig]), Table27[B])</f>
        <v>T</v>
      </c>
      <c r="BO35" t="str" cm="1">
        <f t="array" ref="BO35">_xlfn.XLOOKUP(TRUE, EXACT(Table27[[#This Row],[B2]], Table27[orig]), Table27[B])</f>
        <v>Q</v>
      </c>
      <c r="BP35" t="str" cm="1">
        <f t="array" ref="BP35">_xlfn.XLOOKUP(TRUE, EXACT(Table27[[#This Row],[f-lower]], Table27[orig]), Table27[F''])</f>
        <v>R</v>
      </c>
      <c r="BQ35" t="str" cm="1">
        <f t="array" ref="BQ35">_xlfn.XLOOKUP(TRUE, EXACT(Table27[[#This Row],[S]], Table27[orig]), Table27[S])</f>
        <v>R</v>
      </c>
      <c r="BR35" t="str" cm="1">
        <f t="array" ref="BR35">_xlfn.XLOOKUP(TRUE, EXACT(Table27[[#This Row],[S2]], Table27[orig]), Table27[S])</f>
        <v>R</v>
      </c>
      <c r="BS35" t="str" cm="1">
        <f t="array" ref="BS35">_xlfn.XLOOKUP(TRUE, EXACT(Table27[[#This Row],[Z]], Table27[orig]), Table27[B])</f>
        <v>R</v>
      </c>
      <c r="BT35" t="str" cm="1">
        <f t="array" ref="BT35">_xlfn.XLOOKUP(TRUE, EXACT(Table27[[#This Row],[f-lower]], Table27[orig]), Table27[f-lower])</f>
        <v>R</v>
      </c>
      <c r="BU35" t="str" cm="1">
        <f t="array" ref="BU35">_xlfn.XLOOKUP(TRUE, EXACT(Table27[[#This Row],[f2-lower]], Table27[orig]), Table27[f-lower])</f>
        <v>R</v>
      </c>
      <c r="BV35" t="str" cm="1">
        <f t="array" ref="BV35">_xlfn.XLOOKUP(TRUE, EXACT(Table27[[#This Row],[Z'']], Table27[orig]), Table27[F])</f>
        <v>S</v>
      </c>
      <c r="BW35" t="str" cm="1">
        <f t="array" ref="BW35">_xlfn.XLOOKUP(TRUE, EXACT(Table27[[#This Row],[b-lower]], Table27[orig]), Table27[b-lower])</f>
        <v>T</v>
      </c>
      <c r="BX35" t="str" cm="1">
        <f t="array" ref="BX35">_xlfn.XLOOKUP(TRUE, EXACT(Table27[[#This Row],[b2-lower]], Table27[orig]), Table27[b-lower])</f>
        <v>Q</v>
      </c>
      <c r="BY35" t="str" cm="1">
        <f t="array" ref="BY35">_xlfn.XLOOKUP(TRUE, EXACT(Table27[[#This Row],[F]], Table27[orig]), Table27[B''])</f>
        <v>Q</v>
      </c>
      <c r="BZ35" t="str" cm="1">
        <f t="array" ref="BZ35">_xlfn.XLOOKUP(TRUE, EXACT(Table27[[#This Row],[FB'']], Table27[orig]), Table27[FB''])</f>
        <v>T</v>
      </c>
      <c r="CA35" t="str" cm="1">
        <f t="array" ref="CA35">_xlfn.XLOOKUP(TRUE, EXACT(Table27[[#This Row],[F2B2]], Table27[orig]), Table27[FB''])</f>
        <v>S</v>
      </c>
      <c r="CD35" t="s">
        <v>27</v>
      </c>
      <c r="CE35" t="str">
        <f>Table28[[#This Row],[orig]]</f>
        <v>R</v>
      </c>
      <c r="CF35" t="str">
        <f>Table29[[#This Row],[X]]</f>
        <v>X</v>
      </c>
      <c r="CG35" t="str" cm="1">
        <f t="array" ref="CG35">_xlfn.XLOOKUP(TRUE, EXACT(Table28[[#This Row],[X]], Table28[orig]), Table28[X])</f>
        <v>L</v>
      </c>
      <c r="CH35" t="str" cm="1">
        <f t="array" ref="CH35">_xlfn.XLOOKUP(TRUE, EXACT(Table28[[#This Row],[X2]], Table28[orig]), Table28[X])</f>
        <v>D</v>
      </c>
      <c r="CI35" t="str">
        <f>Table29[[#This Row],[Y]]</f>
        <v>N</v>
      </c>
      <c r="CJ35" t="str" cm="1">
        <f t="array" ref="CJ35">_xlfn.XLOOKUP(TRUE, EXACT(Table28[[#This Row],[Y]], Table28[orig]), Table28[Y])</f>
        <v>J</v>
      </c>
      <c r="CK35" t="str" cm="1">
        <f t="array" ref="CK35">_xlfn.XLOOKUP(TRUE, EXACT(Table28[[#This Row],[Y2]], Table28[orig]), Table28[Y])</f>
        <v>F</v>
      </c>
      <c r="CL35" t="str">
        <f>Table29[[#This Row],[Z]]</f>
        <v>Q</v>
      </c>
      <c r="CM35" t="str" cm="1">
        <f t="array" ref="CM35">_xlfn.XLOOKUP(TRUE, EXACT(Table28[[#This Row],[Z]], Table28[orig]), Table28[Z])</f>
        <v>T</v>
      </c>
      <c r="CN35" t="str" cm="1">
        <f t="array" ref="CN35">_xlfn.XLOOKUP(TRUE, EXACT(Table28[[#This Row],[Z2]], Table28[orig]), Table28[Z])</f>
        <v>S</v>
      </c>
      <c r="CO35" t="str" cm="1">
        <f t="array" ref="CO35">_xlfn.XLOOKUP(TRUE, EXACT(Table28[[#This Row],[Z]], Table28[orig]), Table28[X])</f>
        <v>W</v>
      </c>
      <c r="CP35" t="str" cm="1">
        <f t="array" ref="CP35">_xlfn.XLOOKUP(TRUE, EXACT(Table28[[#This Row],[Y'']], Table28[orig]), Table28[X''])</f>
        <v>G</v>
      </c>
      <c r="CQ35" t="str" cm="1">
        <f t="array" ref="CQ35">_xlfn.XLOOKUP(TRUE, EXACT(Table28[[#This Row],[Y]], Table28[orig]), Table28[X''])</f>
        <v>M</v>
      </c>
      <c r="CR35" t="str" cm="1">
        <f t="array" ref="CR35">_xlfn.XLOOKUP(TRUE, EXACT(Table28[[#This Row],[Z'']], Table28[orig]), Table28[X])</f>
        <v>U</v>
      </c>
      <c r="CS35" t="str" cm="1">
        <f t="array" ref="CS35">_xlfn.XLOOKUP(TRUE, EXACT(Table28[[#This Row],[Z'']], Table28[orig]), Table28[X''])</f>
        <v>A</v>
      </c>
      <c r="CT35" t="str" cm="1">
        <f t="array" ref="CT35">_xlfn.XLOOKUP(TRUE, EXACT(Table28[[#This Row],[Y'']], Table28[orig]), Table28[X])</f>
        <v>E</v>
      </c>
      <c r="CU35" t="str" cm="1">
        <f t="array" ref="CU35">_xlfn.XLOOKUP(TRUE, EXACT(Table28[[#This Row],[Y]], Table28[orig]), Table28[X])</f>
        <v>O</v>
      </c>
      <c r="CV35" t="str" cm="1">
        <f t="array" ref="CV35">_xlfn.XLOOKUP(TRUE, EXACT(Table28[[#This Row],[Z]], Table28[orig]), Table28[X''])</f>
        <v>C</v>
      </c>
      <c r="CW35" t="str" cm="1">
        <f t="array" ref="CW35">_xlfn.XLOOKUP(TRUE, EXACT(Table28[[#This Row],[Y'']], Table28[orig]), Table28[X2])</f>
        <v>H</v>
      </c>
      <c r="CX35" t="str" cm="1">
        <f t="array" ref="CX35">_xlfn.XLOOKUP(TRUE, EXACT(Table28[[#This Row],[Y]], Table28[orig]), Table28[X2])</f>
        <v>P</v>
      </c>
      <c r="CY35" t="str" cm="1">
        <f t="array" ref="CY35">_xlfn.XLOOKUP(TRUE, EXACT(Table28[[#This Row],[Z]], Table28[orig]), Table28[X2])</f>
        <v>K</v>
      </c>
      <c r="CZ35" t="str" cm="1">
        <f t="array" ref="CZ35">_xlfn.XLOOKUP(TRUE, EXACT(Table28[[#This Row],[Z'']], Table28[orig]), Table28[X2])</f>
        <v>I</v>
      </c>
      <c r="DA35" t="str" cm="1">
        <f t="array" ref="DA35">_xlfn.XLOOKUP(TRUE, EXACT(Table28[[#This Row],[Z2]], Table28[orig]), Table28[X])</f>
        <v>V</v>
      </c>
      <c r="DB35" t="str" cm="1">
        <f t="array" ref="DB35">_xlfn.XLOOKUP(TRUE, EXACT(Table28[[#This Row],[Z2]], Table28[orig]), Table28[X''])</f>
        <v>B</v>
      </c>
      <c r="DE35" s="4" t="s">
        <v>27</v>
      </c>
      <c r="DF35" s="4" t="str" cm="1">
        <f t="array" ref="DF35">_xlfn.XLOOKUP(TRUE, EXACT(Table28[[#This Row],[I]], Table29[orig]), Table29[T-reflection])</f>
        <v>Q</v>
      </c>
      <c r="DG35" s="4" t="str" cm="1">
        <f t="array" ref="DG35">_xlfn.XLOOKUP(TRUE, EXACT(Table28[[#This Row],[X]], Table29[orig]), Table29[T-reflection])</f>
        <v>W</v>
      </c>
      <c r="DH35" t="str" cm="1">
        <f t="array" ref="DH35">_xlfn.XLOOKUP(TRUE, EXACT(Table28[[#This Row],[X2]], Table29[orig]), Table29[T-reflection])</f>
        <v>K</v>
      </c>
      <c r="DI35" t="str" cm="1">
        <f t="array" ref="DI35">_xlfn.XLOOKUP(TRUE, EXACT(Table28[[#This Row],[X'']], Table29[orig]), Table29[T-reflection])</f>
        <v>C</v>
      </c>
      <c r="DJ35" s="4" t="str" cm="1">
        <f t="array" ref="DJ35">_xlfn.XLOOKUP(TRUE, EXACT(Table28[[#This Row],[Y]], Table29[orig]), Table29[T-reflection])</f>
        <v>E</v>
      </c>
      <c r="DK35" t="str" cm="1">
        <f t="array" ref="DK35">_xlfn.XLOOKUP(TRUE, EXACT(Table28[[#This Row],[Y2]], Table29[orig]), Table29[T-reflection])</f>
        <v>I</v>
      </c>
      <c r="DL35" t="str" cm="1">
        <f t="array" ref="DL35">_xlfn.XLOOKUP(TRUE, EXACT(Table28[[#This Row],[Y'']], Table29[orig]), Table29[T-reflection])</f>
        <v>M</v>
      </c>
      <c r="DM35" s="4" t="str" cm="1">
        <f t="array" ref="DM35">_xlfn.XLOOKUP(TRUE, EXACT(Table28[[#This Row],[Z]], Table29[orig]), Table29[T-reflection])</f>
        <v>R</v>
      </c>
      <c r="DN35" t="str" cm="1">
        <f t="array" ref="DN35">_xlfn.XLOOKUP(TRUE, EXACT(Table28[[#This Row],[Z2]], Table29[orig]), Table29[T-reflection])</f>
        <v>S</v>
      </c>
      <c r="DO35" t="str" cm="1">
        <f t="array" ref="DO35">_xlfn.XLOOKUP(TRUE, EXACT(Table28[[#This Row],[Z'']], Table29[orig]), Table29[T-reflection])</f>
        <v>T</v>
      </c>
      <c r="DP35" t="str" cm="1">
        <f t="array" ref="DP35">_xlfn.XLOOKUP(TRUE, EXACT(Table28[[#This Row],[Z X]], Table29[orig]), Table29[T-reflection])</f>
        <v>X</v>
      </c>
      <c r="DQ35" t="str" cm="1">
        <f t="array" ref="DQ35">_xlfn.XLOOKUP(TRUE, EXACT(Table28[[#This Row],[Y'' X'']], Table29[orig]), Table29[T-reflection])</f>
        <v>P</v>
      </c>
      <c r="DR35" t="str" cm="1">
        <f t="array" ref="DR35">_xlfn.XLOOKUP(TRUE, EXACT(Table28[[#This Row],[Y X'']], Table29[orig]), Table29[T-reflection])</f>
        <v>F</v>
      </c>
      <c r="DS35" t="str" cm="1">
        <f t="array" ref="DS35">_xlfn.XLOOKUP(TRUE, EXACT(Table28[[#This Row],[Z'' X]], Table29[orig]), Table29[T-reflection])</f>
        <v>V</v>
      </c>
      <c r="DT35" t="str" cm="1">
        <f t="array" ref="DT35">_xlfn.XLOOKUP(TRUE, EXACT(Table28[[#This Row],[Z'' X'']], Table29[orig]), Table29[T-reflection])</f>
        <v>B</v>
      </c>
      <c r="DU35" t="str" cm="1">
        <f t="array" ref="DU35">_xlfn.XLOOKUP(TRUE, EXACT(Table28[[#This Row],[Y'' X]], Table29[orig]), Table29[T-reflection])</f>
        <v>N</v>
      </c>
      <c r="DV35" t="str" cm="1">
        <f t="array" ref="DV35">_xlfn.XLOOKUP(TRUE, EXACT(Table28[[#This Row],[Y X]], Table29[orig]), Table29[T-reflection])</f>
        <v>H</v>
      </c>
      <c r="DW35" t="str" cm="1">
        <f t="array" ref="DW35">_xlfn.XLOOKUP(TRUE, EXACT(Table28[[#This Row],[Z X'']], Table29[orig]), Table29[T-reflection])</f>
        <v>D</v>
      </c>
      <c r="DX35" t="str" cm="1">
        <f t="array" ref="DX35">_xlfn.XLOOKUP(TRUE, EXACT(Table28[[#This Row],[Y'' X2]], Table29[orig]), Table29[T-reflection])</f>
        <v>O</v>
      </c>
      <c r="DY35" t="str" cm="1">
        <f t="array" ref="DY35">_xlfn.XLOOKUP(TRUE, EXACT(Table28[[#This Row],[Y X2]], Table29[orig]), Table29[T-reflection])</f>
        <v>G</v>
      </c>
      <c r="DZ35" t="str" cm="1">
        <f t="array" ref="DZ35">_xlfn.XLOOKUP(TRUE, EXACT(Table28[[#This Row],[Z X2]], Table29[orig]), Table29[T-reflection])</f>
        <v>L</v>
      </c>
      <c r="EA35" t="str" cm="1">
        <f t="array" ref="EA35">_xlfn.XLOOKUP(TRUE, EXACT(Table28[[#This Row],[Z'' X2]], Table29[orig]), Table29[T-reflection])</f>
        <v>J</v>
      </c>
      <c r="EB35" t="str" cm="1">
        <f t="array" ref="EB35">_xlfn.XLOOKUP(TRUE, EXACT(Table28[[#This Row],[Z2 X]], Table29[orig]), Table29[T-reflection])</f>
        <v>U</v>
      </c>
      <c r="EC35" t="str" cm="1">
        <f t="array" ref="EC35">_xlfn.XLOOKUP(TRUE, EXACT(Table28[[#This Row],[Z2 X'']], Table29[orig]), Table29[T-reflection])</f>
        <v>A</v>
      </c>
    </row>
    <row r="36" spans="1:164" x14ac:dyDescent="0.2">
      <c r="B36" t="s">
        <v>51</v>
      </c>
      <c r="C36" t="s">
        <v>51</v>
      </c>
      <c r="D36" t="s">
        <v>54</v>
      </c>
      <c r="E36" t="s">
        <v>128</v>
      </c>
      <c r="F36" t="s">
        <v>27</v>
      </c>
      <c r="G36" t="s">
        <v>48</v>
      </c>
      <c r="H36" t="s">
        <v>27</v>
      </c>
      <c r="I36" t="s">
        <v>30</v>
      </c>
      <c r="J36" t="s">
        <v>51</v>
      </c>
      <c r="K36" t="s">
        <v>51</v>
      </c>
      <c r="L36" t="s">
        <v>51</v>
      </c>
      <c r="O36" t="s">
        <v>51</v>
      </c>
      <c r="P36" t="str">
        <f>Table27[[#This Row],[orig]]</f>
        <v>S</v>
      </c>
      <c r="Q36" t="str">
        <f>Table29[[#This Row],[X]]</f>
        <v>U</v>
      </c>
      <c r="R36" t="str" cm="1">
        <f t="array" ref="R36">_xlfn.XLOOKUP(TRUE, EXACT(Table27[[#This Row],[X]], Table27[orig]), Table27[X])</f>
        <v>I</v>
      </c>
      <c r="S36" t="str" cm="1">
        <f t="array" ref="S36">_xlfn.XLOOKUP(TRUE, EXACT(Table27[[#This Row],[X2]], Table27[orig]), Table27[X])</f>
        <v>A</v>
      </c>
      <c r="T36" t="str">
        <f>Table29[[#This Row],[Y]]</f>
        <v>O</v>
      </c>
      <c r="U36" t="str" cm="1">
        <f t="array" ref="U36">_xlfn.XLOOKUP(TRUE, EXACT(Table27[[#This Row],[Y]], Table27[orig]), Table27[Y])</f>
        <v>K</v>
      </c>
      <c r="V36" t="str" cm="1">
        <f t="array" ref="V36">_xlfn.XLOOKUP(TRUE, EXACT(Table27[[#This Row],[Y2]], Table27[orig]), Table27[Y])</f>
        <v>G</v>
      </c>
      <c r="W36" t="str">
        <f>Table29[[#This Row],[Z]]</f>
        <v>R</v>
      </c>
      <c r="X36" t="str" cm="1">
        <f t="array" ref="X36">_xlfn.XLOOKUP(TRUE, EXACT(Table27[[#This Row],[Z]], Table27[orig]), Table27[Z])</f>
        <v>Q</v>
      </c>
      <c r="Y36" t="str" cm="1">
        <f t="array" ref="Y36">_xlfn.XLOOKUP(TRUE, EXACT(Table27[[#This Row],[Z2]], Table27[orig]), Table27[Z])</f>
        <v>T</v>
      </c>
      <c r="Z36" t="str">
        <f>Table29[[#This Row],[R]]</f>
        <v>S</v>
      </c>
      <c r="AA36" t="str" cm="1">
        <f t="array" ref="AA36">_xlfn.XLOOKUP(TRUE, EXACT(Table27[[#This Row],[R]], Table27[orig]), Table27[R])</f>
        <v>S</v>
      </c>
      <c r="AB36" t="str" cm="1">
        <f t="array" ref="AB36">_xlfn.XLOOKUP(TRUE, EXACT(Table27[[#This Row],[R2]], Table27[orig]), Table27[R])</f>
        <v>S</v>
      </c>
      <c r="AC36" t="str" cm="1">
        <f t="array" ref="AC36">_xlfn.XLOOKUP(TRUE, EXACT(_xlfn.XLOOKUP(TRUE, EXACT(Table27[[#This Row],[Y2]], Table27[orig]), Table27[R]), Table27[orig]), Table27[Y2])</f>
        <v>A</v>
      </c>
      <c r="AD36" t="str" cm="1">
        <f t="array" ref="AD36">_xlfn.XLOOKUP(TRUE, EXACT(Table27[[#This Row],[L]], Table27[orig]), Table27[L])</f>
        <v>I</v>
      </c>
      <c r="AE36" t="str" cm="1">
        <f t="array" ref="AE36">_xlfn.XLOOKUP(TRUE, EXACT(Table27[[#This Row],[L2]], Table27[orig]), Table27[L])</f>
        <v>U</v>
      </c>
      <c r="AF36" t="str" cm="1">
        <f t="array" ref="AF36">_xlfn.XLOOKUP(TRUE, EXACT(Table27[[#This Row],[r-lower]], Table27[orig]), Table27[R''])</f>
        <v>S</v>
      </c>
      <c r="AG36" t="str" cm="1">
        <f t="array" ref="AG36">_xlfn.XLOOKUP(TRUE, EXACT(Table27[[#This Row],[T]], Table27[orig]), Table27[T])</f>
        <v>S</v>
      </c>
      <c r="AH36" t="str" cm="1">
        <f t="array" ref="AH36">_xlfn.XLOOKUP(TRUE, EXACT(Table27[[#This Row],[T2]], Table27[orig]), Table27[T])</f>
        <v>S</v>
      </c>
      <c r="AI36" t="str" cm="1">
        <f t="array" ref="AI36">_xlfn.XLOOKUP(TRUE, EXACT(Table27[[#This Row],[X]], Table27[orig]), Table27[L])</f>
        <v>S</v>
      </c>
      <c r="AJ36" t="str" cm="1">
        <f t="array" ref="AJ36">_xlfn.XLOOKUP(TRUE, EXACT(Table27[[#This Row],[r-lower]], Table27[orig]), Table27[r-lower])</f>
        <v>S</v>
      </c>
      <c r="AK36" t="str" cm="1">
        <f t="array" ref="AK36">_xlfn.XLOOKUP(TRUE, EXACT(Table27[[#This Row],[r2-lower]], Table27[orig]), Table27[r-lower])</f>
        <v>S</v>
      </c>
      <c r="AL36" t="str" cm="1">
        <f t="array" ref="AL36">_xlfn.XLOOKUP(TRUE, EXACT(Table27[[#This Row],[X'']], Table27[orig]), Table27[R])</f>
        <v>A</v>
      </c>
      <c r="AM36" t="str" cm="1">
        <f t="array" ref="AM36">_xlfn.XLOOKUP(TRUE, EXACT(Table27[[#This Row],[l-lower]], Table27[orig]), Table27[l-lower])</f>
        <v>I</v>
      </c>
      <c r="AN36" t="str" cm="1">
        <f t="array" ref="AN36">_xlfn.XLOOKUP(TRUE, EXACT(Table27[[#This Row],[l2-lower]], Table27[orig]), Table27[l-lower])</f>
        <v>U</v>
      </c>
      <c r="AO36" t="str" cm="1">
        <f t="array" ref="AO36">_xlfn.XLOOKUP(TRUE, EXACT(Table27[[#This Row],[R]], Table27[orig]), Table27[L''])</f>
        <v>U</v>
      </c>
      <c r="AP36" t="str" cm="1">
        <f t="array" ref="AP36">_xlfn.XLOOKUP(TRUE, EXACT(Table27[[#This Row],[RL'']], Table27[orig]), Table27[RL''])</f>
        <v>I</v>
      </c>
      <c r="AQ36" t="str" cm="1">
        <f t="array" ref="AQ36">_xlfn.XLOOKUP(TRUE, EXACT(Table27[[#This Row],[R2L2]], Table27[orig]), Table27[RL''])</f>
        <v>A</v>
      </c>
      <c r="AR36" t="str">
        <f>Table29[[#This Row],[U]]</f>
        <v>S</v>
      </c>
      <c r="AS36" t="str" cm="1">
        <f t="array" ref="AS36">_xlfn.XLOOKUP(TRUE, EXACT(Table27[[#This Row],[U]], Table27[orig]), Table27[U])</f>
        <v>S</v>
      </c>
      <c r="AT36" t="str" cm="1">
        <f t="array" ref="AT36">_xlfn.XLOOKUP(TRUE, EXACT(Table27[[#This Row],[U2]], Table27[orig]), Table27[U])</f>
        <v>S</v>
      </c>
      <c r="AU36" t="str" cm="1">
        <f t="array" ref="AU36">_xlfn.XLOOKUP(TRUE, EXACT(_xlfn.XLOOKUP(TRUE, EXACT(Table27[[#This Row],[Z2]], Table27[orig]), Table27[U]), Table27[orig]), Table27[Z2])</f>
        <v>G</v>
      </c>
      <c r="AV36" t="str" cm="1">
        <f t="array" ref="AV36">_xlfn.XLOOKUP(TRUE, EXACT(Table27[[#This Row],[D]], Table27[orig]), Table27[D])</f>
        <v>K</v>
      </c>
      <c r="AW36" t="str" cm="1">
        <f t="array" ref="AW36">_xlfn.XLOOKUP(TRUE, EXACT(Table27[[#This Row],[D2]], Table27[orig]), Table27[D])</f>
        <v>O</v>
      </c>
      <c r="AX36" t="str" cm="1">
        <f t="array" ref="AX36">_xlfn.XLOOKUP(TRUE, EXACT(Table27[[#This Row],[u-lower]], Table27[orig]), Table27[U''])</f>
        <v>S</v>
      </c>
      <c r="AY36" t="str" cm="1">
        <f t="array" ref="AY36">_xlfn.XLOOKUP(TRUE, EXACT(Table27[[#This Row],[H]], Table27[orig]), Table27[H])</f>
        <v>S</v>
      </c>
      <c r="AZ36" t="str" cm="1">
        <f t="array" ref="AZ36">_xlfn.XLOOKUP(TRUE, EXACT(Table27[[#This Row],[H2]], Table27[orig]), Table27[H])</f>
        <v>S</v>
      </c>
      <c r="BA36" t="str" cm="1">
        <f t="array" ref="BA36">_xlfn.XLOOKUP(TRUE, EXACT(Table27[[#This Row],[Y]], Table27[orig]), Table27[D])</f>
        <v>S</v>
      </c>
      <c r="BB36" t="str" cm="1">
        <f t="array" ref="BB36">_xlfn.XLOOKUP(TRUE, EXACT(Table27[[#This Row],[u-lower]], Table27[orig]), Table27[u-lower])</f>
        <v>S</v>
      </c>
      <c r="BC36" t="str" cm="1">
        <f t="array" ref="BC36">_xlfn.XLOOKUP(TRUE, EXACT(Table27[[#This Row],[u2-lower]], Table27[orig]), Table27[u-lower])</f>
        <v>S</v>
      </c>
      <c r="BD36" t="str" cm="1">
        <f t="array" ref="BD36">_xlfn.XLOOKUP(TRUE, EXACT(Table27[[#This Row],[Y'']], Table27[orig]), Table27[U])</f>
        <v>G</v>
      </c>
      <c r="BE36" t="str" cm="1">
        <f t="array" ref="BE36">_xlfn.XLOOKUP(TRUE, EXACT(Table27[[#This Row],[d-lower]], Table27[orig]), Table27[d-lower])</f>
        <v>K</v>
      </c>
      <c r="BF36" t="str" cm="1">
        <f t="array" ref="BF36">_xlfn.XLOOKUP(TRUE, EXACT(Table27[[#This Row],[d2-lower]], Table27[orig]), Table27[d-lower])</f>
        <v>O</v>
      </c>
      <c r="BG36" t="str" cm="1">
        <f t="array" ref="BG36">_xlfn.XLOOKUP(TRUE, EXACT(Table27[[#This Row],[U]], Table27[orig]), Table27[D''])</f>
        <v>O</v>
      </c>
      <c r="BH36" t="str" cm="1">
        <f t="array" ref="BH36">_xlfn.XLOOKUP(TRUE, EXACT(Table27[[#This Row],[UD'']], Table27[orig]), Table27[UD''])</f>
        <v>K</v>
      </c>
      <c r="BI36" t="str" cm="1">
        <f t="array" ref="BI36">_xlfn.XLOOKUP(TRUE, EXACT(Table27[[#This Row],[U2D2]], Table27[orig]), Table27[UD''])</f>
        <v>G</v>
      </c>
      <c r="BJ36" t="str">
        <f>Table29[[#This Row],[F]]</f>
        <v>S</v>
      </c>
      <c r="BK36" t="str" cm="1">
        <f t="array" ref="BK36">_xlfn.XLOOKUP(TRUE, EXACT(Table27[[#This Row],[F]], Table27[orig]), Table27[F])</f>
        <v>S</v>
      </c>
      <c r="BL36" t="str" cm="1">
        <f t="array" ref="BL36">_xlfn.XLOOKUP(TRUE, EXACT(Table27[[#This Row],[F2]], Table27[orig]), Table27[F])</f>
        <v>S</v>
      </c>
      <c r="BM36" t="str" cm="1">
        <f t="array" ref="BM36">_xlfn.XLOOKUP(TRUE, EXACT(_xlfn.XLOOKUP(TRUE, EXACT(Table27[[#This Row],[X2]], Table27[orig]), Table27[F]), Table27[orig]), Table27[X2])</f>
        <v>T</v>
      </c>
      <c r="BN36" t="str" cm="1">
        <f t="array" ref="BN36">_xlfn.XLOOKUP(TRUE, EXACT(Table27[[#This Row],[B]], Table27[orig]), Table27[B])</f>
        <v>Q</v>
      </c>
      <c r="BO36" t="str" cm="1">
        <f t="array" ref="BO36">_xlfn.XLOOKUP(TRUE, EXACT(Table27[[#This Row],[B2]], Table27[orig]), Table27[B])</f>
        <v>R</v>
      </c>
      <c r="BP36" t="str" cm="1">
        <f t="array" ref="BP36">_xlfn.XLOOKUP(TRUE, EXACT(Table27[[#This Row],[f-lower]], Table27[orig]), Table27[F''])</f>
        <v>S</v>
      </c>
      <c r="BQ36" t="str" cm="1">
        <f t="array" ref="BQ36">_xlfn.XLOOKUP(TRUE, EXACT(Table27[[#This Row],[S]], Table27[orig]), Table27[S])</f>
        <v>S</v>
      </c>
      <c r="BR36" t="str" cm="1">
        <f t="array" ref="BR36">_xlfn.XLOOKUP(TRUE, EXACT(Table27[[#This Row],[S2]], Table27[orig]), Table27[S])</f>
        <v>S</v>
      </c>
      <c r="BS36" t="str" cm="1">
        <f t="array" ref="BS36">_xlfn.XLOOKUP(TRUE, EXACT(Table27[[#This Row],[Z]], Table27[orig]), Table27[B])</f>
        <v>S</v>
      </c>
      <c r="BT36" t="str" cm="1">
        <f t="array" ref="BT36">_xlfn.XLOOKUP(TRUE, EXACT(Table27[[#This Row],[f-lower]], Table27[orig]), Table27[f-lower])</f>
        <v>S</v>
      </c>
      <c r="BU36" t="str" cm="1">
        <f t="array" ref="BU36">_xlfn.XLOOKUP(TRUE, EXACT(Table27[[#This Row],[f2-lower]], Table27[orig]), Table27[f-lower])</f>
        <v>S</v>
      </c>
      <c r="BV36" t="str" cm="1">
        <f t="array" ref="BV36">_xlfn.XLOOKUP(TRUE, EXACT(Table27[[#This Row],[Z'']], Table27[orig]), Table27[F])</f>
        <v>T</v>
      </c>
      <c r="BW36" t="str" cm="1">
        <f t="array" ref="BW36">_xlfn.XLOOKUP(TRUE, EXACT(Table27[[#This Row],[b-lower]], Table27[orig]), Table27[b-lower])</f>
        <v>Q</v>
      </c>
      <c r="BX36" t="str" cm="1">
        <f t="array" ref="BX36">_xlfn.XLOOKUP(TRUE, EXACT(Table27[[#This Row],[b2-lower]], Table27[orig]), Table27[b-lower])</f>
        <v>R</v>
      </c>
      <c r="BY36" t="str" cm="1">
        <f t="array" ref="BY36">_xlfn.XLOOKUP(TRUE, EXACT(Table27[[#This Row],[F]], Table27[orig]), Table27[B''])</f>
        <v>R</v>
      </c>
      <c r="BZ36" t="str" cm="1">
        <f t="array" ref="BZ36">_xlfn.XLOOKUP(TRUE, EXACT(Table27[[#This Row],[FB'']], Table27[orig]), Table27[FB''])</f>
        <v>Q</v>
      </c>
      <c r="CA36" t="str" cm="1">
        <f t="array" ref="CA36">_xlfn.XLOOKUP(TRUE, EXACT(Table27[[#This Row],[F2B2]], Table27[orig]), Table27[FB''])</f>
        <v>T</v>
      </c>
      <c r="CD36" t="s">
        <v>51</v>
      </c>
      <c r="CE36" t="str">
        <f>Table28[[#This Row],[orig]]</f>
        <v>S</v>
      </c>
      <c r="CF36" t="str">
        <f>Table29[[#This Row],[X]]</f>
        <v>U</v>
      </c>
      <c r="CG36" t="str" cm="1">
        <f t="array" ref="CG36">_xlfn.XLOOKUP(TRUE, EXACT(Table28[[#This Row],[X]], Table28[orig]), Table28[X])</f>
        <v>I</v>
      </c>
      <c r="CH36" t="str" cm="1">
        <f t="array" ref="CH36">_xlfn.XLOOKUP(TRUE, EXACT(Table28[[#This Row],[X2]], Table28[orig]), Table28[X])</f>
        <v>A</v>
      </c>
      <c r="CI36" t="str">
        <f>Table29[[#This Row],[Y]]</f>
        <v>O</v>
      </c>
      <c r="CJ36" t="str" cm="1">
        <f t="array" ref="CJ36">_xlfn.XLOOKUP(TRUE, EXACT(Table28[[#This Row],[Y]], Table28[orig]), Table28[Y])</f>
        <v>K</v>
      </c>
      <c r="CK36" t="str" cm="1">
        <f t="array" ref="CK36">_xlfn.XLOOKUP(TRUE, EXACT(Table28[[#This Row],[Y2]], Table28[orig]), Table28[Y])</f>
        <v>G</v>
      </c>
      <c r="CL36" t="str">
        <f>Table29[[#This Row],[Z]]</f>
        <v>R</v>
      </c>
      <c r="CM36" t="str" cm="1">
        <f t="array" ref="CM36">_xlfn.XLOOKUP(TRUE, EXACT(Table28[[#This Row],[Z]], Table28[orig]), Table28[Z])</f>
        <v>Q</v>
      </c>
      <c r="CN36" t="str" cm="1">
        <f t="array" ref="CN36">_xlfn.XLOOKUP(TRUE, EXACT(Table28[[#This Row],[Z2]], Table28[orig]), Table28[Z])</f>
        <v>T</v>
      </c>
      <c r="CO36" t="str" cm="1">
        <f t="array" ref="CO36">_xlfn.XLOOKUP(TRUE, EXACT(Table28[[#This Row],[Z]], Table28[orig]), Table28[X])</f>
        <v>X</v>
      </c>
      <c r="CP36" t="str" cm="1">
        <f t="array" ref="CP36">_xlfn.XLOOKUP(TRUE, EXACT(Table28[[#This Row],[Y'']], Table28[orig]), Table28[X''])</f>
        <v>H</v>
      </c>
      <c r="CQ36" t="str" cm="1">
        <f t="array" ref="CQ36">_xlfn.XLOOKUP(TRUE, EXACT(Table28[[#This Row],[Y]], Table28[orig]), Table28[X''])</f>
        <v>N</v>
      </c>
      <c r="CR36" t="str" cm="1">
        <f t="array" ref="CR36">_xlfn.XLOOKUP(TRUE, EXACT(Table28[[#This Row],[Z'']], Table28[orig]), Table28[X])</f>
        <v>V</v>
      </c>
      <c r="CS36" t="str" cm="1">
        <f t="array" ref="CS36">_xlfn.XLOOKUP(TRUE, EXACT(Table28[[#This Row],[Z'']], Table28[orig]), Table28[X''])</f>
        <v>B</v>
      </c>
      <c r="CT36" t="str" cm="1">
        <f t="array" ref="CT36">_xlfn.XLOOKUP(TRUE, EXACT(Table28[[#This Row],[Y'']], Table28[orig]), Table28[X])</f>
        <v>F</v>
      </c>
      <c r="CU36" t="str" cm="1">
        <f t="array" ref="CU36">_xlfn.XLOOKUP(TRUE, EXACT(Table28[[#This Row],[Y]], Table28[orig]), Table28[X])</f>
        <v>P</v>
      </c>
      <c r="CV36" t="str" cm="1">
        <f t="array" ref="CV36">_xlfn.XLOOKUP(TRUE, EXACT(Table28[[#This Row],[Z]], Table28[orig]), Table28[X''])</f>
        <v>D</v>
      </c>
      <c r="CW36" t="str" cm="1">
        <f t="array" ref="CW36">_xlfn.XLOOKUP(TRUE, EXACT(Table28[[#This Row],[Y'']], Table28[orig]), Table28[X2])</f>
        <v>E</v>
      </c>
      <c r="CX36" t="str" cm="1">
        <f t="array" ref="CX36">_xlfn.XLOOKUP(TRUE, EXACT(Table28[[#This Row],[Y]], Table28[orig]), Table28[X2])</f>
        <v>M</v>
      </c>
      <c r="CY36" t="str" cm="1">
        <f t="array" ref="CY36">_xlfn.XLOOKUP(TRUE, EXACT(Table28[[#This Row],[Z]], Table28[orig]), Table28[X2])</f>
        <v>L</v>
      </c>
      <c r="CZ36" t="str" cm="1">
        <f t="array" ref="CZ36">_xlfn.XLOOKUP(TRUE, EXACT(Table28[[#This Row],[Z'']], Table28[orig]), Table28[X2])</f>
        <v>J</v>
      </c>
      <c r="DA36" t="str" cm="1">
        <f t="array" ref="DA36">_xlfn.XLOOKUP(TRUE, EXACT(Table28[[#This Row],[Z2]], Table28[orig]), Table28[X])</f>
        <v>W</v>
      </c>
      <c r="DB36" t="str" cm="1">
        <f t="array" ref="DB36">_xlfn.XLOOKUP(TRUE, EXACT(Table28[[#This Row],[Z2]], Table28[orig]), Table28[X''])</f>
        <v>C</v>
      </c>
      <c r="DE36" s="6" t="s">
        <v>51</v>
      </c>
      <c r="DF36" s="6" t="str" cm="1">
        <f t="array" ref="DF36">_xlfn.XLOOKUP(TRUE, EXACT(Table28[[#This Row],[I]], Table29[orig]), Table29[T-reflection])</f>
        <v>T</v>
      </c>
      <c r="DG36" s="6" t="str" cm="1">
        <f t="array" ref="DG36">_xlfn.XLOOKUP(TRUE, EXACT(Table28[[#This Row],[X]], Table29[orig]), Table29[T-reflection])</f>
        <v>V</v>
      </c>
      <c r="DH36" t="str" cm="1">
        <f t="array" ref="DH36">_xlfn.XLOOKUP(TRUE, EXACT(Table28[[#This Row],[X2]], Table29[orig]), Table29[T-reflection])</f>
        <v>J</v>
      </c>
      <c r="DI36" t="str" cm="1">
        <f t="array" ref="DI36">_xlfn.XLOOKUP(TRUE, EXACT(Table28[[#This Row],[X'']], Table29[orig]), Table29[T-reflection])</f>
        <v>B</v>
      </c>
      <c r="DJ36" s="6" t="str" cm="1">
        <f t="array" ref="DJ36">_xlfn.XLOOKUP(TRUE, EXACT(Table28[[#This Row],[Y]], Table29[orig]), Table29[T-reflection])</f>
        <v>H</v>
      </c>
      <c r="DK36" t="str" cm="1">
        <f t="array" ref="DK36">_xlfn.XLOOKUP(TRUE, EXACT(Table28[[#This Row],[Y2]], Table29[orig]), Table29[T-reflection])</f>
        <v>L</v>
      </c>
      <c r="DL36" t="str" cm="1">
        <f t="array" ref="DL36">_xlfn.XLOOKUP(TRUE, EXACT(Table28[[#This Row],[Y'']], Table29[orig]), Table29[T-reflection])</f>
        <v>P</v>
      </c>
      <c r="DM36" s="6" t="str" cm="1">
        <f t="array" ref="DM36">_xlfn.XLOOKUP(TRUE, EXACT(Table28[[#This Row],[Z]], Table29[orig]), Table29[T-reflection])</f>
        <v>Q</v>
      </c>
      <c r="DN36" t="str" cm="1">
        <f t="array" ref="DN36">_xlfn.XLOOKUP(TRUE, EXACT(Table28[[#This Row],[Z2]], Table29[orig]), Table29[T-reflection])</f>
        <v>R</v>
      </c>
      <c r="DO36" t="str" cm="1">
        <f t="array" ref="DO36">_xlfn.XLOOKUP(TRUE, EXACT(Table28[[#This Row],[Z'']], Table29[orig]), Table29[T-reflection])</f>
        <v>S</v>
      </c>
      <c r="DP36" t="str" cm="1">
        <f t="array" ref="DP36">_xlfn.XLOOKUP(TRUE, EXACT(Table28[[#This Row],[Z X]], Table29[orig]), Table29[T-reflection])</f>
        <v>W</v>
      </c>
      <c r="DQ36" t="str" cm="1">
        <f t="array" ref="DQ36">_xlfn.XLOOKUP(TRUE, EXACT(Table28[[#This Row],[Y'' X'']], Table29[orig]), Table29[T-reflection])</f>
        <v>O</v>
      </c>
      <c r="DR36" t="str" cm="1">
        <f t="array" ref="DR36">_xlfn.XLOOKUP(TRUE, EXACT(Table28[[#This Row],[Y X'']], Table29[orig]), Table29[T-reflection])</f>
        <v>E</v>
      </c>
      <c r="DS36" t="str" cm="1">
        <f t="array" ref="DS36">_xlfn.XLOOKUP(TRUE, EXACT(Table28[[#This Row],[Z'' X]], Table29[orig]), Table29[T-reflection])</f>
        <v>U</v>
      </c>
      <c r="DT36" t="str" cm="1">
        <f t="array" ref="DT36">_xlfn.XLOOKUP(TRUE, EXACT(Table28[[#This Row],[Z'' X'']], Table29[orig]), Table29[T-reflection])</f>
        <v>A</v>
      </c>
      <c r="DU36" t="str" cm="1">
        <f t="array" ref="DU36">_xlfn.XLOOKUP(TRUE, EXACT(Table28[[#This Row],[Y'' X]], Table29[orig]), Table29[T-reflection])</f>
        <v>M</v>
      </c>
      <c r="DV36" t="str" cm="1">
        <f t="array" ref="DV36">_xlfn.XLOOKUP(TRUE, EXACT(Table28[[#This Row],[Y X]], Table29[orig]), Table29[T-reflection])</f>
        <v>G</v>
      </c>
      <c r="DW36" t="str" cm="1">
        <f t="array" ref="DW36">_xlfn.XLOOKUP(TRUE, EXACT(Table28[[#This Row],[Z X'']], Table29[orig]), Table29[T-reflection])</f>
        <v>C</v>
      </c>
      <c r="DX36" t="str" cm="1">
        <f t="array" ref="DX36">_xlfn.XLOOKUP(TRUE, EXACT(Table28[[#This Row],[Y'' X2]], Table29[orig]), Table29[T-reflection])</f>
        <v>N</v>
      </c>
      <c r="DY36" t="str" cm="1">
        <f t="array" ref="DY36">_xlfn.XLOOKUP(TRUE, EXACT(Table28[[#This Row],[Y X2]], Table29[orig]), Table29[T-reflection])</f>
        <v>F</v>
      </c>
      <c r="DZ36" t="str" cm="1">
        <f t="array" ref="DZ36">_xlfn.XLOOKUP(TRUE, EXACT(Table28[[#This Row],[Z X2]], Table29[orig]), Table29[T-reflection])</f>
        <v>K</v>
      </c>
      <c r="EA36" t="str" cm="1">
        <f t="array" ref="EA36">_xlfn.XLOOKUP(TRUE, EXACT(Table28[[#This Row],[Z'' X2]], Table29[orig]), Table29[T-reflection])</f>
        <v>I</v>
      </c>
      <c r="EB36" t="str" cm="1">
        <f t="array" ref="EB36">_xlfn.XLOOKUP(TRUE, EXACT(Table28[[#This Row],[Z2 X]], Table29[orig]), Table29[T-reflection])</f>
        <v>X</v>
      </c>
      <c r="EC36" t="str" cm="1">
        <f t="array" ref="EC36">_xlfn.XLOOKUP(TRUE, EXACT(Table28[[#This Row],[Z2 X'']], Table29[orig]), Table29[T-reflection])</f>
        <v>D</v>
      </c>
    </row>
    <row r="37" spans="1:164" s="5" customFormat="1" ht="16" thickBot="1" x14ac:dyDescent="0.25">
      <c r="A37"/>
      <c r="B37" s="5" t="s">
        <v>48</v>
      </c>
      <c r="C37" s="5" t="s">
        <v>48</v>
      </c>
      <c r="D37" s="5" t="s">
        <v>81</v>
      </c>
      <c r="E37" s="5" t="s">
        <v>77</v>
      </c>
      <c r="F37" s="5" t="s">
        <v>51</v>
      </c>
      <c r="G37" s="5" t="s">
        <v>51</v>
      </c>
      <c r="H37" s="5" t="s">
        <v>79</v>
      </c>
      <c r="I37" s="5" t="s">
        <v>69</v>
      </c>
      <c r="J37" s="5" t="s">
        <v>81</v>
      </c>
      <c r="K37" s="5" t="s">
        <v>48</v>
      </c>
      <c r="L37" s="5" t="s">
        <v>48</v>
      </c>
      <c r="M37"/>
      <c r="N37"/>
      <c r="O37" s="5" t="s">
        <v>48</v>
      </c>
      <c r="P37" s="5" t="str">
        <f>Table27[[#This Row],[orig]]</f>
        <v>T</v>
      </c>
      <c r="Q37" s="5" t="str">
        <f>Table29[[#This Row],[X]]</f>
        <v>V</v>
      </c>
      <c r="R37" s="5" t="str" cm="1">
        <f t="array" ref="R37">_xlfn.XLOOKUP(TRUE, EXACT(Table27[[#This Row],[X]], Table27[orig]), Table27[X])</f>
        <v>J</v>
      </c>
      <c r="S37" s="5" t="str" cm="1">
        <f t="array" ref="S37">_xlfn.XLOOKUP(TRUE, EXACT(Table27[[#This Row],[X2]], Table27[orig]), Table27[X])</f>
        <v>B</v>
      </c>
      <c r="T37" s="5" t="str">
        <f>Table29[[#This Row],[Y]]</f>
        <v>P</v>
      </c>
      <c r="U37" s="5" t="str" cm="1">
        <f t="array" ref="U37">_xlfn.XLOOKUP(TRUE, EXACT(Table27[[#This Row],[Y]], Table27[orig]), Table27[Y])</f>
        <v>L</v>
      </c>
      <c r="V37" s="5" t="str" cm="1">
        <f t="array" ref="V37">_xlfn.XLOOKUP(TRUE, EXACT(Table27[[#This Row],[Y2]], Table27[orig]), Table27[Y])</f>
        <v>H</v>
      </c>
      <c r="W37" s="5" t="str">
        <f>Table29[[#This Row],[Z]]</f>
        <v>S</v>
      </c>
      <c r="X37" s="5" t="str" cm="1">
        <f t="array" ref="X37">_xlfn.XLOOKUP(TRUE, EXACT(Table27[[#This Row],[Z]], Table27[orig]), Table27[Z])</f>
        <v>R</v>
      </c>
      <c r="Y37" s="5" t="str" cm="1">
        <f t="array" ref="Y37">_xlfn.XLOOKUP(TRUE, EXACT(Table27[[#This Row],[Z2]], Table27[orig]), Table27[Z])</f>
        <v>Q</v>
      </c>
      <c r="Z37" s="5" t="str">
        <f>Table29[[#This Row],[R]]</f>
        <v>V</v>
      </c>
      <c r="AA37" s="5" t="str" cm="1">
        <f t="array" ref="AA37">_xlfn.XLOOKUP(TRUE, EXACT(Table27[[#This Row],[R]], Table27[orig]), Table27[R])</f>
        <v>J</v>
      </c>
      <c r="AB37" s="5" t="str" cm="1">
        <f t="array" ref="AB37">_xlfn.XLOOKUP(TRUE, EXACT(Table27[[#This Row],[R2]], Table27[orig]), Table27[R])</f>
        <v>B</v>
      </c>
      <c r="AC37" s="5" t="str" cm="1">
        <f t="array" ref="AC37">_xlfn.XLOOKUP(TRUE, EXACT(_xlfn.XLOOKUP(TRUE, EXACT(Table27[[#This Row],[Y2]], Table27[orig]), Table27[R]), Table27[orig]), Table27[Y2])</f>
        <v>T</v>
      </c>
      <c r="AD37" s="5" t="str" cm="1">
        <f t="array" ref="AD37">_xlfn.XLOOKUP(TRUE, EXACT(Table27[[#This Row],[L]], Table27[orig]), Table27[L])</f>
        <v>T</v>
      </c>
      <c r="AE37" s="5" t="str" cm="1">
        <f t="array" ref="AE37">_xlfn.XLOOKUP(TRUE, EXACT(Table27[[#This Row],[L2]], Table27[orig]), Table27[L])</f>
        <v>T</v>
      </c>
      <c r="AF37" s="5" t="str" cm="1">
        <f t="array" ref="AF37">_xlfn.XLOOKUP(TRUE, EXACT(Table27[[#This Row],[r-lower]], Table27[orig]), Table27[R''])</f>
        <v>T</v>
      </c>
      <c r="AG37" s="5" t="str" cm="1">
        <f t="array" ref="AG37">_xlfn.XLOOKUP(TRUE, EXACT(Table27[[#This Row],[T]], Table27[orig]), Table27[T])</f>
        <v>T</v>
      </c>
      <c r="AH37" s="5" t="str" cm="1">
        <f t="array" ref="AH37">_xlfn.XLOOKUP(TRUE, EXACT(Table27[[#This Row],[T2]], Table27[orig]), Table27[T])</f>
        <v>T</v>
      </c>
      <c r="AI37" s="5" t="str" cm="1">
        <f t="array" ref="AI37">_xlfn.XLOOKUP(TRUE, EXACT(Table27[[#This Row],[X]], Table27[orig]), Table27[L])</f>
        <v>V</v>
      </c>
      <c r="AJ37" s="5" t="str" cm="1">
        <f t="array" ref="AJ37">_xlfn.XLOOKUP(TRUE, EXACT(Table27[[#This Row],[r-lower]], Table27[orig]), Table27[r-lower])</f>
        <v>J</v>
      </c>
      <c r="AK37" s="5" t="str" cm="1">
        <f t="array" ref="AK37">_xlfn.XLOOKUP(TRUE, EXACT(Table27[[#This Row],[r2-lower]], Table27[orig]), Table27[r-lower])</f>
        <v>B</v>
      </c>
      <c r="AL37" s="5" t="str" cm="1">
        <f t="array" ref="AL37">_xlfn.XLOOKUP(TRUE, EXACT(Table27[[#This Row],[X'']], Table27[orig]), Table27[R])</f>
        <v>T</v>
      </c>
      <c r="AM37" s="5" t="str" cm="1">
        <f t="array" ref="AM37">_xlfn.XLOOKUP(TRUE, EXACT(Table27[[#This Row],[l-lower]], Table27[orig]), Table27[l-lower])</f>
        <v>T</v>
      </c>
      <c r="AN37" s="5" t="str" cm="1">
        <f t="array" ref="AN37">_xlfn.XLOOKUP(TRUE, EXACT(Table27[[#This Row],[l2-lower]], Table27[orig]), Table27[l-lower])</f>
        <v>T</v>
      </c>
      <c r="AO37" s="5" t="str" cm="1">
        <f t="array" ref="AO37">_xlfn.XLOOKUP(TRUE, EXACT(Table27[[#This Row],[R]], Table27[orig]), Table27[L''])</f>
        <v>V</v>
      </c>
      <c r="AP37" s="5" t="str" cm="1">
        <f t="array" ref="AP37">_xlfn.XLOOKUP(TRUE, EXACT(Table27[[#This Row],[RL'']], Table27[orig]), Table27[RL''])</f>
        <v>J</v>
      </c>
      <c r="AQ37" s="5" t="str" cm="1">
        <f t="array" ref="AQ37">_xlfn.XLOOKUP(TRUE, EXACT(Table27[[#This Row],[R2L2]], Table27[orig]), Table27[RL''])</f>
        <v>B</v>
      </c>
      <c r="AR37" s="5" t="str">
        <f>Table29[[#This Row],[U]]</f>
        <v>T</v>
      </c>
      <c r="AS37" s="5" t="str" cm="1">
        <f t="array" ref="AS37">_xlfn.XLOOKUP(TRUE, EXACT(Table27[[#This Row],[U]], Table27[orig]), Table27[U])</f>
        <v>T</v>
      </c>
      <c r="AT37" s="5" t="str" cm="1">
        <f t="array" ref="AT37">_xlfn.XLOOKUP(TRUE, EXACT(Table27[[#This Row],[U2]], Table27[orig]), Table27[U])</f>
        <v>T</v>
      </c>
      <c r="AU37" s="5" t="str" cm="1">
        <f t="array" ref="AU37">_xlfn.XLOOKUP(TRUE, EXACT(_xlfn.XLOOKUP(TRUE, EXACT(Table27[[#This Row],[Z2]], Table27[orig]), Table27[U]), Table27[orig]), Table27[Z2])</f>
        <v>H</v>
      </c>
      <c r="AV37" s="5" t="str" cm="1">
        <f t="array" ref="AV37">_xlfn.XLOOKUP(TRUE, EXACT(Table27[[#This Row],[D]], Table27[orig]), Table27[D])</f>
        <v>L</v>
      </c>
      <c r="AW37" s="5" t="str" cm="1">
        <f t="array" ref="AW37">_xlfn.XLOOKUP(TRUE, EXACT(Table27[[#This Row],[D2]], Table27[orig]), Table27[D])</f>
        <v>P</v>
      </c>
      <c r="AX37" s="5" t="str" cm="1">
        <f t="array" ref="AX37">_xlfn.XLOOKUP(TRUE, EXACT(Table27[[#This Row],[u-lower]], Table27[orig]), Table27[U''])</f>
        <v>T</v>
      </c>
      <c r="AY37" s="5" t="str" cm="1">
        <f t="array" ref="AY37">_xlfn.XLOOKUP(TRUE, EXACT(Table27[[#This Row],[H]], Table27[orig]), Table27[H])</f>
        <v>T</v>
      </c>
      <c r="AZ37" s="5" t="str" cm="1">
        <f t="array" ref="AZ37">_xlfn.XLOOKUP(TRUE, EXACT(Table27[[#This Row],[H2]], Table27[orig]), Table27[H])</f>
        <v>T</v>
      </c>
      <c r="BA37" s="5" t="str" cm="1">
        <f t="array" ref="BA37">_xlfn.XLOOKUP(TRUE, EXACT(Table27[[#This Row],[Y]], Table27[orig]), Table27[D])</f>
        <v>T</v>
      </c>
      <c r="BB37" s="5" t="str" cm="1">
        <f t="array" ref="BB37">_xlfn.XLOOKUP(TRUE, EXACT(Table27[[#This Row],[u-lower]], Table27[orig]), Table27[u-lower])</f>
        <v>T</v>
      </c>
      <c r="BC37" s="5" t="str" cm="1">
        <f t="array" ref="BC37">_xlfn.XLOOKUP(TRUE, EXACT(Table27[[#This Row],[u2-lower]], Table27[orig]), Table27[u-lower])</f>
        <v>T</v>
      </c>
      <c r="BD37" s="5" t="str" cm="1">
        <f t="array" ref="BD37">_xlfn.XLOOKUP(TRUE, EXACT(Table27[[#This Row],[Y'']], Table27[orig]), Table27[U])</f>
        <v>H</v>
      </c>
      <c r="BE37" s="5" t="str" cm="1">
        <f t="array" ref="BE37">_xlfn.XLOOKUP(TRUE, EXACT(Table27[[#This Row],[d-lower]], Table27[orig]), Table27[d-lower])</f>
        <v>L</v>
      </c>
      <c r="BF37" s="5" t="str" cm="1">
        <f t="array" ref="BF37">_xlfn.XLOOKUP(TRUE, EXACT(Table27[[#This Row],[d2-lower]], Table27[orig]), Table27[d-lower])</f>
        <v>P</v>
      </c>
      <c r="BG37" s="5" t="str" cm="1">
        <f t="array" ref="BG37">_xlfn.XLOOKUP(TRUE, EXACT(Table27[[#This Row],[U]], Table27[orig]), Table27[D''])</f>
        <v>P</v>
      </c>
      <c r="BH37" s="5" t="str" cm="1">
        <f t="array" ref="BH37">_xlfn.XLOOKUP(TRUE, EXACT(Table27[[#This Row],[UD'']], Table27[orig]), Table27[UD''])</f>
        <v>L</v>
      </c>
      <c r="BI37" s="5" t="str" cm="1">
        <f t="array" ref="BI37">_xlfn.XLOOKUP(TRUE, EXACT(Table27[[#This Row],[U2D2]], Table27[orig]), Table27[UD''])</f>
        <v>H</v>
      </c>
      <c r="BJ37" s="5" t="str">
        <f>Table29[[#This Row],[F]]</f>
        <v>T</v>
      </c>
      <c r="BK37" s="5" t="str" cm="1">
        <f t="array" ref="BK37">_xlfn.XLOOKUP(TRUE, EXACT(Table27[[#This Row],[F]], Table27[orig]), Table27[F])</f>
        <v>T</v>
      </c>
      <c r="BL37" s="5" t="str" cm="1">
        <f t="array" ref="BL37">_xlfn.XLOOKUP(TRUE, EXACT(Table27[[#This Row],[F2]], Table27[orig]), Table27[F])</f>
        <v>T</v>
      </c>
      <c r="BM37" s="5" t="str" cm="1">
        <f t="array" ref="BM37">_xlfn.XLOOKUP(TRUE, EXACT(_xlfn.XLOOKUP(TRUE, EXACT(Table27[[#This Row],[X2]], Table27[orig]), Table27[F]), Table27[orig]), Table27[X2])</f>
        <v>Q</v>
      </c>
      <c r="BN37" s="5" t="str" cm="1">
        <f t="array" ref="BN37">_xlfn.XLOOKUP(TRUE, EXACT(Table27[[#This Row],[B]], Table27[orig]), Table27[B])</f>
        <v>R</v>
      </c>
      <c r="BO37" s="5" t="str" cm="1">
        <f t="array" ref="BO37">_xlfn.XLOOKUP(TRUE, EXACT(Table27[[#This Row],[B2]], Table27[orig]), Table27[B])</f>
        <v>S</v>
      </c>
      <c r="BP37" s="5" t="str" cm="1">
        <f t="array" ref="BP37">_xlfn.XLOOKUP(TRUE, EXACT(Table27[[#This Row],[f-lower]], Table27[orig]), Table27[F''])</f>
        <v>T</v>
      </c>
      <c r="BQ37" s="5" t="str" cm="1">
        <f t="array" ref="BQ37">_xlfn.XLOOKUP(TRUE, EXACT(Table27[[#This Row],[S]], Table27[orig]), Table27[S])</f>
        <v>T</v>
      </c>
      <c r="BR37" s="5" t="str" cm="1">
        <f t="array" ref="BR37">_xlfn.XLOOKUP(TRUE, EXACT(Table27[[#This Row],[S2]], Table27[orig]), Table27[S])</f>
        <v>T</v>
      </c>
      <c r="BS37" s="5" t="str" cm="1">
        <f t="array" ref="BS37">_xlfn.XLOOKUP(TRUE, EXACT(Table27[[#This Row],[Z]], Table27[orig]), Table27[B])</f>
        <v>T</v>
      </c>
      <c r="BT37" s="5" t="str" cm="1">
        <f t="array" ref="BT37">_xlfn.XLOOKUP(TRUE, EXACT(Table27[[#This Row],[f-lower]], Table27[orig]), Table27[f-lower])</f>
        <v>T</v>
      </c>
      <c r="BU37" s="5" t="str" cm="1">
        <f t="array" ref="BU37">_xlfn.XLOOKUP(TRUE, EXACT(Table27[[#This Row],[f2-lower]], Table27[orig]), Table27[f-lower])</f>
        <v>T</v>
      </c>
      <c r="BV37" s="5" t="str" cm="1">
        <f t="array" ref="BV37">_xlfn.XLOOKUP(TRUE, EXACT(Table27[[#This Row],[Z'']], Table27[orig]), Table27[F])</f>
        <v>Q</v>
      </c>
      <c r="BW37" s="5" t="str" cm="1">
        <f t="array" ref="BW37">_xlfn.XLOOKUP(TRUE, EXACT(Table27[[#This Row],[b-lower]], Table27[orig]), Table27[b-lower])</f>
        <v>R</v>
      </c>
      <c r="BX37" s="5" t="str" cm="1">
        <f t="array" ref="BX37">_xlfn.XLOOKUP(TRUE, EXACT(Table27[[#This Row],[b2-lower]], Table27[orig]), Table27[b-lower])</f>
        <v>S</v>
      </c>
      <c r="BY37" s="5" t="str" cm="1">
        <f t="array" ref="BY37">_xlfn.XLOOKUP(TRUE, EXACT(Table27[[#This Row],[F]], Table27[orig]), Table27[B''])</f>
        <v>S</v>
      </c>
      <c r="BZ37" s="5" t="str" cm="1">
        <f t="array" ref="BZ37">_xlfn.XLOOKUP(TRUE, EXACT(Table27[[#This Row],[FB'']], Table27[orig]), Table27[FB''])</f>
        <v>R</v>
      </c>
      <c r="CA37" s="5" t="str" cm="1">
        <f t="array" ref="CA37">_xlfn.XLOOKUP(TRUE, EXACT(Table27[[#This Row],[F2B2]], Table27[orig]), Table27[FB''])</f>
        <v>Q</v>
      </c>
      <c r="CB37"/>
      <c r="CC37"/>
      <c r="CD37" s="5" t="s">
        <v>48</v>
      </c>
      <c r="CE37" s="5" t="str">
        <f>Table28[[#This Row],[orig]]</f>
        <v>T</v>
      </c>
      <c r="CF37" s="5" t="str">
        <f>Table29[[#This Row],[X]]</f>
        <v>V</v>
      </c>
      <c r="CG37" s="5" t="str" cm="1">
        <f t="array" ref="CG37">_xlfn.XLOOKUP(TRUE, EXACT(Table28[[#This Row],[X]], Table28[orig]), Table28[X])</f>
        <v>J</v>
      </c>
      <c r="CH37" s="5" t="str" cm="1">
        <f t="array" ref="CH37">_xlfn.XLOOKUP(TRUE, EXACT(Table28[[#This Row],[X2]], Table28[orig]), Table28[X])</f>
        <v>B</v>
      </c>
      <c r="CI37" s="5" t="str">
        <f>Table29[[#This Row],[Y]]</f>
        <v>P</v>
      </c>
      <c r="CJ37" s="5" t="str" cm="1">
        <f t="array" ref="CJ37">_xlfn.XLOOKUP(TRUE, EXACT(Table28[[#This Row],[Y]], Table28[orig]), Table28[Y])</f>
        <v>L</v>
      </c>
      <c r="CK37" s="5" t="str" cm="1">
        <f t="array" ref="CK37">_xlfn.XLOOKUP(TRUE, EXACT(Table28[[#This Row],[Y2]], Table28[orig]), Table28[Y])</f>
        <v>H</v>
      </c>
      <c r="CL37" s="5" t="str">
        <f>Table29[[#This Row],[Z]]</f>
        <v>S</v>
      </c>
      <c r="CM37" s="5" t="str" cm="1">
        <f t="array" ref="CM37">_xlfn.XLOOKUP(TRUE, EXACT(Table28[[#This Row],[Z]], Table28[orig]), Table28[Z])</f>
        <v>R</v>
      </c>
      <c r="CN37" s="5" t="str" cm="1">
        <f t="array" ref="CN37">_xlfn.XLOOKUP(TRUE, EXACT(Table28[[#This Row],[Z2]], Table28[orig]), Table28[Z])</f>
        <v>Q</v>
      </c>
      <c r="CO37" s="5" t="str" cm="1">
        <f t="array" ref="CO37">_xlfn.XLOOKUP(TRUE, EXACT(Table28[[#This Row],[Z]], Table28[orig]), Table28[X])</f>
        <v>U</v>
      </c>
      <c r="CP37" s="5" t="str" cm="1">
        <f t="array" ref="CP37">_xlfn.XLOOKUP(TRUE, EXACT(Table28[[#This Row],[Y'']], Table28[orig]), Table28[X''])</f>
        <v>E</v>
      </c>
      <c r="CQ37" s="5" t="str" cm="1">
        <f t="array" ref="CQ37">_xlfn.XLOOKUP(TRUE, EXACT(Table28[[#This Row],[Y]], Table28[orig]), Table28[X''])</f>
        <v>O</v>
      </c>
      <c r="CR37" s="5" t="str" cm="1">
        <f t="array" ref="CR37">_xlfn.XLOOKUP(TRUE, EXACT(Table28[[#This Row],[Z'']], Table28[orig]), Table28[X])</f>
        <v>W</v>
      </c>
      <c r="CS37" s="5" t="str" cm="1">
        <f t="array" ref="CS37">_xlfn.XLOOKUP(TRUE, EXACT(Table28[[#This Row],[Z'']], Table28[orig]), Table28[X''])</f>
        <v>C</v>
      </c>
      <c r="CT37" s="5" t="str" cm="1">
        <f t="array" ref="CT37">_xlfn.XLOOKUP(TRUE, EXACT(Table28[[#This Row],[Y'']], Table28[orig]), Table28[X])</f>
        <v>G</v>
      </c>
      <c r="CU37" s="5" t="str" cm="1">
        <f t="array" ref="CU37">_xlfn.XLOOKUP(TRUE, EXACT(Table28[[#This Row],[Y]], Table28[orig]), Table28[X])</f>
        <v>M</v>
      </c>
      <c r="CV37" s="5" t="str" cm="1">
        <f t="array" ref="CV37">_xlfn.XLOOKUP(TRUE, EXACT(Table28[[#This Row],[Z]], Table28[orig]), Table28[X''])</f>
        <v>A</v>
      </c>
      <c r="CW37" s="5" t="str" cm="1">
        <f t="array" ref="CW37">_xlfn.XLOOKUP(TRUE, EXACT(Table28[[#This Row],[Y'']], Table28[orig]), Table28[X2])</f>
        <v>F</v>
      </c>
      <c r="CX37" s="5" t="str" cm="1">
        <f t="array" ref="CX37">_xlfn.XLOOKUP(TRUE, EXACT(Table28[[#This Row],[Y]], Table28[orig]), Table28[X2])</f>
        <v>N</v>
      </c>
      <c r="CY37" s="5" t="str" cm="1">
        <f t="array" ref="CY37">_xlfn.XLOOKUP(TRUE, EXACT(Table28[[#This Row],[Z]], Table28[orig]), Table28[X2])</f>
        <v>I</v>
      </c>
      <c r="CZ37" s="5" t="str" cm="1">
        <f t="array" ref="CZ37">_xlfn.XLOOKUP(TRUE, EXACT(Table28[[#This Row],[Z'']], Table28[orig]), Table28[X2])</f>
        <v>K</v>
      </c>
      <c r="DA37" s="5" t="str" cm="1">
        <f t="array" ref="DA37">_xlfn.XLOOKUP(TRUE, EXACT(Table28[[#This Row],[Z2]], Table28[orig]), Table28[X])</f>
        <v>X</v>
      </c>
      <c r="DB37" s="5" t="str" cm="1">
        <f t="array" ref="DB37">_xlfn.XLOOKUP(TRUE, EXACT(Table28[[#This Row],[Z2]], Table28[orig]), Table28[X''])</f>
        <v>D</v>
      </c>
      <c r="DC37"/>
      <c r="DD37"/>
      <c r="DE37" s="8" t="s">
        <v>48</v>
      </c>
      <c r="DF37" s="8" t="str" cm="1">
        <f t="array" ref="DF37">_xlfn.XLOOKUP(TRUE, EXACT(Table28[[#This Row],[I]], Table29[orig]), Table29[T-reflection])</f>
        <v>S</v>
      </c>
      <c r="DG37" s="8" t="str" cm="1">
        <f t="array" ref="DG37">_xlfn.XLOOKUP(TRUE, EXACT(Table28[[#This Row],[X]], Table29[orig]), Table29[T-reflection])</f>
        <v>U</v>
      </c>
      <c r="DH37" s="5" t="str" cm="1">
        <f t="array" ref="DH37">_xlfn.XLOOKUP(TRUE, EXACT(Table28[[#This Row],[X2]], Table29[orig]), Table29[T-reflection])</f>
        <v>I</v>
      </c>
      <c r="DI37" s="5" t="str" cm="1">
        <f t="array" ref="DI37">_xlfn.XLOOKUP(TRUE, EXACT(Table28[[#This Row],[X'']], Table29[orig]), Table29[T-reflection])</f>
        <v>A</v>
      </c>
      <c r="DJ37" s="8" t="str" cm="1">
        <f t="array" ref="DJ37">_xlfn.XLOOKUP(TRUE, EXACT(Table28[[#This Row],[Y]], Table29[orig]), Table29[T-reflection])</f>
        <v>G</v>
      </c>
      <c r="DK37" s="5" t="str" cm="1">
        <f t="array" ref="DK37">_xlfn.XLOOKUP(TRUE, EXACT(Table28[[#This Row],[Y2]], Table29[orig]), Table29[T-reflection])</f>
        <v>K</v>
      </c>
      <c r="DL37" s="5" t="str" cm="1">
        <f t="array" ref="DL37">_xlfn.XLOOKUP(TRUE, EXACT(Table28[[#This Row],[Y'']], Table29[orig]), Table29[T-reflection])</f>
        <v>O</v>
      </c>
      <c r="DM37" s="8" t="str" cm="1">
        <f t="array" ref="DM37">_xlfn.XLOOKUP(TRUE, EXACT(Table28[[#This Row],[Z]], Table29[orig]), Table29[T-reflection])</f>
        <v>T</v>
      </c>
      <c r="DN37" s="5" t="str" cm="1">
        <f t="array" ref="DN37">_xlfn.XLOOKUP(TRUE, EXACT(Table28[[#This Row],[Z2]], Table29[orig]), Table29[T-reflection])</f>
        <v>Q</v>
      </c>
      <c r="DO37" s="5" t="str" cm="1">
        <f t="array" ref="DO37">_xlfn.XLOOKUP(TRUE, EXACT(Table28[[#This Row],[Z'']], Table29[orig]), Table29[T-reflection])</f>
        <v>R</v>
      </c>
      <c r="DP37" s="5" t="str" cm="1">
        <f t="array" ref="DP37">_xlfn.XLOOKUP(TRUE, EXACT(Table28[[#This Row],[Z X]], Table29[orig]), Table29[T-reflection])</f>
        <v>V</v>
      </c>
      <c r="DQ37" s="5" t="str" cm="1">
        <f t="array" ref="DQ37">_xlfn.XLOOKUP(TRUE, EXACT(Table28[[#This Row],[Y'' X'']], Table29[orig]), Table29[T-reflection])</f>
        <v>N</v>
      </c>
      <c r="DR37" s="5" t="str" cm="1">
        <f t="array" ref="DR37">_xlfn.XLOOKUP(TRUE, EXACT(Table28[[#This Row],[Y X'']], Table29[orig]), Table29[T-reflection])</f>
        <v>H</v>
      </c>
      <c r="DS37" s="5" t="str" cm="1">
        <f t="array" ref="DS37">_xlfn.XLOOKUP(TRUE, EXACT(Table28[[#This Row],[Z'' X]], Table29[orig]), Table29[T-reflection])</f>
        <v>X</v>
      </c>
      <c r="DT37" s="5" t="str" cm="1">
        <f t="array" ref="DT37">_xlfn.XLOOKUP(TRUE, EXACT(Table28[[#This Row],[Z'' X'']], Table29[orig]), Table29[T-reflection])</f>
        <v>D</v>
      </c>
      <c r="DU37" s="5" t="str" cm="1">
        <f t="array" ref="DU37">_xlfn.XLOOKUP(TRUE, EXACT(Table28[[#This Row],[Y'' X]], Table29[orig]), Table29[T-reflection])</f>
        <v>P</v>
      </c>
      <c r="DV37" s="5" t="str" cm="1">
        <f t="array" ref="DV37">_xlfn.XLOOKUP(TRUE, EXACT(Table28[[#This Row],[Y X]], Table29[orig]), Table29[T-reflection])</f>
        <v>F</v>
      </c>
      <c r="DW37" s="5" t="str" cm="1">
        <f t="array" ref="DW37">_xlfn.XLOOKUP(TRUE, EXACT(Table28[[#This Row],[Z X'']], Table29[orig]), Table29[T-reflection])</f>
        <v>B</v>
      </c>
      <c r="DX37" s="5" t="str" cm="1">
        <f t="array" ref="DX37">_xlfn.XLOOKUP(TRUE, EXACT(Table28[[#This Row],[Y'' X2]], Table29[orig]), Table29[T-reflection])</f>
        <v>M</v>
      </c>
      <c r="DY37" s="5" t="str" cm="1">
        <f t="array" ref="DY37">_xlfn.XLOOKUP(TRUE, EXACT(Table28[[#This Row],[Y X2]], Table29[orig]), Table29[T-reflection])</f>
        <v>E</v>
      </c>
      <c r="DZ37" s="5" t="str" cm="1">
        <f t="array" ref="DZ37">_xlfn.XLOOKUP(TRUE, EXACT(Table28[[#This Row],[Z X2]], Table29[orig]), Table29[T-reflection])</f>
        <v>J</v>
      </c>
      <c r="EA37" s="5" t="str" cm="1">
        <f t="array" ref="EA37">_xlfn.XLOOKUP(TRUE, EXACT(Table28[[#This Row],[Z'' X2]], Table29[orig]), Table29[T-reflection])</f>
        <v>L</v>
      </c>
      <c r="EB37" s="5" t="str" cm="1">
        <f t="array" ref="EB37">_xlfn.XLOOKUP(TRUE, EXACT(Table28[[#This Row],[Z2 X]], Table29[orig]), Table29[T-reflection])</f>
        <v>W</v>
      </c>
      <c r="EC37" s="5" t="str" cm="1">
        <f t="array" ref="EC37">_xlfn.XLOOKUP(TRUE, EXACT(Table28[[#This Row],[Z2 X'']], Table29[orig]), Table29[T-reflection])</f>
        <v>C</v>
      </c>
      <c r="ED37"/>
      <c r="EE37"/>
      <c r="EF37"/>
      <c r="EG37"/>
      <c r="EH37"/>
      <c r="EI37"/>
      <c r="EJ37"/>
      <c r="EK37"/>
      <c r="EL37"/>
      <c r="EM37"/>
      <c r="EN37"/>
      <c r="EO37"/>
      <c r="EP37"/>
      <c r="EQ37"/>
      <c r="ER37"/>
      <c r="ES37"/>
      <c r="ET37"/>
      <c r="EU37"/>
      <c r="EV37"/>
      <c r="EW37"/>
      <c r="EX37"/>
      <c r="EY37"/>
      <c r="EZ37"/>
      <c r="FA37"/>
      <c r="FB37"/>
      <c r="FC37"/>
      <c r="FD37"/>
      <c r="FE37"/>
      <c r="FF37"/>
      <c r="FG37"/>
      <c r="FH37"/>
    </row>
    <row r="38" spans="1:164" ht="16" thickTop="1" x14ac:dyDescent="0.2">
      <c r="B38" t="s">
        <v>54</v>
      </c>
      <c r="C38" t="s">
        <v>54</v>
      </c>
      <c r="D38" t="s">
        <v>90</v>
      </c>
      <c r="E38" t="s">
        <v>0</v>
      </c>
      <c r="F38" t="s">
        <v>45</v>
      </c>
      <c r="G38" t="s">
        <v>81</v>
      </c>
      <c r="H38" t="s">
        <v>40</v>
      </c>
      <c r="I38" t="s">
        <v>0</v>
      </c>
      <c r="J38" t="s">
        <v>54</v>
      </c>
      <c r="K38" t="s">
        <v>54</v>
      </c>
      <c r="L38" t="s">
        <v>45</v>
      </c>
      <c r="O38" t="s">
        <v>54</v>
      </c>
      <c r="P38" t="str">
        <f>Table27[[#This Row],[orig]]</f>
        <v>U</v>
      </c>
      <c r="Q38" t="str">
        <f>Table29[[#This Row],[X]]</f>
        <v>I</v>
      </c>
      <c r="R38" t="str" cm="1">
        <f t="array" ref="R38">_xlfn.XLOOKUP(TRUE, EXACT(Table27[[#This Row],[X]], Table27[orig]), Table27[X])</f>
        <v>A</v>
      </c>
      <c r="S38" t="str" cm="1">
        <f t="array" ref="S38">_xlfn.XLOOKUP(TRUE, EXACT(Table27[[#This Row],[X2]], Table27[orig]), Table27[X])</f>
        <v>S</v>
      </c>
      <c r="T38" t="str">
        <f>Table29[[#This Row],[Y]]</f>
        <v>X</v>
      </c>
      <c r="U38" t="str" cm="1">
        <f t="array" ref="U38">_xlfn.XLOOKUP(TRUE, EXACT(Table27[[#This Row],[Y]], Table27[orig]), Table27[Y])</f>
        <v>W</v>
      </c>
      <c r="V38" t="str" cm="1">
        <f t="array" ref="V38">_xlfn.XLOOKUP(TRUE, EXACT(Table27[[#This Row],[Y2]], Table27[orig]), Table27[Y])</f>
        <v>V</v>
      </c>
      <c r="W38" t="str">
        <f>Table29[[#This Row],[Z]]</f>
        <v>F</v>
      </c>
      <c r="X38" t="str" cm="1">
        <f t="array" ref="X38">_xlfn.XLOOKUP(TRUE, EXACT(Table27[[#This Row],[Z]], Table27[orig]), Table27[Z])</f>
        <v>C</v>
      </c>
      <c r="Y38" t="str" cm="1">
        <f t="array" ref="Y38">_xlfn.XLOOKUP(TRUE, EXACT(Table27[[#This Row],[Z2]], Table27[orig]), Table27[Z])</f>
        <v>P</v>
      </c>
      <c r="Z38" t="str">
        <f>Table29[[#This Row],[R]]</f>
        <v>U</v>
      </c>
      <c r="AA38" t="str" cm="1">
        <f t="array" ref="AA38">_xlfn.XLOOKUP(TRUE, EXACT(Table27[[#This Row],[R]], Table27[orig]), Table27[R])</f>
        <v>U</v>
      </c>
      <c r="AB38" t="str" cm="1">
        <f t="array" ref="AB38">_xlfn.XLOOKUP(TRUE, EXACT(Table27[[#This Row],[R2]], Table27[orig]), Table27[R])</f>
        <v>U</v>
      </c>
      <c r="AC38" t="str" cm="1">
        <f t="array" ref="AC38">_xlfn.XLOOKUP(TRUE, EXACT(_xlfn.XLOOKUP(TRUE, EXACT(Table27[[#This Row],[Y2]], Table27[orig]), Table27[R]), Table27[orig]), Table27[Y2])</f>
        <v>S</v>
      </c>
      <c r="AD38" t="str" cm="1">
        <f t="array" ref="AD38">_xlfn.XLOOKUP(TRUE, EXACT(Table27[[#This Row],[L]], Table27[orig]), Table27[L])</f>
        <v>A</v>
      </c>
      <c r="AE38" t="str" cm="1">
        <f t="array" ref="AE38">_xlfn.XLOOKUP(TRUE, EXACT(Table27[[#This Row],[L2]], Table27[orig]), Table27[L])</f>
        <v>I</v>
      </c>
      <c r="AF38" t="str" cm="1">
        <f t="array" ref="AF38">_xlfn.XLOOKUP(TRUE, EXACT(Table27[[#This Row],[r-lower]], Table27[orig]), Table27[R''])</f>
        <v>U</v>
      </c>
      <c r="AG38" t="str" cm="1">
        <f t="array" ref="AG38">_xlfn.XLOOKUP(TRUE, EXACT(Table27[[#This Row],[T]], Table27[orig]), Table27[T])</f>
        <v>U</v>
      </c>
      <c r="AH38" t="str" cm="1">
        <f t="array" ref="AH38">_xlfn.XLOOKUP(TRUE, EXACT(Table27[[#This Row],[T2]], Table27[orig]), Table27[T])</f>
        <v>U</v>
      </c>
      <c r="AI38" t="str" cm="1">
        <f t="array" ref="AI38">_xlfn.XLOOKUP(TRUE, EXACT(Table27[[#This Row],[X]], Table27[orig]), Table27[L])</f>
        <v>U</v>
      </c>
      <c r="AJ38" t="str" cm="1">
        <f t="array" ref="AJ38">_xlfn.XLOOKUP(TRUE, EXACT(Table27[[#This Row],[r-lower]], Table27[orig]), Table27[r-lower])</f>
        <v>U</v>
      </c>
      <c r="AK38" t="str" cm="1">
        <f t="array" ref="AK38">_xlfn.XLOOKUP(TRUE, EXACT(Table27[[#This Row],[r2-lower]], Table27[orig]), Table27[r-lower])</f>
        <v>U</v>
      </c>
      <c r="AL38" t="str" cm="1">
        <f t="array" ref="AL38">_xlfn.XLOOKUP(TRUE, EXACT(Table27[[#This Row],[X'']], Table27[orig]), Table27[R])</f>
        <v>S</v>
      </c>
      <c r="AM38" t="str" cm="1">
        <f t="array" ref="AM38">_xlfn.XLOOKUP(TRUE, EXACT(Table27[[#This Row],[l-lower]], Table27[orig]), Table27[l-lower])</f>
        <v>A</v>
      </c>
      <c r="AN38" t="str" cm="1">
        <f t="array" ref="AN38">_xlfn.XLOOKUP(TRUE, EXACT(Table27[[#This Row],[l2-lower]], Table27[orig]), Table27[l-lower])</f>
        <v>I</v>
      </c>
      <c r="AO38" t="str" cm="1">
        <f t="array" ref="AO38">_xlfn.XLOOKUP(TRUE, EXACT(Table27[[#This Row],[R]], Table27[orig]), Table27[L''])</f>
        <v>I</v>
      </c>
      <c r="AP38" t="str" cm="1">
        <f t="array" ref="AP38">_xlfn.XLOOKUP(TRUE, EXACT(Table27[[#This Row],[RL'']], Table27[orig]), Table27[RL''])</f>
        <v>A</v>
      </c>
      <c r="AQ38" t="str" cm="1">
        <f t="array" ref="AQ38">_xlfn.XLOOKUP(TRUE, EXACT(Table27[[#This Row],[R2L2]], Table27[orig]), Table27[RL''])</f>
        <v>S</v>
      </c>
      <c r="AR38" t="str">
        <f>Table29[[#This Row],[U]]</f>
        <v>U</v>
      </c>
      <c r="AS38" t="str" cm="1">
        <f t="array" ref="AS38">_xlfn.XLOOKUP(TRUE, EXACT(Table27[[#This Row],[U]], Table27[orig]), Table27[U])</f>
        <v>U</v>
      </c>
      <c r="AT38" t="str" cm="1">
        <f t="array" ref="AT38">_xlfn.XLOOKUP(TRUE, EXACT(Table27[[#This Row],[U2]], Table27[orig]), Table27[U])</f>
        <v>U</v>
      </c>
      <c r="AU38" t="str" cm="1">
        <f t="array" ref="AU38">_xlfn.XLOOKUP(TRUE, EXACT(_xlfn.XLOOKUP(TRUE, EXACT(Table27[[#This Row],[Z2]], Table27[orig]), Table27[U]), Table27[orig]), Table27[Z2])</f>
        <v>V</v>
      </c>
      <c r="AV38" t="str" cm="1">
        <f t="array" ref="AV38">_xlfn.XLOOKUP(TRUE, EXACT(Table27[[#This Row],[D]], Table27[orig]), Table27[D])</f>
        <v>W</v>
      </c>
      <c r="AW38" t="str" cm="1">
        <f t="array" ref="AW38">_xlfn.XLOOKUP(TRUE, EXACT(Table27[[#This Row],[D2]], Table27[orig]), Table27[D])</f>
        <v>X</v>
      </c>
      <c r="AX38" t="str" cm="1">
        <f t="array" ref="AX38">_xlfn.XLOOKUP(TRUE, EXACT(Table27[[#This Row],[u-lower]], Table27[orig]), Table27[U''])</f>
        <v>U</v>
      </c>
      <c r="AY38" t="str" cm="1">
        <f t="array" ref="AY38">_xlfn.XLOOKUP(TRUE, EXACT(Table27[[#This Row],[H]], Table27[orig]), Table27[H])</f>
        <v>U</v>
      </c>
      <c r="AZ38" t="str" cm="1">
        <f t="array" ref="AZ38">_xlfn.XLOOKUP(TRUE, EXACT(Table27[[#This Row],[H2]], Table27[orig]), Table27[H])</f>
        <v>U</v>
      </c>
      <c r="BA38" t="str" cm="1">
        <f t="array" ref="BA38">_xlfn.XLOOKUP(TRUE, EXACT(Table27[[#This Row],[Y]], Table27[orig]), Table27[D])</f>
        <v>U</v>
      </c>
      <c r="BB38" t="str" cm="1">
        <f t="array" ref="BB38">_xlfn.XLOOKUP(TRUE, EXACT(Table27[[#This Row],[u-lower]], Table27[orig]), Table27[u-lower])</f>
        <v>U</v>
      </c>
      <c r="BC38" t="str" cm="1">
        <f t="array" ref="BC38">_xlfn.XLOOKUP(TRUE, EXACT(Table27[[#This Row],[u2-lower]], Table27[orig]), Table27[u-lower])</f>
        <v>U</v>
      </c>
      <c r="BD38" t="str" cm="1">
        <f t="array" ref="BD38">_xlfn.XLOOKUP(TRUE, EXACT(Table27[[#This Row],[Y'']], Table27[orig]), Table27[U])</f>
        <v>V</v>
      </c>
      <c r="BE38" t="str" cm="1">
        <f t="array" ref="BE38">_xlfn.XLOOKUP(TRUE, EXACT(Table27[[#This Row],[d-lower]], Table27[orig]), Table27[d-lower])</f>
        <v>W</v>
      </c>
      <c r="BF38" t="str" cm="1">
        <f t="array" ref="BF38">_xlfn.XLOOKUP(TRUE, EXACT(Table27[[#This Row],[d2-lower]], Table27[orig]), Table27[d-lower])</f>
        <v>X</v>
      </c>
      <c r="BG38" t="str" cm="1">
        <f t="array" ref="BG38">_xlfn.XLOOKUP(TRUE, EXACT(Table27[[#This Row],[U]], Table27[orig]), Table27[D''])</f>
        <v>X</v>
      </c>
      <c r="BH38" t="str" cm="1">
        <f t="array" ref="BH38">_xlfn.XLOOKUP(TRUE, EXACT(Table27[[#This Row],[UD'']], Table27[orig]), Table27[UD''])</f>
        <v>W</v>
      </c>
      <c r="BI38" t="str" cm="1">
        <f t="array" ref="BI38">_xlfn.XLOOKUP(TRUE, EXACT(Table27[[#This Row],[U2D2]], Table27[orig]), Table27[UD''])</f>
        <v>V</v>
      </c>
      <c r="BJ38" t="str">
        <f>Table29[[#This Row],[F]]</f>
        <v>F</v>
      </c>
      <c r="BK38" t="str" cm="1">
        <f t="array" ref="BK38">_xlfn.XLOOKUP(TRUE, EXACT(Table27[[#This Row],[F]], Table27[orig]), Table27[F])</f>
        <v>C</v>
      </c>
      <c r="BL38" t="str" cm="1">
        <f t="array" ref="BL38">_xlfn.XLOOKUP(TRUE, EXACT(Table27[[#This Row],[F2]], Table27[orig]), Table27[F])</f>
        <v>P</v>
      </c>
      <c r="BM38" t="str" cm="1">
        <f t="array" ref="BM38">_xlfn.XLOOKUP(TRUE, EXACT(_xlfn.XLOOKUP(TRUE, EXACT(Table27[[#This Row],[X2]], Table27[orig]), Table27[F]), Table27[orig]), Table27[X2])</f>
        <v>U</v>
      </c>
      <c r="BN38" t="str" cm="1">
        <f t="array" ref="BN38">_xlfn.XLOOKUP(TRUE, EXACT(Table27[[#This Row],[B]], Table27[orig]), Table27[B])</f>
        <v>U</v>
      </c>
      <c r="BO38" t="str" cm="1">
        <f t="array" ref="BO38">_xlfn.XLOOKUP(TRUE, EXACT(Table27[[#This Row],[B2]], Table27[orig]), Table27[B])</f>
        <v>U</v>
      </c>
      <c r="BP38" t="str" cm="1">
        <f t="array" ref="BP38">_xlfn.XLOOKUP(TRUE, EXACT(Table27[[#This Row],[f-lower]], Table27[orig]), Table27[F''])</f>
        <v>U</v>
      </c>
      <c r="BQ38" t="str" cm="1">
        <f t="array" ref="BQ38">_xlfn.XLOOKUP(TRUE, EXACT(Table27[[#This Row],[S]], Table27[orig]), Table27[S])</f>
        <v>U</v>
      </c>
      <c r="BR38" t="str" cm="1">
        <f t="array" ref="BR38">_xlfn.XLOOKUP(TRUE, EXACT(Table27[[#This Row],[S2]], Table27[orig]), Table27[S])</f>
        <v>U</v>
      </c>
      <c r="BS38" t="str" cm="1">
        <f t="array" ref="BS38">_xlfn.XLOOKUP(TRUE, EXACT(Table27[[#This Row],[Z]], Table27[orig]), Table27[B])</f>
        <v>F</v>
      </c>
      <c r="BT38" t="str" cm="1">
        <f t="array" ref="BT38">_xlfn.XLOOKUP(TRUE, EXACT(Table27[[#This Row],[f-lower]], Table27[orig]), Table27[f-lower])</f>
        <v>C</v>
      </c>
      <c r="BU38" t="str" cm="1">
        <f t="array" ref="BU38">_xlfn.XLOOKUP(TRUE, EXACT(Table27[[#This Row],[f2-lower]], Table27[orig]), Table27[f-lower])</f>
        <v>P</v>
      </c>
      <c r="BV38" t="str" cm="1">
        <f t="array" ref="BV38">_xlfn.XLOOKUP(TRUE, EXACT(Table27[[#This Row],[Z'']], Table27[orig]), Table27[F])</f>
        <v>U</v>
      </c>
      <c r="BW38" t="str" cm="1">
        <f t="array" ref="BW38">_xlfn.XLOOKUP(TRUE, EXACT(Table27[[#This Row],[b-lower]], Table27[orig]), Table27[b-lower])</f>
        <v>U</v>
      </c>
      <c r="BX38" t="str" cm="1">
        <f t="array" ref="BX38">_xlfn.XLOOKUP(TRUE, EXACT(Table27[[#This Row],[b2-lower]], Table27[orig]), Table27[b-lower])</f>
        <v>U</v>
      </c>
      <c r="BY38" t="str" cm="1">
        <f t="array" ref="BY38">_xlfn.XLOOKUP(TRUE, EXACT(Table27[[#This Row],[F]], Table27[orig]), Table27[B''])</f>
        <v>F</v>
      </c>
      <c r="BZ38" t="str" cm="1">
        <f t="array" ref="BZ38">_xlfn.XLOOKUP(TRUE, EXACT(Table27[[#This Row],[FB'']], Table27[orig]), Table27[FB''])</f>
        <v>C</v>
      </c>
      <c r="CA38" t="str" cm="1">
        <f t="array" ref="CA38">_xlfn.XLOOKUP(TRUE, EXACT(Table27[[#This Row],[F2B2]], Table27[orig]), Table27[FB''])</f>
        <v>P</v>
      </c>
      <c r="CD38" t="s">
        <v>54</v>
      </c>
      <c r="CE38" t="str">
        <f>Table28[[#This Row],[orig]]</f>
        <v>U</v>
      </c>
      <c r="CF38" t="str">
        <f>Table29[[#This Row],[X]]</f>
        <v>I</v>
      </c>
      <c r="CG38" t="str" cm="1">
        <f t="array" ref="CG38">_xlfn.XLOOKUP(TRUE, EXACT(Table28[[#This Row],[X]], Table28[orig]), Table28[X])</f>
        <v>A</v>
      </c>
      <c r="CH38" t="str" cm="1">
        <f t="array" ref="CH38">_xlfn.XLOOKUP(TRUE, EXACT(Table28[[#This Row],[X2]], Table28[orig]), Table28[X])</f>
        <v>S</v>
      </c>
      <c r="CI38" t="str">
        <f>Table29[[#This Row],[Y]]</f>
        <v>X</v>
      </c>
      <c r="CJ38" t="str" cm="1">
        <f t="array" ref="CJ38">_xlfn.XLOOKUP(TRUE, EXACT(Table28[[#This Row],[Y]], Table28[orig]), Table28[Y])</f>
        <v>W</v>
      </c>
      <c r="CK38" t="str" cm="1">
        <f t="array" ref="CK38">_xlfn.XLOOKUP(TRUE, EXACT(Table28[[#This Row],[Y2]], Table28[orig]), Table28[Y])</f>
        <v>V</v>
      </c>
      <c r="CL38" t="str">
        <f>Table29[[#This Row],[Z]]</f>
        <v>F</v>
      </c>
      <c r="CM38" t="str" cm="1">
        <f t="array" ref="CM38">_xlfn.XLOOKUP(TRUE, EXACT(Table28[[#This Row],[Z]], Table28[orig]), Table28[Z])</f>
        <v>C</v>
      </c>
      <c r="CN38" t="str" cm="1">
        <f t="array" ref="CN38">_xlfn.XLOOKUP(TRUE, EXACT(Table28[[#This Row],[Z2]], Table28[orig]), Table28[Z])</f>
        <v>P</v>
      </c>
      <c r="CO38" t="str" cm="1">
        <f t="array" ref="CO38">_xlfn.XLOOKUP(TRUE, EXACT(Table28[[#This Row],[Z]], Table28[orig]), Table28[X])</f>
        <v>E</v>
      </c>
      <c r="CP38" t="str" cm="1">
        <f t="array" ref="CP38">_xlfn.XLOOKUP(TRUE, EXACT(Table28[[#This Row],[Y'']], Table28[orig]), Table28[X''])</f>
        <v>T</v>
      </c>
      <c r="CQ38" t="str" cm="1">
        <f t="array" ref="CQ38">_xlfn.XLOOKUP(TRUE, EXACT(Table28[[#This Row],[Y]], Table28[orig]), Table28[X''])</f>
        <v>R</v>
      </c>
      <c r="CR38" t="str" cm="1">
        <f t="array" ref="CR38">_xlfn.XLOOKUP(TRUE, EXACT(Table28[[#This Row],[Z'']], Table28[orig]), Table28[X])</f>
        <v>M</v>
      </c>
      <c r="CS38" t="str" cm="1">
        <f t="array" ref="CS38">_xlfn.XLOOKUP(TRUE, EXACT(Table28[[#This Row],[Z'']], Table28[orig]), Table28[X''])</f>
        <v>O</v>
      </c>
      <c r="CT38" t="str" cm="1">
        <f t="array" ref="CT38">_xlfn.XLOOKUP(TRUE, EXACT(Table28[[#This Row],[Y'']], Table28[orig]), Table28[X])</f>
        <v>J</v>
      </c>
      <c r="CU38" t="str" cm="1">
        <f t="array" ref="CU38">_xlfn.XLOOKUP(TRUE, EXACT(Table28[[#This Row],[Y]], Table28[orig]), Table28[X])</f>
        <v>L</v>
      </c>
      <c r="CV38" t="str" cm="1">
        <f t="array" ref="CV38">_xlfn.XLOOKUP(TRUE, EXACT(Table28[[#This Row],[Z]], Table28[orig]), Table28[X''])</f>
        <v>G</v>
      </c>
      <c r="CW38" t="str" cm="1">
        <f t="array" ref="CW38">_xlfn.XLOOKUP(TRUE, EXACT(Table28[[#This Row],[Y'']], Table28[orig]), Table28[X2])</f>
        <v>B</v>
      </c>
      <c r="CX38" t="str" cm="1">
        <f t="array" ref="CX38">_xlfn.XLOOKUP(TRUE, EXACT(Table28[[#This Row],[Y]], Table28[orig]), Table28[X2])</f>
        <v>D</v>
      </c>
      <c r="CY38" t="str" cm="1">
        <f t="array" ref="CY38">_xlfn.XLOOKUP(TRUE, EXACT(Table28[[#This Row],[Z]], Table28[orig]), Table28[X2])</f>
        <v>H</v>
      </c>
      <c r="CZ38" t="str" cm="1">
        <f t="array" ref="CZ38">_xlfn.XLOOKUP(TRUE, EXACT(Table28[[#This Row],[Z'']], Table28[orig]), Table28[X2])</f>
        <v>N</v>
      </c>
      <c r="DA38" t="str" cm="1">
        <f t="array" ref="DA38">_xlfn.XLOOKUP(TRUE, EXACT(Table28[[#This Row],[Z2]], Table28[orig]), Table28[X])</f>
        <v>Q</v>
      </c>
      <c r="DB38" t="str" cm="1">
        <f t="array" ref="DB38">_xlfn.XLOOKUP(TRUE, EXACT(Table28[[#This Row],[Z2]], Table28[orig]), Table28[X''])</f>
        <v>K</v>
      </c>
      <c r="DE38" s="6" t="s">
        <v>54</v>
      </c>
      <c r="DF38" s="6" t="str" cm="1">
        <f t="array" ref="DF38">_xlfn.XLOOKUP(TRUE, EXACT(Table28[[#This Row],[I]], Table29[orig]), Table29[T-reflection])</f>
        <v>V</v>
      </c>
      <c r="DG38" s="6" t="str" cm="1">
        <f t="array" ref="DG38">_xlfn.XLOOKUP(TRUE, EXACT(Table28[[#This Row],[X]], Table29[orig]), Table29[T-reflection])</f>
        <v>J</v>
      </c>
      <c r="DH38" t="str" cm="1">
        <f t="array" ref="DH38">_xlfn.XLOOKUP(TRUE, EXACT(Table28[[#This Row],[X2]], Table29[orig]), Table29[T-reflection])</f>
        <v>B</v>
      </c>
      <c r="DI38" t="str" cm="1">
        <f t="array" ref="DI38">_xlfn.XLOOKUP(TRUE, EXACT(Table28[[#This Row],[X'']], Table29[orig]), Table29[T-reflection])</f>
        <v>T</v>
      </c>
      <c r="DJ38" s="6" t="str" cm="1">
        <f t="array" ref="DJ38">_xlfn.XLOOKUP(TRUE, EXACT(Table28[[#This Row],[Y]], Table29[orig]), Table29[T-reflection])</f>
        <v>W</v>
      </c>
      <c r="DK38" t="str" cm="1">
        <f t="array" ref="DK38">_xlfn.XLOOKUP(TRUE, EXACT(Table28[[#This Row],[Y2]], Table29[orig]), Table29[T-reflection])</f>
        <v>X</v>
      </c>
      <c r="DL38" t="str" cm="1">
        <f t="array" ref="DL38">_xlfn.XLOOKUP(TRUE, EXACT(Table28[[#This Row],[Y'']], Table29[orig]), Table29[T-reflection])</f>
        <v>U</v>
      </c>
      <c r="DM38" s="6" t="str" cm="1">
        <f t="array" ref="DM38">_xlfn.XLOOKUP(TRUE, EXACT(Table28[[#This Row],[Z]], Table29[orig]), Table29[T-reflection])</f>
        <v>M</v>
      </c>
      <c r="DN38" t="str" cm="1">
        <f t="array" ref="DN38">_xlfn.XLOOKUP(TRUE, EXACT(Table28[[#This Row],[Z2]], Table29[orig]), Table29[T-reflection])</f>
        <v>D</v>
      </c>
      <c r="DO38" t="str" cm="1">
        <f t="array" ref="DO38">_xlfn.XLOOKUP(TRUE, EXACT(Table28[[#This Row],[Z'']], Table29[orig]), Table29[T-reflection])</f>
        <v>G</v>
      </c>
      <c r="DP38" t="str" cm="1">
        <f t="array" ref="DP38">_xlfn.XLOOKUP(TRUE, EXACT(Table28[[#This Row],[Z X]], Table29[orig]), Table29[T-reflection])</f>
        <v>N</v>
      </c>
      <c r="DQ38" t="str" cm="1">
        <f t="array" ref="DQ38">_xlfn.XLOOKUP(TRUE, EXACT(Table28[[#This Row],[Y'' X'']], Table29[orig]), Table29[T-reflection])</f>
        <v>S</v>
      </c>
      <c r="DR38" t="str" cm="1">
        <f t="array" ref="DR38">_xlfn.XLOOKUP(TRUE, EXACT(Table28[[#This Row],[Y X'']], Table29[orig]), Table29[T-reflection])</f>
        <v>Q</v>
      </c>
      <c r="DS38" t="str" cm="1">
        <f t="array" ref="DS38">_xlfn.XLOOKUP(TRUE, EXACT(Table28[[#This Row],[Z'' X]], Table29[orig]), Table29[T-reflection])</f>
        <v>F</v>
      </c>
      <c r="DT38" t="str" cm="1">
        <f t="array" ref="DT38">_xlfn.XLOOKUP(TRUE, EXACT(Table28[[#This Row],[Z'' X'']], Table29[orig]), Table29[T-reflection])</f>
        <v>H</v>
      </c>
      <c r="DU38" t="str" cm="1">
        <f t="array" ref="DU38">_xlfn.XLOOKUP(TRUE, EXACT(Table28[[#This Row],[Y'' X]], Table29[orig]), Table29[T-reflection])</f>
        <v>I</v>
      </c>
      <c r="DV38" t="str" cm="1">
        <f t="array" ref="DV38">_xlfn.XLOOKUP(TRUE, EXACT(Table28[[#This Row],[Y X]], Table29[orig]), Table29[T-reflection])</f>
        <v>K</v>
      </c>
      <c r="DW38" t="str" cm="1">
        <f t="array" ref="DW38">_xlfn.XLOOKUP(TRUE, EXACT(Table28[[#This Row],[Z X'']], Table29[orig]), Table29[T-reflection])</f>
        <v>P</v>
      </c>
      <c r="DX38" t="str" cm="1">
        <f t="array" ref="DX38">_xlfn.XLOOKUP(TRUE, EXACT(Table28[[#This Row],[Y'' X2]], Table29[orig]), Table29[T-reflection])</f>
        <v>A</v>
      </c>
      <c r="DY38" t="str" cm="1">
        <f t="array" ref="DY38">_xlfn.XLOOKUP(TRUE, EXACT(Table28[[#This Row],[Y X2]], Table29[orig]), Table29[T-reflection])</f>
        <v>C</v>
      </c>
      <c r="DZ38" t="str" cm="1">
        <f t="array" ref="DZ38">_xlfn.XLOOKUP(TRUE, EXACT(Table28[[#This Row],[Z X2]], Table29[orig]), Table29[T-reflection])</f>
        <v>O</v>
      </c>
      <c r="EA38" t="str" cm="1">
        <f t="array" ref="EA38">_xlfn.XLOOKUP(TRUE, EXACT(Table28[[#This Row],[Z'' X2]], Table29[orig]), Table29[T-reflection])</f>
        <v>E</v>
      </c>
      <c r="EB38" t="str" cm="1">
        <f t="array" ref="EB38">_xlfn.XLOOKUP(TRUE, EXACT(Table28[[#This Row],[Z2 X]], Table29[orig]), Table29[T-reflection])</f>
        <v>R</v>
      </c>
      <c r="EC38" t="str" cm="1">
        <f t="array" ref="EC38">_xlfn.XLOOKUP(TRUE, EXACT(Table28[[#This Row],[Z2 X'']], Table29[orig]), Table29[T-reflection])</f>
        <v>L</v>
      </c>
    </row>
    <row r="39" spans="1:164" x14ac:dyDescent="0.2">
      <c r="B39" t="s">
        <v>81</v>
      </c>
      <c r="C39" t="s">
        <v>81</v>
      </c>
      <c r="D39" t="s">
        <v>64</v>
      </c>
      <c r="E39" t="s">
        <v>54</v>
      </c>
      <c r="F39" t="s">
        <v>61</v>
      </c>
      <c r="G39" t="s">
        <v>54</v>
      </c>
      <c r="H39" t="s">
        <v>39</v>
      </c>
      <c r="I39" t="s">
        <v>129</v>
      </c>
      <c r="J39" t="s">
        <v>64</v>
      </c>
      <c r="K39" t="s">
        <v>81</v>
      </c>
      <c r="L39" t="s">
        <v>61</v>
      </c>
      <c r="O39" t="s">
        <v>81</v>
      </c>
      <c r="P39" t="str">
        <f>Table27[[#This Row],[orig]]</f>
        <v>V</v>
      </c>
      <c r="Q39" t="str">
        <f>Table29[[#This Row],[X]]</f>
        <v>J</v>
      </c>
      <c r="R39" t="str" cm="1">
        <f t="array" ref="R39">_xlfn.XLOOKUP(TRUE, EXACT(Table27[[#This Row],[X]], Table27[orig]), Table27[X])</f>
        <v>B</v>
      </c>
      <c r="S39" t="str" cm="1">
        <f t="array" ref="S39">_xlfn.XLOOKUP(TRUE, EXACT(Table27[[#This Row],[X2]], Table27[orig]), Table27[X])</f>
        <v>T</v>
      </c>
      <c r="T39" t="str">
        <f>Table29[[#This Row],[Y]]</f>
        <v>U</v>
      </c>
      <c r="U39" t="str" cm="1">
        <f t="array" ref="U39">_xlfn.XLOOKUP(TRUE, EXACT(Table27[[#This Row],[Y]], Table27[orig]), Table27[Y])</f>
        <v>X</v>
      </c>
      <c r="V39" t="str" cm="1">
        <f t="array" ref="V39">_xlfn.XLOOKUP(TRUE, EXACT(Table27[[#This Row],[Y2]], Table27[orig]), Table27[Y])</f>
        <v>W</v>
      </c>
      <c r="W39" t="str">
        <f>Table29[[#This Row],[Z]]</f>
        <v>G</v>
      </c>
      <c r="X39" t="str" cm="1">
        <f t="array" ref="X39">_xlfn.XLOOKUP(TRUE, EXACT(Table27[[#This Row],[Z]], Table27[orig]), Table27[Z])</f>
        <v>D</v>
      </c>
      <c r="Y39" t="str" cm="1">
        <f t="array" ref="Y39">_xlfn.XLOOKUP(TRUE, EXACT(Table27[[#This Row],[Z2]], Table27[orig]), Table27[Z])</f>
        <v>M</v>
      </c>
      <c r="Z39" t="str">
        <f>Table29[[#This Row],[R]]</f>
        <v>J</v>
      </c>
      <c r="AA39" t="str" cm="1">
        <f t="array" ref="AA39">_xlfn.XLOOKUP(TRUE, EXACT(Table27[[#This Row],[R]], Table27[orig]), Table27[R])</f>
        <v>B</v>
      </c>
      <c r="AB39" t="str" cm="1">
        <f t="array" ref="AB39">_xlfn.XLOOKUP(TRUE, EXACT(Table27[[#This Row],[R2]], Table27[orig]), Table27[R])</f>
        <v>T</v>
      </c>
      <c r="AC39" t="str" cm="1">
        <f t="array" ref="AC39">_xlfn.XLOOKUP(TRUE, EXACT(_xlfn.XLOOKUP(TRUE, EXACT(Table27[[#This Row],[Y2]], Table27[orig]), Table27[R]), Table27[orig]), Table27[Y2])</f>
        <v>V</v>
      </c>
      <c r="AD39" t="str" cm="1">
        <f t="array" ref="AD39">_xlfn.XLOOKUP(TRUE, EXACT(Table27[[#This Row],[L]], Table27[orig]), Table27[L])</f>
        <v>V</v>
      </c>
      <c r="AE39" t="str" cm="1">
        <f t="array" ref="AE39">_xlfn.XLOOKUP(TRUE, EXACT(Table27[[#This Row],[L2]], Table27[orig]), Table27[L])</f>
        <v>V</v>
      </c>
      <c r="AF39" t="str" cm="1">
        <f t="array" ref="AF39">_xlfn.XLOOKUP(TRUE, EXACT(Table27[[#This Row],[r-lower]], Table27[orig]), Table27[R''])</f>
        <v>V</v>
      </c>
      <c r="AG39" t="str" cm="1">
        <f t="array" ref="AG39">_xlfn.XLOOKUP(TRUE, EXACT(Table27[[#This Row],[T]], Table27[orig]), Table27[T])</f>
        <v>V</v>
      </c>
      <c r="AH39" t="str" cm="1">
        <f t="array" ref="AH39">_xlfn.XLOOKUP(TRUE, EXACT(Table27[[#This Row],[T2]], Table27[orig]), Table27[T])</f>
        <v>V</v>
      </c>
      <c r="AI39" t="str" cm="1">
        <f t="array" ref="AI39">_xlfn.XLOOKUP(TRUE, EXACT(Table27[[#This Row],[X]], Table27[orig]), Table27[L])</f>
        <v>J</v>
      </c>
      <c r="AJ39" t="str" cm="1">
        <f t="array" ref="AJ39">_xlfn.XLOOKUP(TRUE, EXACT(Table27[[#This Row],[r-lower]], Table27[orig]), Table27[r-lower])</f>
        <v>B</v>
      </c>
      <c r="AK39" t="str" cm="1">
        <f t="array" ref="AK39">_xlfn.XLOOKUP(TRUE, EXACT(Table27[[#This Row],[r2-lower]], Table27[orig]), Table27[r-lower])</f>
        <v>T</v>
      </c>
      <c r="AL39" t="str" cm="1">
        <f t="array" ref="AL39">_xlfn.XLOOKUP(TRUE, EXACT(Table27[[#This Row],[X'']], Table27[orig]), Table27[R])</f>
        <v>V</v>
      </c>
      <c r="AM39" t="str" cm="1">
        <f t="array" ref="AM39">_xlfn.XLOOKUP(TRUE, EXACT(Table27[[#This Row],[l-lower]], Table27[orig]), Table27[l-lower])</f>
        <v>V</v>
      </c>
      <c r="AN39" t="str" cm="1">
        <f t="array" ref="AN39">_xlfn.XLOOKUP(TRUE, EXACT(Table27[[#This Row],[l2-lower]], Table27[orig]), Table27[l-lower])</f>
        <v>V</v>
      </c>
      <c r="AO39" t="str" cm="1">
        <f t="array" ref="AO39">_xlfn.XLOOKUP(TRUE, EXACT(Table27[[#This Row],[R]], Table27[orig]), Table27[L''])</f>
        <v>J</v>
      </c>
      <c r="AP39" t="str" cm="1">
        <f t="array" ref="AP39">_xlfn.XLOOKUP(TRUE, EXACT(Table27[[#This Row],[RL'']], Table27[orig]), Table27[RL''])</f>
        <v>B</v>
      </c>
      <c r="AQ39" t="str" cm="1">
        <f t="array" ref="AQ39">_xlfn.XLOOKUP(TRUE, EXACT(Table27[[#This Row],[R2L2]], Table27[orig]), Table27[RL''])</f>
        <v>T</v>
      </c>
      <c r="AR39" t="str">
        <f>Table29[[#This Row],[U]]</f>
        <v>V</v>
      </c>
      <c r="AS39" t="str" cm="1">
        <f t="array" ref="AS39">_xlfn.XLOOKUP(TRUE, EXACT(Table27[[#This Row],[U]], Table27[orig]), Table27[U])</f>
        <v>V</v>
      </c>
      <c r="AT39" t="str" cm="1">
        <f t="array" ref="AT39">_xlfn.XLOOKUP(TRUE, EXACT(Table27[[#This Row],[U2]], Table27[orig]), Table27[U])</f>
        <v>V</v>
      </c>
      <c r="AU39" t="str" cm="1">
        <f t="array" ref="AU39">_xlfn.XLOOKUP(TRUE, EXACT(_xlfn.XLOOKUP(TRUE, EXACT(Table27[[#This Row],[Z2]], Table27[orig]), Table27[U]), Table27[orig]), Table27[Z2])</f>
        <v>W</v>
      </c>
      <c r="AV39" t="str" cm="1">
        <f t="array" ref="AV39">_xlfn.XLOOKUP(TRUE, EXACT(Table27[[#This Row],[D]], Table27[orig]), Table27[D])</f>
        <v>X</v>
      </c>
      <c r="AW39" t="str" cm="1">
        <f t="array" ref="AW39">_xlfn.XLOOKUP(TRUE, EXACT(Table27[[#This Row],[D2]], Table27[orig]), Table27[D])</f>
        <v>U</v>
      </c>
      <c r="AX39" t="str" cm="1">
        <f t="array" ref="AX39">_xlfn.XLOOKUP(TRUE, EXACT(Table27[[#This Row],[u-lower]], Table27[orig]), Table27[U''])</f>
        <v>V</v>
      </c>
      <c r="AY39" t="str" cm="1">
        <f t="array" ref="AY39">_xlfn.XLOOKUP(TRUE, EXACT(Table27[[#This Row],[H]], Table27[orig]), Table27[H])</f>
        <v>V</v>
      </c>
      <c r="AZ39" t="str" cm="1">
        <f t="array" ref="AZ39">_xlfn.XLOOKUP(TRUE, EXACT(Table27[[#This Row],[H2]], Table27[orig]), Table27[H])</f>
        <v>V</v>
      </c>
      <c r="BA39" t="str" cm="1">
        <f t="array" ref="BA39">_xlfn.XLOOKUP(TRUE, EXACT(Table27[[#This Row],[Y]], Table27[orig]), Table27[D])</f>
        <v>V</v>
      </c>
      <c r="BB39" t="str" cm="1">
        <f t="array" ref="BB39">_xlfn.XLOOKUP(TRUE, EXACT(Table27[[#This Row],[u-lower]], Table27[orig]), Table27[u-lower])</f>
        <v>V</v>
      </c>
      <c r="BC39" t="str" cm="1">
        <f t="array" ref="BC39">_xlfn.XLOOKUP(TRUE, EXACT(Table27[[#This Row],[u2-lower]], Table27[orig]), Table27[u-lower])</f>
        <v>V</v>
      </c>
      <c r="BD39" t="str" cm="1">
        <f t="array" ref="BD39">_xlfn.XLOOKUP(TRUE, EXACT(Table27[[#This Row],[Y'']], Table27[orig]), Table27[U])</f>
        <v>W</v>
      </c>
      <c r="BE39" t="str" cm="1">
        <f t="array" ref="BE39">_xlfn.XLOOKUP(TRUE, EXACT(Table27[[#This Row],[d-lower]], Table27[orig]), Table27[d-lower])</f>
        <v>X</v>
      </c>
      <c r="BF39" t="str" cm="1">
        <f t="array" ref="BF39">_xlfn.XLOOKUP(TRUE, EXACT(Table27[[#This Row],[d2-lower]], Table27[orig]), Table27[d-lower])</f>
        <v>U</v>
      </c>
      <c r="BG39" t="str" cm="1">
        <f t="array" ref="BG39">_xlfn.XLOOKUP(TRUE, EXACT(Table27[[#This Row],[U]], Table27[orig]), Table27[D''])</f>
        <v>U</v>
      </c>
      <c r="BH39" t="str" cm="1">
        <f t="array" ref="BH39">_xlfn.XLOOKUP(TRUE, EXACT(Table27[[#This Row],[UD'']], Table27[orig]), Table27[UD''])</f>
        <v>X</v>
      </c>
      <c r="BI39" t="str" cm="1">
        <f t="array" ref="BI39">_xlfn.XLOOKUP(TRUE, EXACT(Table27[[#This Row],[U2D2]], Table27[orig]), Table27[UD''])</f>
        <v>W</v>
      </c>
      <c r="BJ39" t="str">
        <f>Table29[[#This Row],[F]]</f>
        <v>G</v>
      </c>
      <c r="BK39" t="str" cm="1">
        <f t="array" ref="BK39">_xlfn.XLOOKUP(TRUE, EXACT(Table27[[#This Row],[F]], Table27[orig]), Table27[F])</f>
        <v>D</v>
      </c>
      <c r="BL39" t="str" cm="1">
        <f t="array" ref="BL39">_xlfn.XLOOKUP(TRUE, EXACT(Table27[[#This Row],[F2]], Table27[orig]), Table27[F])</f>
        <v>M</v>
      </c>
      <c r="BM39" t="str" cm="1">
        <f t="array" ref="BM39">_xlfn.XLOOKUP(TRUE, EXACT(_xlfn.XLOOKUP(TRUE, EXACT(Table27[[#This Row],[X2]], Table27[orig]), Table27[F]), Table27[orig]), Table27[X2])</f>
        <v>V</v>
      </c>
      <c r="BN39" t="str" cm="1">
        <f t="array" ref="BN39">_xlfn.XLOOKUP(TRUE, EXACT(Table27[[#This Row],[B]], Table27[orig]), Table27[B])</f>
        <v>V</v>
      </c>
      <c r="BO39" t="str" cm="1">
        <f t="array" ref="BO39">_xlfn.XLOOKUP(TRUE, EXACT(Table27[[#This Row],[B2]], Table27[orig]), Table27[B])</f>
        <v>V</v>
      </c>
      <c r="BP39" t="str" cm="1">
        <f t="array" ref="BP39">_xlfn.XLOOKUP(TRUE, EXACT(Table27[[#This Row],[f-lower]], Table27[orig]), Table27[F''])</f>
        <v>V</v>
      </c>
      <c r="BQ39" t="str" cm="1">
        <f t="array" ref="BQ39">_xlfn.XLOOKUP(TRUE, EXACT(Table27[[#This Row],[S]], Table27[orig]), Table27[S])</f>
        <v>V</v>
      </c>
      <c r="BR39" t="str" cm="1">
        <f t="array" ref="BR39">_xlfn.XLOOKUP(TRUE, EXACT(Table27[[#This Row],[S2]], Table27[orig]), Table27[S])</f>
        <v>V</v>
      </c>
      <c r="BS39" t="str" cm="1">
        <f t="array" ref="BS39">_xlfn.XLOOKUP(TRUE, EXACT(Table27[[#This Row],[Z]], Table27[orig]), Table27[B])</f>
        <v>G</v>
      </c>
      <c r="BT39" t="str" cm="1">
        <f t="array" ref="BT39">_xlfn.XLOOKUP(TRUE, EXACT(Table27[[#This Row],[f-lower]], Table27[orig]), Table27[f-lower])</f>
        <v>D</v>
      </c>
      <c r="BU39" t="str" cm="1">
        <f t="array" ref="BU39">_xlfn.XLOOKUP(TRUE, EXACT(Table27[[#This Row],[f2-lower]], Table27[orig]), Table27[f-lower])</f>
        <v>M</v>
      </c>
      <c r="BV39" t="str" cm="1">
        <f t="array" ref="BV39">_xlfn.XLOOKUP(TRUE, EXACT(Table27[[#This Row],[Z'']], Table27[orig]), Table27[F])</f>
        <v>V</v>
      </c>
      <c r="BW39" t="str" cm="1">
        <f t="array" ref="BW39">_xlfn.XLOOKUP(TRUE, EXACT(Table27[[#This Row],[b-lower]], Table27[orig]), Table27[b-lower])</f>
        <v>V</v>
      </c>
      <c r="BX39" t="str" cm="1">
        <f t="array" ref="BX39">_xlfn.XLOOKUP(TRUE, EXACT(Table27[[#This Row],[b2-lower]], Table27[orig]), Table27[b-lower])</f>
        <v>V</v>
      </c>
      <c r="BY39" t="str" cm="1">
        <f t="array" ref="BY39">_xlfn.XLOOKUP(TRUE, EXACT(Table27[[#This Row],[F]], Table27[orig]), Table27[B''])</f>
        <v>G</v>
      </c>
      <c r="BZ39" t="str" cm="1">
        <f t="array" ref="BZ39">_xlfn.XLOOKUP(TRUE, EXACT(Table27[[#This Row],[FB'']], Table27[orig]), Table27[FB''])</f>
        <v>D</v>
      </c>
      <c r="CA39" t="str" cm="1">
        <f t="array" ref="CA39">_xlfn.XLOOKUP(TRUE, EXACT(Table27[[#This Row],[F2B2]], Table27[orig]), Table27[FB''])</f>
        <v>M</v>
      </c>
      <c r="CD39" t="s">
        <v>81</v>
      </c>
      <c r="CE39" t="str">
        <f>Table28[[#This Row],[orig]]</f>
        <v>V</v>
      </c>
      <c r="CF39" t="str">
        <f>Table29[[#This Row],[X]]</f>
        <v>J</v>
      </c>
      <c r="CG39" t="str" cm="1">
        <f t="array" ref="CG39">_xlfn.XLOOKUP(TRUE, EXACT(Table28[[#This Row],[X]], Table28[orig]), Table28[X])</f>
        <v>B</v>
      </c>
      <c r="CH39" t="str" cm="1">
        <f t="array" ref="CH39">_xlfn.XLOOKUP(TRUE, EXACT(Table28[[#This Row],[X2]], Table28[orig]), Table28[X])</f>
        <v>T</v>
      </c>
      <c r="CI39" t="str">
        <f>Table29[[#This Row],[Y]]</f>
        <v>U</v>
      </c>
      <c r="CJ39" t="str" cm="1">
        <f t="array" ref="CJ39">_xlfn.XLOOKUP(TRUE, EXACT(Table28[[#This Row],[Y]], Table28[orig]), Table28[Y])</f>
        <v>X</v>
      </c>
      <c r="CK39" t="str" cm="1">
        <f t="array" ref="CK39">_xlfn.XLOOKUP(TRUE, EXACT(Table28[[#This Row],[Y2]], Table28[orig]), Table28[Y])</f>
        <v>W</v>
      </c>
      <c r="CL39" t="str">
        <f>Table29[[#This Row],[Z]]</f>
        <v>G</v>
      </c>
      <c r="CM39" t="str" cm="1">
        <f t="array" ref="CM39">_xlfn.XLOOKUP(TRUE, EXACT(Table28[[#This Row],[Z]], Table28[orig]), Table28[Z])</f>
        <v>D</v>
      </c>
      <c r="CN39" t="str" cm="1">
        <f t="array" ref="CN39">_xlfn.XLOOKUP(TRUE, EXACT(Table28[[#This Row],[Z2]], Table28[orig]), Table28[Z])</f>
        <v>M</v>
      </c>
      <c r="CO39" t="str" cm="1">
        <f t="array" ref="CO39">_xlfn.XLOOKUP(TRUE, EXACT(Table28[[#This Row],[Z]], Table28[orig]), Table28[X])</f>
        <v>F</v>
      </c>
      <c r="CP39" t="str" cm="1">
        <f t="array" ref="CP39">_xlfn.XLOOKUP(TRUE, EXACT(Table28[[#This Row],[Y'']], Table28[orig]), Table28[X''])</f>
        <v>Q</v>
      </c>
      <c r="CQ39" t="str" cm="1">
        <f t="array" ref="CQ39">_xlfn.XLOOKUP(TRUE, EXACT(Table28[[#This Row],[Y]], Table28[orig]), Table28[X''])</f>
        <v>S</v>
      </c>
      <c r="CR39" t="str" cm="1">
        <f t="array" ref="CR39">_xlfn.XLOOKUP(TRUE, EXACT(Table28[[#This Row],[Z'']], Table28[orig]), Table28[X])</f>
        <v>N</v>
      </c>
      <c r="CS39" t="str" cm="1">
        <f t="array" ref="CS39">_xlfn.XLOOKUP(TRUE, EXACT(Table28[[#This Row],[Z'']], Table28[orig]), Table28[X''])</f>
        <v>P</v>
      </c>
      <c r="CT39" t="str" cm="1">
        <f t="array" ref="CT39">_xlfn.XLOOKUP(TRUE, EXACT(Table28[[#This Row],[Y'']], Table28[orig]), Table28[X])</f>
        <v>K</v>
      </c>
      <c r="CU39" t="str" cm="1">
        <f t="array" ref="CU39">_xlfn.XLOOKUP(TRUE, EXACT(Table28[[#This Row],[Y]], Table28[orig]), Table28[X])</f>
        <v>I</v>
      </c>
      <c r="CV39" t="str" cm="1">
        <f t="array" ref="CV39">_xlfn.XLOOKUP(TRUE, EXACT(Table28[[#This Row],[Z]], Table28[orig]), Table28[X''])</f>
        <v>H</v>
      </c>
      <c r="CW39" t="str" cm="1">
        <f t="array" ref="CW39">_xlfn.XLOOKUP(TRUE, EXACT(Table28[[#This Row],[Y'']], Table28[orig]), Table28[X2])</f>
        <v>C</v>
      </c>
      <c r="CX39" t="str" cm="1">
        <f t="array" ref="CX39">_xlfn.XLOOKUP(TRUE, EXACT(Table28[[#This Row],[Y]], Table28[orig]), Table28[X2])</f>
        <v>A</v>
      </c>
      <c r="CY39" t="str" cm="1">
        <f t="array" ref="CY39">_xlfn.XLOOKUP(TRUE, EXACT(Table28[[#This Row],[Z]], Table28[orig]), Table28[X2])</f>
        <v>E</v>
      </c>
      <c r="CZ39" t="str" cm="1">
        <f t="array" ref="CZ39">_xlfn.XLOOKUP(TRUE, EXACT(Table28[[#This Row],[Z'']], Table28[orig]), Table28[X2])</f>
        <v>O</v>
      </c>
      <c r="DA39" t="str" cm="1">
        <f t="array" ref="DA39">_xlfn.XLOOKUP(TRUE, EXACT(Table28[[#This Row],[Z2]], Table28[orig]), Table28[X])</f>
        <v>R</v>
      </c>
      <c r="DB39" t="str" cm="1">
        <f t="array" ref="DB39">_xlfn.XLOOKUP(TRUE, EXACT(Table28[[#This Row],[Z2]], Table28[orig]), Table28[X''])</f>
        <v>L</v>
      </c>
      <c r="DE39" s="4" t="s">
        <v>81</v>
      </c>
      <c r="DF39" s="4" t="str" cm="1">
        <f t="array" ref="DF39">_xlfn.XLOOKUP(TRUE, EXACT(Table28[[#This Row],[I]], Table29[orig]), Table29[T-reflection])</f>
        <v>U</v>
      </c>
      <c r="DG39" s="4" t="str" cm="1">
        <f t="array" ref="DG39">_xlfn.XLOOKUP(TRUE, EXACT(Table28[[#This Row],[X]], Table29[orig]), Table29[T-reflection])</f>
        <v>I</v>
      </c>
      <c r="DH39" t="str" cm="1">
        <f t="array" ref="DH39">_xlfn.XLOOKUP(TRUE, EXACT(Table28[[#This Row],[X2]], Table29[orig]), Table29[T-reflection])</f>
        <v>A</v>
      </c>
      <c r="DI39" t="str" cm="1">
        <f t="array" ref="DI39">_xlfn.XLOOKUP(TRUE, EXACT(Table28[[#This Row],[X'']], Table29[orig]), Table29[T-reflection])</f>
        <v>S</v>
      </c>
      <c r="DJ39" s="4" t="str" cm="1">
        <f t="array" ref="DJ39">_xlfn.XLOOKUP(TRUE, EXACT(Table28[[#This Row],[Y]], Table29[orig]), Table29[T-reflection])</f>
        <v>V</v>
      </c>
      <c r="DK39" t="str" cm="1">
        <f t="array" ref="DK39">_xlfn.XLOOKUP(TRUE, EXACT(Table28[[#This Row],[Y2]], Table29[orig]), Table29[T-reflection])</f>
        <v>W</v>
      </c>
      <c r="DL39" t="str" cm="1">
        <f t="array" ref="DL39">_xlfn.XLOOKUP(TRUE, EXACT(Table28[[#This Row],[Y'']], Table29[orig]), Table29[T-reflection])</f>
        <v>X</v>
      </c>
      <c r="DM39" s="4" t="str" cm="1">
        <f t="array" ref="DM39">_xlfn.XLOOKUP(TRUE, EXACT(Table28[[#This Row],[Z]], Table29[orig]), Table29[T-reflection])</f>
        <v>P</v>
      </c>
      <c r="DN39" t="str" cm="1">
        <f t="array" ref="DN39">_xlfn.XLOOKUP(TRUE, EXACT(Table28[[#This Row],[Z2]], Table29[orig]), Table29[T-reflection])</f>
        <v>C</v>
      </c>
      <c r="DO39" t="str" cm="1">
        <f t="array" ref="DO39">_xlfn.XLOOKUP(TRUE, EXACT(Table28[[#This Row],[Z'']], Table29[orig]), Table29[T-reflection])</f>
        <v>F</v>
      </c>
      <c r="DP39" t="str" cm="1">
        <f t="array" ref="DP39">_xlfn.XLOOKUP(TRUE, EXACT(Table28[[#This Row],[Z X]], Table29[orig]), Table29[T-reflection])</f>
        <v>M</v>
      </c>
      <c r="DQ39" t="str" cm="1">
        <f t="array" ref="DQ39">_xlfn.XLOOKUP(TRUE, EXACT(Table28[[#This Row],[Y'' X'']], Table29[orig]), Table29[T-reflection])</f>
        <v>R</v>
      </c>
      <c r="DR39" t="str" cm="1">
        <f t="array" ref="DR39">_xlfn.XLOOKUP(TRUE, EXACT(Table28[[#This Row],[Y X'']], Table29[orig]), Table29[T-reflection])</f>
        <v>T</v>
      </c>
      <c r="DS39" t="str" cm="1">
        <f t="array" ref="DS39">_xlfn.XLOOKUP(TRUE, EXACT(Table28[[#This Row],[Z'' X]], Table29[orig]), Table29[T-reflection])</f>
        <v>E</v>
      </c>
      <c r="DT39" t="str" cm="1">
        <f t="array" ref="DT39">_xlfn.XLOOKUP(TRUE, EXACT(Table28[[#This Row],[Z'' X'']], Table29[orig]), Table29[T-reflection])</f>
        <v>G</v>
      </c>
      <c r="DU39" t="str" cm="1">
        <f t="array" ref="DU39">_xlfn.XLOOKUP(TRUE, EXACT(Table28[[#This Row],[Y'' X]], Table29[orig]), Table29[T-reflection])</f>
        <v>L</v>
      </c>
      <c r="DV39" t="str" cm="1">
        <f t="array" ref="DV39">_xlfn.XLOOKUP(TRUE, EXACT(Table28[[#This Row],[Y X]], Table29[orig]), Table29[T-reflection])</f>
        <v>J</v>
      </c>
      <c r="DW39" t="str" cm="1">
        <f t="array" ref="DW39">_xlfn.XLOOKUP(TRUE, EXACT(Table28[[#This Row],[Z X'']], Table29[orig]), Table29[T-reflection])</f>
        <v>O</v>
      </c>
      <c r="DX39" t="str" cm="1">
        <f t="array" ref="DX39">_xlfn.XLOOKUP(TRUE, EXACT(Table28[[#This Row],[Y'' X2]], Table29[orig]), Table29[T-reflection])</f>
        <v>D</v>
      </c>
      <c r="DY39" t="str" cm="1">
        <f t="array" ref="DY39">_xlfn.XLOOKUP(TRUE, EXACT(Table28[[#This Row],[Y X2]], Table29[orig]), Table29[T-reflection])</f>
        <v>B</v>
      </c>
      <c r="DZ39" t="str" cm="1">
        <f t="array" ref="DZ39">_xlfn.XLOOKUP(TRUE, EXACT(Table28[[#This Row],[Z X2]], Table29[orig]), Table29[T-reflection])</f>
        <v>N</v>
      </c>
      <c r="EA39" t="str" cm="1">
        <f t="array" ref="EA39">_xlfn.XLOOKUP(TRUE, EXACT(Table28[[#This Row],[Z'' X2]], Table29[orig]), Table29[T-reflection])</f>
        <v>H</v>
      </c>
      <c r="EB39" t="str" cm="1">
        <f t="array" ref="EB39">_xlfn.XLOOKUP(TRUE, EXACT(Table28[[#This Row],[Z2 X]], Table29[orig]), Table29[T-reflection])</f>
        <v>Q</v>
      </c>
      <c r="EC39" t="str" cm="1">
        <f t="array" ref="EC39">_xlfn.XLOOKUP(TRUE, EXACT(Table28[[#This Row],[Z2 X'']], Table29[orig]), Table29[T-reflection])</f>
        <v>K</v>
      </c>
    </row>
    <row r="40" spans="1:164" x14ac:dyDescent="0.2">
      <c r="B40" t="s">
        <v>129</v>
      </c>
      <c r="C40" t="s">
        <v>129</v>
      </c>
      <c r="D40" t="s">
        <v>69</v>
      </c>
      <c r="E40" t="s">
        <v>81</v>
      </c>
      <c r="F40" t="s">
        <v>59</v>
      </c>
      <c r="G40" t="s">
        <v>0</v>
      </c>
      <c r="H40" t="s">
        <v>38</v>
      </c>
      <c r="I40" t="s">
        <v>81</v>
      </c>
      <c r="J40" t="s">
        <v>69</v>
      </c>
      <c r="K40" t="s">
        <v>129</v>
      </c>
      <c r="L40" t="s">
        <v>129</v>
      </c>
      <c r="O40" t="s">
        <v>129</v>
      </c>
      <c r="P40" t="str">
        <f>Table27[[#This Row],[orig]]</f>
        <v>W</v>
      </c>
      <c r="Q40" t="str">
        <f>Table29[[#This Row],[X]]</f>
        <v>K</v>
      </c>
      <c r="R40" t="str" cm="1">
        <f t="array" ref="R40">_xlfn.XLOOKUP(TRUE, EXACT(Table27[[#This Row],[X]], Table27[orig]), Table27[X])</f>
        <v>C</v>
      </c>
      <c r="S40" t="str" cm="1">
        <f t="array" ref="S40">_xlfn.XLOOKUP(TRUE, EXACT(Table27[[#This Row],[X2]], Table27[orig]), Table27[X])</f>
        <v>Q</v>
      </c>
      <c r="T40" t="str">
        <f>Table29[[#This Row],[Y]]</f>
        <v>V</v>
      </c>
      <c r="U40" t="str" cm="1">
        <f t="array" ref="U40">_xlfn.XLOOKUP(TRUE, EXACT(Table27[[#This Row],[Y]], Table27[orig]), Table27[Y])</f>
        <v>U</v>
      </c>
      <c r="V40" t="str" cm="1">
        <f t="array" ref="V40">_xlfn.XLOOKUP(TRUE, EXACT(Table27[[#This Row],[Y2]], Table27[orig]), Table27[Y])</f>
        <v>X</v>
      </c>
      <c r="W40" t="str">
        <f>Table29[[#This Row],[Z]]</f>
        <v>H</v>
      </c>
      <c r="X40" t="str" cm="1">
        <f t="array" ref="X40">_xlfn.XLOOKUP(TRUE, EXACT(Table27[[#This Row],[Z]], Table27[orig]), Table27[Z])</f>
        <v>A</v>
      </c>
      <c r="Y40" t="str" cm="1">
        <f t="array" ref="Y40">_xlfn.XLOOKUP(TRUE, EXACT(Table27[[#This Row],[Z2]], Table27[orig]), Table27[Z])</f>
        <v>N</v>
      </c>
      <c r="Z40" t="str">
        <f>Table29[[#This Row],[R]]</f>
        <v>K</v>
      </c>
      <c r="AA40" t="str" cm="1">
        <f t="array" ref="AA40">_xlfn.XLOOKUP(TRUE, EXACT(Table27[[#This Row],[R]], Table27[orig]), Table27[R])</f>
        <v>C</v>
      </c>
      <c r="AB40" t="str" cm="1">
        <f t="array" ref="AB40">_xlfn.XLOOKUP(TRUE, EXACT(Table27[[#This Row],[R2]], Table27[orig]), Table27[R])</f>
        <v>Q</v>
      </c>
      <c r="AC40" t="str" cm="1">
        <f t="array" ref="AC40">_xlfn.XLOOKUP(TRUE, EXACT(_xlfn.XLOOKUP(TRUE, EXACT(Table27[[#This Row],[Y2]], Table27[orig]), Table27[R]), Table27[orig]), Table27[Y2])</f>
        <v>W</v>
      </c>
      <c r="AD40" t="str" cm="1">
        <f t="array" ref="AD40">_xlfn.XLOOKUP(TRUE, EXACT(Table27[[#This Row],[L]], Table27[orig]), Table27[L])</f>
        <v>W</v>
      </c>
      <c r="AE40" t="str" cm="1">
        <f t="array" ref="AE40">_xlfn.XLOOKUP(TRUE, EXACT(Table27[[#This Row],[L2]], Table27[orig]), Table27[L])</f>
        <v>W</v>
      </c>
      <c r="AF40" t="str" cm="1">
        <f t="array" ref="AF40">_xlfn.XLOOKUP(TRUE, EXACT(Table27[[#This Row],[r-lower]], Table27[orig]), Table27[R''])</f>
        <v>W</v>
      </c>
      <c r="AG40" t="str" cm="1">
        <f t="array" ref="AG40">_xlfn.XLOOKUP(TRUE, EXACT(Table27[[#This Row],[T]], Table27[orig]), Table27[T])</f>
        <v>W</v>
      </c>
      <c r="AH40" t="str" cm="1">
        <f t="array" ref="AH40">_xlfn.XLOOKUP(TRUE, EXACT(Table27[[#This Row],[T2]], Table27[orig]), Table27[T])</f>
        <v>W</v>
      </c>
      <c r="AI40" t="str" cm="1">
        <f t="array" ref="AI40">_xlfn.XLOOKUP(TRUE, EXACT(Table27[[#This Row],[X]], Table27[orig]), Table27[L])</f>
        <v>K</v>
      </c>
      <c r="AJ40" t="str" cm="1">
        <f t="array" ref="AJ40">_xlfn.XLOOKUP(TRUE, EXACT(Table27[[#This Row],[r-lower]], Table27[orig]), Table27[r-lower])</f>
        <v>C</v>
      </c>
      <c r="AK40" t="str" cm="1">
        <f t="array" ref="AK40">_xlfn.XLOOKUP(TRUE, EXACT(Table27[[#This Row],[r2-lower]], Table27[orig]), Table27[r-lower])</f>
        <v>Q</v>
      </c>
      <c r="AL40" t="str" cm="1">
        <f t="array" ref="AL40">_xlfn.XLOOKUP(TRUE, EXACT(Table27[[#This Row],[X'']], Table27[orig]), Table27[R])</f>
        <v>W</v>
      </c>
      <c r="AM40" t="str" cm="1">
        <f t="array" ref="AM40">_xlfn.XLOOKUP(TRUE, EXACT(Table27[[#This Row],[l-lower]], Table27[orig]), Table27[l-lower])</f>
        <v>W</v>
      </c>
      <c r="AN40" t="str" cm="1">
        <f t="array" ref="AN40">_xlfn.XLOOKUP(TRUE, EXACT(Table27[[#This Row],[l2-lower]], Table27[orig]), Table27[l-lower])</f>
        <v>W</v>
      </c>
      <c r="AO40" t="str" cm="1">
        <f t="array" ref="AO40">_xlfn.XLOOKUP(TRUE, EXACT(Table27[[#This Row],[R]], Table27[orig]), Table27[L''])</f>
        <v>K</v>
      </c>
      <c r="AP40" t="str" cm="1">
        <f t="array" ref="AP40">_xlfn.XLOOKUP(TRUE, EXACT(Table27[[#This Row],[RL'']], Table27[orig]), Table27[RL''])</f>
        <v>C</v>
      </c>
      <c r="AQ40" t="str" cm="1">
        <f t="array" ref="AQ40">_xlfn.XLOOKUP(TRUE, EXACT(Table27[[#This Row],[R2L2]], Table27[orig]), Table27[RL''])</f>
        <v>Q</v>
      </c>
      <c r="AR40" t="str">
        <f>Table29[[#This Row],[U]]</f>
        <v>W</v>
      </c>
      <c r="AS40" t="str" cm="1">
        <f t="array" ref="AS40">_xlfn.XLOOKUP(TRUE, EXACT(Table27[[#This Row],[U]], Table27[orig]), Table27[U])</f>
        <v>W</v>
      </c>
      <c r="AT40" t="str" cm="1">
        <f t="array" ref="AT40">_xlfn.XLOOKUP(TRUE, EXACT(Table27[[#This Row],[U2]], Table27[orig]), Table27[U])</f>
        <v>W</v>
      </c>
      <c r="AU40" t="str" cm="1">
        <f t="array" ref="AU40">_xlfn.XLOOKUP(TRUE, EXACT(_xlfn.XLOOKUP(TRUE, EXACT(Table27[[#This Row],[Z2]], Table27[orig]), Table27[U]), Table27[orig]), Table27[Z2])</f>
        <v>X</v>
      </c>
      <c r="AV40" t="str" cm="1">
        <f t="array" ref="AV40">_xlfn.XLOOKUP(TRUE, EXACT(Table27[[#This Row],[D]], Table27[orig]), Table27[D])</f>
        <v>U</v>
      </c>
      <c r="AW40" t="str" cm="1">
        <f t="array" ref="AW40">_xlfn.XLOOKUP(TRUE, EXACT(Table27[[#This Row],[D2]], Table27[orig]), Table27[D])</f>
        <v>V</v>
      </c>
      <c r="AX40" t="str" cm="1">
        <f t="array" ref="AX40">_xlfn.XLOOKUP(TRUE, EXACT(Table27[[#This Row],[u-lower]], Table27[orig]), Table27[U''])</f>
        <v>W</v>
      </c>
      <c r="AY40" t="str" cm="1">
        <f t="array" ref="AY40">_xlfn.XLOOKUP(TRUE, EXACT(Table27[[#This Row],[H]], Table27[orig]), Table27[H])</f>
        <v>W</v>
      </c>
      <c r="AZ40" t="str" cm="1">
        <f t="array" ref="AZ40">_xlfn.XLOOKUP(TRUE, EXACT(Table27[[#This Row],[H2]], Table27[orig]), Table27[H])</f>
        <v>W</v>
      </c>
      <c r="BA40" t="str" cm="1">
        <f t="array" ref="BA40">_xlfn.XLOOKUP(TRUE, EXACT(Table27[[#This Row],[Y]], Table27[orig]), Table27[D])</f>
        <v>W</v>
      </c>
      <c r="BB40" t="str" cm="1">
        <f t="array" ref="BB40">_xlfn.XLOOKUP(TRUE, EXACT(Table27[[#This Row],[u-lower]], Table27[orig]), Table27[u-lower])</f>
        <v>W</v>
      </c>
      <c r="BC40" t="str" cm="1">
        <f t="array" ref="BC40">_xlfn.XLOOKUP(TRUE, EXACT(Table27[[#This Row],[u2-lower]], Table27[orig]), Table27[u-lower])</f>
        <v>W</v>
      </c>
      <c r="BD40" t="str" cm="1">
        <f t="array" ref="BD40">_xlfn.XLOOKUP(TRUE, EXACT(Table27[[#This Row],[Y'']], Table27[orig]), Table27[U])</f>
        <v>X</v>
      </c>
      <c r="BE40" t="str" cm="1">
        <f t="array" ref="BE40">_xlfn.XLOOKUP(TRUE, EXACT(Table27[[#This Row],[d-lower]], Table27[orig]), Table27[d-lower])</f>
        <v>U</v>
      </c>
      <c r="BF40" t="str" cm="1">
        <f t="array" ref="BF40">_xlfn.XLOOKUP(TRUE, EXACT(Table27[[#This Row],[d2-lower]], Table27[orig]), Table27[d-lower])</f>
        <v>V</v>
      </c>
      <c r="BG40" t="str" cm="1">
        <f t="array" ref="BG40">_xlfn.XLOOKUP(TRUE, EXACT(Table27[[#This Row],[U]], Table27[orig]), Table27[D''])</f>
        <v>V</v>
      </c>
      <c r="BH40" t="str" cm="1">
        <f t="array" ref="BH40">_xlfn.XLOOKUP(TRUE, EXACT(Table27[[#This Row],[UD'']], Table27[orig]), Table27[UD''])</f>
        <v>U</v>
      </c>
      <c r="BI40" t="str" cm="1">
        <f t="array" ref="BI40">_xlfn.XLOOKUP(TRUE, EXACT(Table27[[#This Row],[U2D2]], Table27[orig]), Table27[UD''])</f>
        <v>X</v>
      </c>
      <c r="BJ40" t="str">
        <f>Table29[[#This Row],[F]]</f>
        <v>W</v>
      </c>
      <c r="BK40" t="str" cm="1">
        <f t="array" ref="BK40">_xlfn.XLOOKUP(TRUE, EXACT(Table27[[#This Row],[F]], Table27[orig]), Table27[F])</f>
        <v>W</v>
      </c>
      <c r="BL40" t="str" cm="1">
        <f t="array" ref="BL40">_xlfn.XLOOKUP(TRUE, EXACT(Table27[[#This Row],[F2]], Table27[orig]), Table27[F])</f>
        <v>W</v>
      </c>
      <c r="BM40" t="str" cm="1">
        <f t="array" ref="BM40">_xlfn.XLOOKUP(TRUE, EXACT(_xlfn.XLOOKUP(TRUE, EXACT(Table27[[#This Row],[X2]], Table27[orig]), Table27[F]), Table27[orig]), Table27[X2])</f>
        <v>N</v>
      </c>
      <c r="BN40" t="str" cm="1">
        <f t="array" ref="BN40">_xlfn.XLOOKUP(TRUE, EXACT(Table27[[#This Row],[B]], Table27[orig]), Table27[B])</f>
        <v>A</v>
      </c>
      <c r="BO40" t="str" cm="1">
        <f t="array" ref="BO40">_xlfn.XLOOKUP(TRUE, EXACT(Table27[[#This Row],[B2]], Table27[orig]), Table27[B])</f>
        <v>H</v>
      </c>
      <c r="BP40" t="str" cm="1">
        <f t="array" ref="BP40">_xlfn.XLOOKUP(TRUE, EXACT(Table27[[#This Row],[f-lower]], Table27[orig]), Table27[F''])</f>
        <v>W</v>
      </c>
      <c r="BQ40" t="str" cm="1">
        <f t="array" ref="BQ40">_xlfn.XLOOKUP(TRUE, EXACT(Table27[[#This Row],[S]], Table27[orig]), Table27[S])</f>
        <v>W</v>
      </c>
      <c r="BR40" t="str" cm="1">
        <f t="array" ref="BR40">_xlfn.XLOOKUP(TRUE, EXACT(Table27[[#This Row],[S2]], Table27[orig]), Table27[S])</f>
        <v>W</v>
      </c>
      <c r="BS40" t="str" cm="1">
        <f t="array" ref="BS40">_xlfn.XLOOKUP(TRUE, EXACT(Table27[[#This Row],[Z]], Table27[orig]), Table27[B])</f>
        <v>W</v>
      </c>
      <c r="BT40" t="str" cm="1">
        <f t="array" ref="BT40">_xlfn.XLOOKUP(TRUE, EXACT(Table27[[#This Row],[f-lower]], Table27[orig]), Table27[f-lower])</f>
        <v>W</v>
      </c>
      <c r="BU40" t="str" cm="1">
        <f t="array" ref="BU40">_xlfn.XLOOKUP(TRUE, EXACT(Table27[[#This Row],[f2-lower]], Table27[orig]), Table27[f-lower])</f>
        <v>W</v>
      </c>
      <c r="BV40" t="str" cm="1">
        <f t="array" ref="BV40">_xlfn.XLOOKUP(TRUE, EXACT(Table27[[#This Row],[Z'']], Table27[orig]), Table27[F])</f>
        <v>N</v>
      </c>
      <c r="BW40" t="str" cm="1">
        <f t="array" ref="BW40">_xlfn.XLOOKUP(TRUE, EXACT(Table27[[#This Row],[b-lower]], Table27[orig]), Table27[b-lower])</f>
        <v>A</v>
      </c>
      <c r="BX40" t="str" cm="1">
        <f t="array" ref="BX40">_xlfn.XLOOKUP(TRUE, EXACT(Table27[[#This Row],[b2-lower]], Table27[orig]), Table27[b-lower])</f>
        <v>H</v>
      </c>
      <c r="BY40" t="str" cm="1">
        <f t="array" ref="BY40">_xlfn.XLOOKUP(TRUE, EXACT(Table27[[#This Row],[F]], Table27[orig]), Table27[B''])</f>
        <v>H</v>
      </c>
      <c r="BZ40" t="str" cm="1">
        <f t="array" ref="BZ40">_xlfn.XLOOKUP(TRUE, EXACT(Table27[[#This Row],[FB'']], Table27[orig]), Table27[FB''])</f>
        <v>A</v>
      </c>
      <c r="CA40" t="str" cm="1">
        <f t="array" ref="CA40">_xlfn.XLOOKUP(TRUE, EXACT(Table27[[#This Row],[F2B2]], Table27[orig]), Table27[FB''])</f>
        <v>N</v>
      </c>
      <c r="CD40" t="s">
        <v>129</v>
      </c>
      <c r="CE40" t="str">
        <f>Table28[[#This Row],[orig]]</f>
        <v>W</v>
      </c>
      <c r="CF40" t="str">
        <f>Table29[[#This Row],[X]]</f>
        <v>K</v>
      </c>
      <c r="CG40" t="str" cm="1">
        <f t="array" ref="CG40">_xlfn.XLOOKUP(TRUE, EXACT(Table28[[#This Row],[X]], Table28[orig]), Table28[X])</f>
        <v>C</v>
      </c>
      <c r="CH40" t="str" cm="1">
        <f t="array" ref="CH40">_xlfn.XLOOKUP(TRUE, EXACT(Table28[[#This Row],[X2]], Table28[orig]), Table28[X])</f>
        <v>Q</v>
      </c>
      <c r="CI40" t="str">
        <f>Table29[[#This Row],[Y]]</f>
        <v>V</v>
      </c>
      <c r="CJ40" t="str" cm="1">
        <f t="array" ref="CJ40">_xlfn.XLOOKUP(TRUE, EXACT(Table28[[#This Row],[Y]], Table28[orig]), Table28[Y])</f>
        <v>U</v>
      </c>
      <c r="CK40" t="str" cm="1">
        <f t="array" ref="CK40">_xlfn.XLOOKUP(TRUE, EXACT(Table28[[#This Row],[Y2]], Table28[orig]), Table28[Y])</f>
        <v>X</v>
      </c>
      <c r="CL40" t="str">
        <f>Table29[[#This Row],[Z]]</f>
        <v>H</v>
      </c>
      <c r="CM40" t="str" cm="1">
        <f t="array" ref="CM40">_xlfn.XLOOKUP(TRUE, EXACT(Table28[[#This Row],[Z]], Table28[orig]), Table28[Z])</f>
        <v>A</v>
      </c>
      <c r="CN40" t="str" cm="1">
        <f t="array" ref="CN40">_xlfn.XLOOKUP(TRUE, EXACT(Table28[[#This Row],[Z2]], Table28[orig]), Table28[Z])</f>
        <v>N</v>
      </c>
      <c r="CO40" t="str" cm="1">
        <f t="array" ref="CO40">_xlfn.XLOOKUP(TRUE, EXACT(Table28[[#This Row],[Z]], Table28[orig]), Table28[X])</f>
        <v>G</v>
      </c>
      <c r="CP40" t="str" cm="1">
        <f t="array" ref="CP40">_xlfn.XLOOKUP(TRUE, EXACT(Table28[[#This Row],[Y'']], Table28[orig]), Table28[X''])</f>
        <v>R</v>
      </c>
      <c r="CQ40" t="str" cm="1">
        <f t="array" ref="CQ40">_xlfn.XLOOKUP(TRUE, EXACT(Table28[[#This Row],[Y]], Table28[orig]), Table28[X''])</f>
        <v>T</v>
      </c>
      <c r="CR40" t="str" cm="1">
        <f t="array" ref="CR40">_xlfn.XLOOKUP(TRUE, EXACT(Table28[[#This Row],[Z'']], Table28[orig]), Table28[X])</f>
        <v>O</v>
      </c>
      <c r="CS40" t="str" cm="1">
        <f t="array" ref="CS40">_xlfn.XLOOKUP(TRUE, EXACT(Table28[[#This Row],[Z'']], Table28[orig]), Table28[X''])</f>
        <v>M</v>
      </c>
      <c r="CT40" t="str" cm="1">
        <f t="array" ref="CT40">_xlfn.XLOOKUP(TRUE, EXACT(Table28[[#This Row],[Y'']], Table28[orig]), Table28[X])</f>
        <v>L</v>
      </c>
      <c r="CU40" t="str" cm="1">
        <f t="array" ref="CU40">_xlfn.XLOOKUP(TRUE, EXACT(Table28[[#This Row],[Y]], Table28[orig]), Table28[X])</f>
        <v>J</v>
      </c>
      <c r="CV40" t="str" cm="1">
        <f t="array" ref="CV40">_xlfn.XLOOKUP(TRUE, EXACT(Table28[[#This Row],[Z]], Table28[orig]), Table28[X''])</f>
        <v>E</v>
      </c>
      <c r="CW40" t="str" cm="1">
        <f t="array" ref="CW40">_xlfn.XLOOKUP(TRUE, EXACT(Table28[[#This Row],[Y'']], Table28[orig]), Table28[X2])</f>
        <v>D</v>
      </c>
      <c r="CX40" t="str" cm="1">
        <f t="array" ref="CX40">_xlfn.XLOOKUP(TRUE, EXACT(Table28[[#This Row],[Y]], Table28[orig]), Table28[X2])</f>
        <v>B</v>
      </c>
      <c r="CY40" t="str" cm="1">
        <f t="array" ref="CY40">_xlfn.XLOOKUP(TRUE, EXACT(Table28[[#This Row],[Z]], Table28[orig]), Table28[X2])</f>
        <v>F</v>
      </c>
      <c r="CZ40" t="str" cm="1">
        <f t="array" ref="CZ40">_xlfn.XLOOKUP(TRUE, EXACT(Table28[[#This Row],[Z'']], Table28[orig]), Table28[X2])</f>
        <v>P</v>
      </c>
      <c r="DA40" t="str" cm="1">
        <f t="array" ref="DA40">_xlfn.XLOOKUP(TRUE, EXACT(Table28[[#This Row],[Z2]], Table28[orig]), Table28[X])</f>
        <v>S</v>
      </c>
      <c r="DB40" t="str" cm="1">
        <f t="array" ref="DB40">_xlfn.XLOOKUP(TRUE, EXACT(Table28[[#This Row],[Z2]], Table28[orig]), Table28[X''])</f>
        <v>I</v>
      </c>
      <c r="DE40" s="6" t="s">
        <v>129</v>
      </c>
      <c r="DF40" s="6" t="str" cm="1">
        <f t="array" ref="DF40">_xlfn.XLOOKUP(TRUE, EXACT(Table28[[#This Row],[I]], Table29[orig]), Table29[T-reflection])</f>
        <v>X</v>
      </c>
      <c r="DG40" s="6" t="str" cm="1">
        <f t="array" ref="DG40">_xlfn.XLOOKUP(TRUE, EXACT(Table28[[#This Row],[X]], Table29[orig]), Table29[T-reflection])</f>
        <v>L</v>
      </c>
      <c r="DH40" t="str" cm="1">
        <f t="array" ref="DH40">_xlfn.XLOOKUP(TRUE, EXACT(Table28[[#This Row],[X2]], Table29[orig]), Table29[T-reflection])</f>
        <v>D</v>
      </c>
      <c r="DI40" t="str" cm="1">
        <f t="array" ref="DI40">_xlfn.XLOOKUP(TRUE, EXACT(Table28[[#This Row],[X'']], Table29[orig]), Table29[T-reflection])</f>
        <v>R</v>
      </c>
      <c r="DJ40" s="6" t="str" cm="1">
        <f t="array" ref="DJ40">_xlfn.XLOOKUP(TRUE, EXACT(Table28[[#This Row],[Y]], Table29[orig]), Table29[T-reflection])</f>
        <v>U</v>
      </c>
      <c r="DK40" t="str" cm="1">
        <f t="array" ref="DK40">_xlfn.XLOOKUP(TRUE, EXACT(Table28[[#This Row],[Y2]], Table29[orig]), Table29[T-reflection])</f>
        <v>V</v>
      </c>
      <c r="DL40" t="str" cm="1">
        <f t="array" ref="DL40">_xlfn.XLOOKUP(TRUE, EXACT(Table28[[#This Row],[Y'']], Table29[orig]), Table29[T-reflection])</f>
        <v>W</v>
      </c>
      <c r="DM40" s="6" t="str" cm="1">
        <f t="array" ref="DM40">_xlfn.XLOOKUP(TRUE, EXACT(Table28[[#This Row],[Z]], Table29[orig]), Table29[T-reflection])</f>
        <v>O</v>
      </c>
      <c r="DN40" t="str" cm="1">
        <f t="array" ref="DN40">_xlfn.XLOOKUP(TRUE, EXACT(Table28[[#This Row],[Z2]], Table29[orig]), Table29[T-reflection])</f>
        <v>B</v>
      </c>
      <c r="DO40" t="str" cm="1">
        <f t="array" ref="DO40">_xlfn.XLOOKUP(TRUE, EXACT(Table28[[#This Row],[Z'']], Table29[orig]), Table29[T-reflection])</f>
        <v>E</v>
      </c>
      <c r="DP40" t="str" cm="1">
        <f t="array" ref="DP40">_xlfn.XLOOKUP(TRUE, EXACT(Table28[[#This Row],[Z X]], Table29[orig]), Table29[T-reflection])</f>
        <v>P</v>
      </c>
      <c r="DQ40" t="str" cm="1">
        <f t="array" ref="DQ40">_xlfn.XLOOKUP(TRUE, EXACT(Table28[[#This Row],[Y'' X'']], Table29[orig]), Table29[T-reflection])</f>
        <v>Q</v>
      </c>
      <c r="DR40" t="str" cm="1">
        <f t="array" ref="DR40">_xlfn.XLOOKUP(TRUE, EXACT(Table28[[#This Row],[Y X'']], Table29[orig]), Table29[T-reflection])</f>
        <v>S</v>
      </c>
      <c r="DS40" t="str" cm="1">
        <f t="array" ref="DS40">_xlfn.XLOOKUP(TRUE, EXACT(Table28[[#This Row],[Z'' X]], Table29[orig]), Table29[T-reflection])</f>
        <v>H</v>
      </c>
      <c r="DT40" t="str" cm="1">
        <f t="array" ref="DT40">_xlfn.XLOOKUP(TRUE, EXACT(Table28[[#This Row],[Z'' X'']], Table29[orig]), Table29[T-reflection])</f>
        <v>F</v>
      </c>
      <c r="DU40" t="str" cm="1">
        <f t="array" ref="DU40">_xlfn.XLOOKUP(TRUE, EXACT(Table28[[#This Row],[Y'' X]], Table29[orig]), Table29[T-reflection])</f>
        <v>K</v>
      </c>
      <c r="DV40" t="str" cm="1">
        <f t="array" ref="DV40">_xlfn.XLOOKUP(TRUE, EXACT(Table28[[#This Row],[Y X]], Table29[orig]), Table29[T-reflection])</f>
        <v>I</v>
      </c>
      <c r="DW40" t="str" cm="1">
        <f t="array" ref="DW40">_xlfn.XLOOKUP(TRUE, EXACT(Table28[[#This Row],[Z X'']], Table29[orig]), Table29[T-reflection])</f>
        <v>N</v>
      </c>
      <c r="DX40" t="str" cm="1">
        <f t="array" ref="DX40">_xlfn.XLOOKUP(TRUE, EXACT(Table28[[#This Row],[Y'' X2]], Table29[orig]), Table29[T-reflection])</f>
        <v>C</v>
      </c>
      <c r="DY40" t="str" cm="1">
        <f t="array" ref="DY40">_xlfn.XLOOKUP(TRUE, EXACT(Table28[[#This Row],[Y X2]], Table29[orig]), Table29[T-reflection])</f>
        <v>A</v>
      </c>
      <c r="DZ40" t="str" cm="1">
        <f t="array" ref="DZ40">_xlfn.XLOOKUP(TRUE, EXACT(Table28[[#This Row],[Z X2]], Table29[orig]), Table29[T-reflection])</f>
        <v>M</v>
      </c>
      <c r="EA40" t="str" cm="1">
        <f t="array" ref="EA40">_xlfn.XLOOKUP(TRUE, EXACT(Table28[[#This Row],[Z'' X2]], Table29[orig]), Table29[T-reflection])</f>
        <v>G</v>
      </c>
      <c r="EB40" t="str" cm="1">
        <f t="array" ref="EB40">_xlfn.XLOOKUP(TRUE, EXACT(Table28[[#This Row],[Z2 X]], Table29[orig]), Table29[T-reflection])</f>
        <v>T</v>
      </c>
      <c r="EC40" t="str" cm="1">
        <f t="array" ref="EC40">_xlfn.XLOOKUP(TRUE, EXACT(Table28[[#This Row],[Z2 X'']], Table29[orig]), Table29[T-reflection])</f>
        <v>J</v>
      </c>
    </row>
    <row r="41" spans="1:164" s="7" customFormat="1" ht="16" thickBot="1" x14ac:dyDescent="0.25">
      <c r="A41"/>
      <c r="B41" s="7" t="s">
        <v>0</v>
      </c>
      <c r="C41" s="7" t="s">
        <v>0</v>
      </c>
      <c r="D41" s="7" t="s">
        <v>30</v>
      </c>
      <c r="E41" s="7" t="s">
        <v>129</v>
      </c>
      <c r="F41" s="7" t="s">
        <v>126</v>
      </c>
      <c r="G41" s="7" t="s">
        <v>129</v>
      </c>
      <c r="H41" s="7" t="s">
        <v>37</v>
      </c>
      <c r="I41" s="7" t="s">
        <v>54</v>
      </c>
      <c r="J41" s="7" t="s">
        <v>0</v>
      </c>
      <c r="K41" s="7" t="s">
        <v>0</v>
      </c>
      <c r="L41" s="7" t="s">
        <v>0</v>
      </c>
      <c r="M41"/>
      <c r="N41"/>
      <c r="O41" s="7" t="s">
        <v>0</v>
      </c>
      <c r="P41" s="7" t="str">
        <f>Table27[[#This Row],[orig]]</f>
        <v>X</v>
      </c>
      <c r="Q41" s="7" t="str">
        <f>Table29[[#This Row],[X]]</f>
        <v>L</v>
      </c>
      <c r="R41" s="7" t="str" cm="1">
        <f t="array" ref="R41">_xlfn.XLOOKUP(TRUE, EXACT(Table27[[#This Row],[X]], Table27[orig]), Table27[X])</f>
        <v>D</v>
      </c>
      <c r="S41" s="7" t="str" cm="1">
        <f t="array" ref="S41">_xlfn.XLOOKUP(TRUE, EXACT(Table27[[#This Row],[X2]], Table27[orig]), Table27[X])</f>
        <v>R</v>
      </c>
      <c r="T41" s="7" t="str">
        <f>Table29[[#This Row],[Y]]</f>
        <v>W</v>
      </c>
      <c r="U41" s="7" t="str" cm="1">
        <f t="array" ref="U41">_xlfn.XLOOKUP(TRUE, EXACT(Table27[[#This Row],[Y]], Table27[orig]), Table27[Y])</f>
        <v>V</v>
      </c>
      <c r="V41" s="7" t="str" cm="1">
        <f t="array" ref="V41">_xlfn.XLOOKUP(TRUE, EXACT(Table27[[#This Row],[Y2]], Table27[orig]), Table27[Y])</f>
        <v>U</v>
      </c>
      <c r="W41" s="7" t="str">
        <f>Table29[[#This Row],[Z]]</f>
        <v>E</v>
      </c>
      <c r="X41" s="7" t="str" cm="1">
        <f t="array" ref="X41">_xlfn.XLOOKUP(TRUE, EXACT(Table27[[#This Row],[Z]], Table27[orig]), Table27[Z])</f>
        <v>B</v>
      </c>
      <c r="Y41" s="7" t="str" cm="1">
        <f t="array" ref="Y41">_xlfn.XLOOKUP(TRUE, EXACT(Table27[[#This Row],[Z2]], Table27[orig]), Table27[Z])</f>
        <v>O</v>
      </c>
      <c r="Z41" s="7" t="str">
        <f>Table29[[#This Row],[R]]</f>
        <v>X</v>
      </c>
      <c r="AA41" s="7" t="str" cm="1">
        <f t="array" ref="AA41">_xlfn.XLOOKUP(TRUE, EXACT(Table27[[#This Row],[R]], Table27[orig]), Table27[R])</f>
        <v>X</v>
      </c>
      <c r="AB41" s="7" t="str" cm="1">
        <f t="array" ref="AB41">_xlfn.XLOOKUP(TRUE, EXACT(Table27[[#This Row],[R2]], Table27[orig]), Table27[R])</f>
        <v>X</v>
      </c>
      <c r="AC41" s="7" t="str" cm="1">
        <f t="array" ref="AC41">_xlfn.XLOOKUP(TRUE, EXACT(_xlfn.XLOOKUP(TRUE, EXACT(Table27[[#This Row],[Y2]], Table27[orig]), Table27[R]), Table27[orig]), Table27[Y2])</f>
        <v>R</v>
      </c>
      <c r="AD41" s="7" t="str" cm="1">
        <f t="array" ref="AD41">_xlfn.XLOOKUP(TRUE, EXACT(Table27[[#This Row],[L]], Table27[orig]), Table27[L])</f>
        <v>D</v>
      </c>
      <c r="AE41" s="7" t="str" cm="1">
        <f t="array" ref="AE41">_xlfn.XLOOKUP(TRUE, EXACT(Table27[[#This Row],[L2]], Table27[orig]), Table27[L])</f>
        <v>L</v>
      </c>
      <c r="AF41" s="7" t="str" cm="1">
        <f t="array" ref="AF41">_xlfn.XLOOKUP(TRUE, EXACT(Table27[[#This Row],[r-lower]], Table27[orig]), Table27[R''])</f>
        <v>X</v>
      </c>
      <c r="AG41" s="7" t="str" cm="1">
        <f t="array" ref="AG41">_xlfn.XLOOKUP(TRUE, EXACT(Table27[[#This Row],[T]], Table27[orig]), Table27[T])</f>
        <v>X</v>
      </c>
      <c r="AH41" s="7" t="str" cm="1">
        <f t="array" ref="AH41">_xlfn.XLOOKUP(TRUE, EXACT(Table27[[#This Row],[T2]], Table27[orig]), Table27[T])</f>
        <v>X</v>
      </c>
      <c r="AI41" s="7" t="str" cm="1">
        <f t="array" ref="AI41">_xlfn.XLOOKUP(TRUE, EXACT(Table27[[#This Row],[X]], Table27[orig]), Table27[L])</f>
        <v>X</v>
      </c>
      <c r="AJ41" s="7" t="str" cm="1">
        <f t="array" ref="AJ41">_xlfn.XLOOKUP(TRUE, EXACT(Table27[[#This Row],[r-lower]], Table27[orig]), Table27[r-lower])</f>
        <v>X</v>
      </c>
      <c r="AK41" s="7" t="str" cm="1">
        <f t="array" ref="AK41">_xlfn.XLOOKUP(TRUE, EXACT(Table27[[#This Row],[r2-lower]], Table27[orig]), Table27[r-lower])</f>
        <v>X</v>
      </c>
      <c r="AL41" s="7" t="str" cm="1">
        <f t="array" ref="AL41">_xlfn.XLOOKUP(TRUE, EXACT(Table27[[#This Row],[X'']], Table27[orig]), Table27[R])</f>
        <v>R</v>
      </c>
      <c r="AM41" s="7" t="str" cm="1">
        <f t="array" ref="AM41">_xlfn.XLOOKUP(TRUE, EXACT(Table27[[#This Row],[l-lower]], Table27[orig]), Table27[l-lower])</f>
        <v>D</v>
      </c>
      <c r="AN41" s="7" t="str" cm="1">
        <f t="array" ref="AN41">_xlfn.XLOOKUP(TRUE, EXACT(Table27[[#This Row],[l2-lower]], Table27[orig]), Table27[l-lower])</f>
        <v>L</v>
      </c>
      <c r="AO41" s="7" t="str" cm="1">
        <f t="array" ref="AO41">_xlfn.XLOOKUP(TRUE, EXACT(Table27[[#This Row],[R]], Table27[orig]), Table27[L''])</f>
        <v>L</v>
      </c>
      <c r="AP41" s="7" t="str" cm="1">
        <f t="array" ref="AP41">_xlfn.XLOOKUP(TRUE, EXACT(Table27[[#This Row],[RL'']], Table27[orig]), Table27[RL''])</f>
        <v>D</v>
      </c>
      <c r="AQ41" s="7" t="str" cm="1">
        <f t="array" ref="AQ41">_xlfn.XLOOKUP(TRUE, EXACT(Table27[[#This Row],[R2L2]], Table27[orig]), Table27[RL''])</f>
        <v>R</v>
      </c>
      <c r="AR41" s="7" t="str">
        <f>Table29[[#This Row],[U]]</f>
        <v>X</v>
      </c>
      <c r="AS41" s="7" t="str" cm="1">
        <f t="array" ref="AS41">_xlfn.XLOOKUP(TRUE, EXACT(Table27[[#This Row],[U]], Table27[orig]), Table27[U])</f>
        <v>X</v>
      </c>
      <c r="AT41" s="7" t="str" cm="1">
        <f t="array" ref="AT41">_xlfn.XLOOKUP(TRUE, EXACT(Table27[[#This Row],[U2]], Table27[orig]), Table27[U])</f>
        <v>X</v>
      </c>
      <c r="AU41" s="7" t="str" cm="1">
        <f t="array" ref="AU41">_xlfn.XLOOKUP(TRUE, EXACT(_xlfn.XLOOKUP(TRUE, EXACT(Table27[[#This Row],[Z2]], Table27[orig]), Table27[U]), Table27[orig]), Table27[Z2])</f>
        <v>U</v>
      </c>
      <c r="AV41" s="7" t="str" cm="1">
        <f t="array" ref="AV41">_xlfn.XLOOKUP(TRUE, EXACT(Table27[[#This Row],[D]], Table27[orig]), Table27[D])</f>
        <v>V</v>
      </c>
      <c r="AW41" s="7" t="str" cm="1">
        <f t="array" ref="AW41">_xlfn.XLOOKUP(TRUE, EXACT(Table27[[#This Row],[D2]], Table27[orig]), Table27[D])</f>
        <v>W</v>
      </c>
      <c r="AX41" s="7" t="str" cm="1">
        <f t="array" ref="AX41">_xlfn.XLOOKUP(TRUE, EXACT(Table27[[#This Row],[u-lower]], Table27[orig]), Table27[U''])</f>
        <v>X</v>
      </c>
      <c r="AY41" s="7" t="str" cm="1">
        <f t="array" ref="AY41">_xlfn.XLOOKUP(TRUE, EXACT(Table27[[#This Row],[H]], Table27[orig]), Table27[H])</f>
        <v>X</v>
      </c>
      <c r="AZ41" s="7" t="str" cm="1">
        <f t="array" ref="AZ41">_xlfn.XLOOKUP(TRUE, EXACT(Table27[[#This Row],[H2]], Table27[orig]), Table27[H])</f>
        <v>X</v>
      </c>
      <c r="BA41" s="7" t="str" cm="1">
        <f t="array" ref="BA41">_xlfn.XLOOKUP(TRUE, EXACT(Table27[[#This Row],[Y]], Table27[orig]), Table27[D])</f>
        <v>X</v>
      </c>
      <c r="BB41" s="7" t="str" cm="1">
        <f t="array" ref="BB41">_xlfn.XLOOKUP(TRUE, EXACT(Table27[[#This Row],[u-lower]], Table27[orig]), Table27[u-lower])</f>
        <v>X</v>
      </c>
      <c r="BC41" s="7" t="str" cm="1">
        <f t="array" ref="BC41">_xlfn.XLOOKUP(TRUE, EXACT(Table27[[#This Row],[u2-lower]], Table27[orig]), Table27[u-lower])</f>
        <v>X</v>
      </c>
      <c r="BD41" s="7" t="str" cm="1">
        <f t="array" ref="BD41">_xlfn.XLOOKUP(TRUE, EXACT(Table27[[#This Row],[Y'']], Table27[orig]), Table27[U])</f>
        <v>U</v>
      </c>
      <c r="BE41" s="7" t="str" cm="1">
        <f t="array" ref="BE41">_xlfn.XLOOKUP(TRUE, EXACT(Table27[[#This Row],[d-lower]], Table27[orig]), Table27[d-lower])</f>
        <v>V</v>
      </c>
      <c r="BF41" s="7" t="str" cm="1">
        <f t="array" ref="BF41">_xlfn.XLOOKUP(TRUE, EXACT(Table27[[#This Row],[d2-lower]], Table27[orig]), Table27[d-lower])</f>
        <v>W</v>
      </c>
      <c r="BG41" s="7" t="str" cm="1">
        <f t="array" ref="BG41">_xlfn.XLOOKUP(TRUE, EXACT(Table27[[#This Row],[U]], Table27[orig]), Table27[D''])</f>
        <v>W</v>
      </c>
      <c r="BH41" s="7" t="str" cm="1">
        <f t="array" ref="BH41">_xlfn.XLOOKUP(TRUE, EXACT(Table27[[#This Row],[UD'']], Table27[orig]), Table27[UD''])</f>
        <v>V</v>
      </c>
      <c r="BI41" s="7" t="str" cm="1">
        <f t="array" ref="BI41">_xlfn.XLOOKUP(TRUE, EXACT(Table27[[#This Row],[U2D2]], Table27[orig]), Table27[UD''])</f>
        <v>U</v>
      </c>
      <c r="BJ41" s="7" t="str">
        <f>Table29[[#This Row],[F]]</f>
        <v>X</v>
      </c>
      <c r="BK41" s="7" t="str" cm="1">
        <f t="array" ref="BK41">_xlfn.XLOOKUP(TRUE, EXACT(Table27[[#This Row],[F]], Table27[orig]), Table27[F])</f>
        <v>X</v>
      </c>
      <c r="BL41" s="7" t="str" cm="1">
        <f t="array" ref="BL41">_xlfn.XLOOKUP(TRUE, EXACT(Table27[[#This Row],[F2]], Table27[orig]), Table27[F])</f>
        <v>X</v>
      </c>
      <c r="BM41" s="7" t="str" cm="1">
        <f t="array" ref="BM41">_xlfn.XLOOKUP(TRUE, EXACT(_xlfn.XLOOKUP(TRUE, EXACT(Table27[[#This Row],[X2]], Table27[orig]), Table27[F]), Table27[orig]), Table27[X2])</f>
        <v>O</v>
      </c>
      <c r="BN41" s="7" t="str" cm="1">
        <f t="array" ref="BN41">_xlfn.XLOOKUP(TRUE, EXACT(Table27[[#This Row],[B]], Table27[orig]), Table27[B])</f>
        <v>B</v>
      </c>
      <c r="BO41" s="7" t="str" cm="1">
        <f t="array" ref="BO41">_xlfn.XLOOKUP(TRUE, EXACT(Table27[[#This Row],[B2]], Table27[orig]), Table27[B])</f>
        <v>E</v>
      </c>
      <c r="BP41" s="7" t="str" cm="1">
        <f t="array" ref="BP41">_xlfn.XLOOKUP(TRUE, EXACT(Table27[[#This Row],[f-lower]], Table27[orig]), Table27[F''])</f>
        <v>X</v>
      </c>
      <c r="BQ41" s="7" t="str" cm="1">
        <f t="array" ref="BQ41">_xlfn.XLOOKUP(TRUE, EXACT(Table27[[#This Row],[S]], Table27[orig]), Table27[S])</f>
        <v>X</v>
      </c>
      <c r="BR41" s="7" t="str" cm="1">
        <f t="array" ref="BR41">_xlfn.XLOOKUP(TRUE, EXACT(Table27[[#This Row],[S2]], Table27[orig]), Table27[S])</f>
        <v>X</v>
      </c>
      <c r="BS41" s="7" t="str" cm="1">
        <f t="array" ref="BS41">_xlfn.XLOOKUP(TRUE, EXACT(Table27[[#This Row],[Z]], Table27[orig]), Table27[B])</f>
        <v>X</v>
      </c>
      <c r="BT41" s="7" t="str" cm="1">
        <f t="array" ref="BT41">_xlfn.XLOOKUP(TRUE, EXACT(Table27[[#This Row],[f-lower]], Table27[orig]), Table27[f-lower])</f>
        <v>X</v>
      </c>
      <c r="BU41" s="7" t="str" cm="1">
        <f t="array" ref="BU41">_xlfn.XLOOKUP(TRUE, EXACT(Table27[[#This Row],[f2-lower]], Table27[orig]), Table27[f-lower])</f>
        <v>X</v>
      </c>
      <c r="BV41" s="7" t="str" cm="1">
        <f t="array" ref="BV41">_xlfn.XLOOKUP(TRUE, EXACT(Table27[[#This Row],[Z'']], Table27[orig]), Table27[F])</f>
        <v>O</v>
      </c>
      <c r="BW41" s="7" t="str" cm="1">
        <f t="array" ref="BW41">_xlfn.XLOOKUP(TRUE, EXACT(Table27[[#This Row],[b-lower]], Table27[orig]), Table27[b-lower])</f>
        <v>B</v>
      </c>
      <c r="BX41" s="7" t="str" cm="1">
        <f t="array" ref="BX41">_xlfn.XLOOKUP(TRUE, EXACT(Table27[[#This Row],[b2-lower]], Table27[orig]), Table27[b-lower])</f>
        <v>E</v>
      </c>
      <c r="BY41" s="7" t="str" cm="1">
        <f t="array" ref="BY41">_xlfn.XLOOKUP(TRUE, EXACT(Table27[[#This Row],[F]], Table27[orig]), Table27[B''])</f>
        <v>E</v>
      </c>
      <c r="BZ41" s="7" t="str" cm="1">
        <f t="array" ref="BZ41">_xlfn.XLOOKUP(TRUE, EXACT(Table27[[#This Row],[FB'']], Table27[orig]), Table27[FB''])</f>
        <v>B</v>
      </c>
      <c r="CA41" s="7" t="str" cm="1">
        <f t="array" ref="CA41">_xlfn.XLOOKUP(TRUE, EXACT(Table27[[#This Row],[F2B2]], Table27[orig]), Table27[FB''])</f>
        <v>O</v>
      </c>
      <c r="CB41"/>
      <c r="CC41"/>
      <c r="CD41" s="7" t="s">
        <v>0</v>
      </c>
      <c r="CE41" s="7" t="str">
        <f>Table28[[#This Row],[orig]]</f>
        <v>X</v>
      </c>
      <c r="CF41" s="7" t="str">
        <f>Table29[[#This Row],[X]]</f>
        <v>L</v>
      </c>
      <c r="CG41" s="7" t="str" cm="1">
        <f t="array" ref="CG41">_xlfn.XLOOKUP(TRUE, EXACT(Table28[[#This Row],[X]], Table28[orig]), Table28[X])</f>
        <v>D</v>
      </c>
      <c r="CH41" s="7" t="str" cm="1">
        <f t="array" ref="CH41">_xlfn.XLOOKUP(TRUE, EXACT(Table28[[#This Row],[X2]], Table28[orig]), Table28[X])</f>
        <v>R</v>
      </c>
      <c r="CI41" s="7" t="str">
        <f>Table29[[#This Row],[Y]]</f>
        <v>W</v>
      </c>
      <c r="CJ41" s="7" t="str" cm="1">
        <f t="array" ref="CJ41">_xlfn.XLOOKUP(TRUE, EXACT(Table28[[#This Row],[Y]], Table28[orig]), Table28[Y])</f>
        <v>V</v>
      </c>
      <c r="CK41" s="7" t="str" cm="1">
        <f t="array" ref="CK41">_xlfn.XLOOKUP(TRUE, EXACT(Table28[[#This Row],[Y2]], Table28[orig]), Table28[Y])</f>
        <v>U</v>
      </c>
      <c r="CL41" s="7" t="str">
        <f>Table29[[#This Row],[Z]]</f>
        <v>E</v>
      </c>
      <c r="CM41" s="7" t="str" cm="1">
        <f t="array" ref="CM41">_xlfn.XLOOKUP(TRUE, EXACT(Table28[[#This Row],[Z]], Table28[orig]), Table28[Z])</f>
        <v>B</v>
      </c>
      <c r="CN41" s="7" t="str" cm="1">
        <f t="array" ref="CN41">_xlfn.XLOOKUP(TRUE, EXACT(Table28[[#This Row],[Z2]], Table28[orig]), Table28[Z])</f>
        <v>O</v>
      </c>
      <c r="CO41" s="7" t="str" cm="1">
        <f t="array" ref="CO41">_xlfn.XLOOKUP(TRUE, EXACT(Table28[[#This Row],[Z]], Table28[orig]), Table28[X])</f>
        <v>H</v>
      </c>
      <c r="CP41" s="7" t="str" cm="1">
        <f t="array" ref="CP41">_xlfn.XLOOKUP(TRUE, EXACT(Table28[[#This Row],[Y'']], Table28[orig]), Table28[X''])</f>
        <v>S</v>
      </c>
      <c r="CQ41" s="7" t="str" cm="1">
        <f t="array" ref="CQ41">_xlfn.XLOOKUP(TRUE, EXACT(Table28[[#This Row],[Y]], Table28[orig]), Table28[X''])</f>
        <v>Q</v>
      </c>
      <c r="CR41" s="7" t="str" cm="1">
        <f t="array" ref="CR41">_xlfn.XLOOKUP(TRUE, EXACT(Table28[[#This Row],[Z'']], Table28[orig]), Table28[X])</f>
        <v>P</v>
      </c>
      <c r="CS41" s="7" t="str" cm="1">
        <f t="array" ref="CS41">_xlfn.XLOOKUP(TRUE, EXACT(Table28[[#This Row],[Z'']], Table28[orig]), Table28[X''])</f>
        <v>N</v>
      </c>
      <c r="CT41" s="7" t="str" cm="1">
        <f t="array" ref="CT41">_xlfn.XLOOKUP(TRUE, EXACT(Table28[[#This Row],[Y'']], Table28[orig]), Table28[X])</f>
        <v>I</v>
      </c>
      <c r="CU41" s="7" t="str" cm="1">
        <f t="array" ref="CU41">_xlfn.XLOOKUP(TRUE, EXACT(Table28[[#This Row],[Y]], Table28[orig]), Table28[X])</f>
        <v>K</v>
      </c>
      <c r="CV41" s="7" t="str" cm="1">
        <f t="array" ref="CV41">_xlfn.XLOOKUP(TRUE, EXACT(Table28[[#This Row],[Z]], Table28[orig]), Table28[X''])</f>
        <v>F</v>
      </c>
      <c r="CW41" s="7" t="str" cm="1">
        <f t="array" ref="CW41">_xlfn.XLOOKUP(TRUE, EXACT(Table28[[#This Row],[Y'']], Table28[orig]), Table28[X2])</f>
        <v>A</v>
      </c>
      <c r="CX41" s="7" t="str" cm="1">
        <f t="array" ref="CX41">_xlfn.XLOOKUP(TRUE, EXACT(Table28[[#This Row],[Y]], Table28[orig]), Table28[X2])</f>
        <v>C</v>
      </c>
      <c r="CY41" s="7" t="str" cm="1">
        <f t="array" ref="CY41">_xlfn.XLOOKUP(TRUE, EXACT(Table28[[#This Row],[Z]], Table28[orig]), Table28[X2])</f>
        <v>G</v>
      </c>
      <c r="CZ41" s="7" t="str" cm="1">
        <f t="array" ref="CZ41">_xlfn.XLOOKUP(TRUE, EXACT(Table28[[#This Row],[Z'']], Table28[orig]), Table28[X2])</f>
        <v>M</v>
      </c>
      <c r="DA41" s="7" t="str" cm="1">
        <f t="array" ref="DA41">_xlfn.XLOOKUP(TRUE, EXACT(Table28[[#This Row],[Z2]], Table28[orig]), Table28[X])</f>
        <v>T</v>
      </c>
      <c r="DB41" s="7" t="str" cm="1">
        <f t="array" ref="DB41">_xlfn.XLOOKUP(TRUE, EXACT(Table28[[#This Row],[Z2]], Table28[orig]), Table28[X''])</f>
        <v>J</v>
      </c>
      <c r="DC41"/>
      <c r="DD41"/>
      <c r="DE41" s="9" t="s">
        <v>0</v>
      </c>
      <c r="DF41" s="9" t="str" cm="1">
        <f t="array" ref="DF41">_xlfn.XLOOKUP(TRUE, EXACT(Table28[[#This Row],[I]], Table29[orig]), Table29[T-reflection])</f>
        <v>W</v>
      </c>
      <c r="DG41" s="9" t="str" cm="1">
        <f t="array" ref="DG41">_xlfn.XLOOKUP(TRUE, EXACT(Table28[[#This Row],[X]], Table29[orig]), Table29[T-reflection])</f>
        <v>K</v>
      </c>
      <c r="DH41" s="7" t="str" cm="1">
        <f t="array" ref="DH41">_xlfn.XLOOKUP(TRUE, EXACT(Table28[[#This Row],[X2]], Table29[orig]), Table29[T-reflection])</f>
        <v>C</v>
      </c>
      <c r="DI41" s="7" t="str" cm="1">
        <f t="array" ref="DI41">_xlfn.XLOOKUP(TRUE, EXACT(Table28[[#This Row],[X'']], Table29[orig]), Table29[T-reflection])</f>
        <v>Q</v>
      </c>
      <c r="DJ41" s="9" t="str" cm="1">
        <f t="array" ref="DJ41">_xlfn.XLOOKUP(TRUE, EXACT(Table28[[#This Row],[Y]], Table29[orig]), Table29[T-reflection])</f>
        <v>X</v>
      </c>
      <c r="DK41" s="7" t="str" cm="1">
        <f t="array" ref="DK41">_xlfn.XLOOKUP(TRUE, EXACT(Table28[[#This Row],[Y2]], Table29[orig]), Table29[T-reflection])</f>
        <v>U</v>
      </c>
      <c r="DL41" s="7" t="str" cm="1">
        <f t="array" ref="DL41">_xlfn.XLOOKUP(TRUE, EXACT(Table28[[#This Row],[Y'']], Table29[orig]), Table29[T-reflection])</f>
        <v>V</v>
      </c>
      <c r="DM41" s="9" t="str" cm="1">
        <f t="array" ref="DM41">_xlfn.XLOOKUP(TRUE, EXACT(Table28[[#This Row],[Z]], Table29[orig]), Table29[T-reflection])</f>
        <v>N</v>
      </c>
      <c r="DN41" s="7" t="str" cm="1">
        <f t="array" ref="DN41">_xlfn.XLOOKUP(TRUE, EXACT(Table28[[#This Row],[Z2]], Table29[orig]), Table29[T-reflection])</f>
        <v>A</v>
      </c>
      <c r="DO41" s="7" t="str" cm="1">
        <f t="array" ref="DO41">_xlfn.XLOOKUP(TRUE, EXACT(Table28[[#This Row],[Z'']], Table29[orig]), Table29[T-reflection])</f>
        <v>H</v>
      </c>
      <c r="DP41" s="7" t="str" cm="1">
        <f t="array" ref="DP41">_xlfn.XLOOKUP(TRUE, EXACT(Table28[[#This Row],[Z X]], Table29[orig]), Table29[T-reflection])</f>
        <v>O</v>
      </c>
      <c r="DQ41" s="7" t="str" cm="1">
        <f t="array" ref="DQ41">_xlfn.XLOOKUP(TRUE, EXACT(Table28[[#This Row],[Y'' X'']], Table29[orig]), Table29[T-reflection])</f>
        <v>T</v>
      </c>
      <c r="DR41" s="7" t="str" cm="1">
        <f t="array" ref="DR41">_xlfn.XLOOKUP(TRUE, EXACT(Table28[[#This Row],[Y X'']], Table29[orig]), Table29[T-reflection])</f>
        <v>R</v>
      </c>
      <c r="DS41" s="7" t="str" cm="1">
        <f t="array" ref="DS41">_xlfn.XLOOKUP(TRUE, EXACT(Table28[[#This Row],[Z'' X]], Table29[orig]), Table29[T-reflection])</f>
        <v>G</v>
      </c>
      <c r="DT41" s="7" t="str" cm="1">
        <f t="array" ref="DT41">_xlfn.XLOOKUP(TRUE, EXACT(Table28[[#This Row],[Z'' X'']], Table29[orig]), Table29[T-reflection])</f>
        <v>E</v>
      </c>
      <c r="DU41" s="7" t="str" cm="1">
        <f t="array" ref="DU41">_xlfn.XLOOKUP(TRUE, EXACT(Table28[[#This Row],[Y'' X]], Table29[orig]), Table29[T-reflection])</f>
        <v>J</v>
      </c>
      <c r="DV41" s="7" t="str" cm="1">
        <f t="array" ref="DV41">_xlfn.XLOOKUP(TRUE, EXACT(Table28[[#This Row],[Y X]], Table29[orig]), Table29[T-reflection])</f>
        <v>L</v>
      </c>
      <c r="DW41" s="7" t="str" cm="1">
        <f t="array" ref="DW41">_xlfn.XLOOKUP(TRUE, EXACT(Table28[[#This Row],[Z X'']], Table29[orig]), Table29[T-reflection])</f>
        <v>M</v>
      </c>
      <c r="DX41" s="7" t="str" cm="1">
        <f t="array" ref="DX41">_xlfn.XLOOKUP(TRUE, EXACT(Table28[[#This Row],[Y'' X2]], Table29[orig]), Table29[T-reflection])</f>
        <v>B</v>
      </c>
      <c r="DY41" s="7" t="str" cm="1">
        <f t="array" ref="DY41">_xlfn.XLOOKUP(TRUE, EXACT(Table28[[#This Row],[Y X2]], Table29[orig]), Table29[T-reflection])</f>
        <v>D</v>
      </c>
      <c r="DZ41" s="7" t="str" cm="1">
        <f t="array" ref="DZ41">_xlfn.XLOOKUP(TRUE, EXACT(Table28[[#This Row],[Z X2]], Table29[orig]), Table29[T-reflection])</f>
        <v>P</v>
      </c>
      <c r="EA41" s="7" t="str" cm="1">
        <f t="array" ref="EA41">_xlfn.XLOOKUP(TRUE, EXACT(Table28[[#This Row],[Z'' X2]], Table29[orig]), Table29[T-reflection])</f>
        <v>F</v>
      </c>
      <c r="EB41" s="7" t="str" cm="1">
        <f t="array" ref="EB41">_xlfn.XLOOKUP(TRUE, EXACT(Table28[[#This Row],[Z2 X]], Table29[orig]), Table29[T-reflection])</f>
        <v>S</v>
      </c>
      <c r="EC41" s="7" t="str" cm="1">
        <f t="array" ref="EC41">_xlfn.XLOOKUP(TRUE, EXACT(Table28[[#This Row],[Z2 X'']], Table29[orig]), Table29[T-reflection])</f>
        <v>I</v>
      </c>
      <c r="ED41"/>
      <c r="EE41"/>
      <c r="EF41"/>
      <c r="EG41"/>
      <c r="EH41"/>
      <c r="EI41"/>
      <c r="EJ41"/>
      <c r="EK41"/>
      <c r="EL41"/>
      <c r="EM41"/>
      <c r="EN41"/>
      <c r="EO41"/>
      <c r="EP41"/>
      <c r="EQ41"/>
      <c r="ER41"/>
      <c r="ES41"/>
      <c r="ET41"/>
      <c r="EU41"/>
      <c r="EV41"/>
      <c r="EW41"/>
      <c r="EX41"/>
      <c r="EY41"/>
      <c r="EZ41"/>
      <c r="FA41"/>
      <c r="FB41"/>
      <c r="FC41"/>
      <c r="FD41"/>
      <c r="FE41"/>
      <c r="FF41"/>
      <c r="FG41"/>
      <c r="FH41"/>
    </row>
    <row r="42" spans="1:164" x14ac:dyDescent="0.2">
      <c r="B42" t="s">
        <v>33</v>
      </c>
      <c r="C42" t="s">
        <v>33</v>
      </c>
      <c r="D42" t="s">
        <v>135</v>
      </c>
      <c r="E42" t="s">
        <v>34</v>
      </c>
      <c r="F42" t="s">
        <v>73</v>
      </c>
      <c r="G42" t="s">
        <v>33</v>
      </c>
      <c r="H42" t="s">
        <v>137</v>
      </c>
      <c r="I42" t="s">
        <v>35</v>
      </c>
      <c r="J42" t="s">
        <v>33</v>
      </c>
      <c r="K42" t="s">
        <v>34</v>
      </c>
      <c r="L42" t="s">
        <v>33</v>
      </c>
      <c r="O42" t="s">
        <v>33</v>
      </c>
      <c r="P42" t="str">
        <f>Table27[[#This Row],[orig]]</f>
        <v>a</v>
      </c>
      <c r="Q42" t="str">
        <f>Table29[[#This Row],[X]]</f>
        <v>s</v>
      </c>
      <c r="R42" t="str" cm="1">
        <f t="array" ref="R42">_xlfn.XLOOKUP(TRUE, EXACT(Table27[[#This Row],[X]], Table27[orig]), Table27[X])</f>
        <v>u</v>
      </c>
      <c r="S42" t="str" cm="1">
        <f t="array" ref="S42">_xlfn.XLOOKUP(TRUE, EXACT(Table27[[#This Row],[X2]], Table27[orig]), Table27[X])</f>
        <v>i</v>
      </c>
      <c r="T42" t="str">
        <f>Table29[[#This Row],[Y]]</f>
        <v>b</v>
      </c>
      <c r="U42" t="str" cm="1">
        <f t="array" ref="U42">_xlfn.XLOOKUP(TRUE, EXACT(Table27[[#This Row],[Y]], Table27[orig]), Table27[Y])</f>
        <v>c</v>
      </c>
      <c r="V42" t="str" cm="1">
        <f t="array" ref="V42">_xlfn.XLOOKUP(TRUE, EXACT(Table27[[#This Row],[Y2]], Table27[orig]), Table27[Y])</f>
        <v>d</v>
      </c>
      <c r="W42" t="str">
        <f>Table29[[#This Row],[Z]]</f>
        <v>n</v>
      </c>
      <c r="X42" t="str" cm="1">
        <f t="array" ref="X42">_xlfn.XLOOKUP(TRUE, EXACT(Table27[[#This Row],[Z]], Table27[orig]), Table27[Z])</f>
        <v>w</v>
      </c>
      <c r="Y42" t="str" cm="1">
        <f t="array" ref="Y42">_xlfn.XLOOKUP(TRUE, EXACT(Table27[[#This Row],[Z2]], Table27[orig]), Table27[Z])</f>
        <v>h</v>
      </c>
      <c r="Z42" t="str">
        <f>Table29[[#This Row],[R]]</f>
        <v>a</v>
      </c>
      <c r="AA42" t="str" cm="1">
        <f t="array" ref="AA42">_xlfn.XLOOKUP(TRUE, EXACT(Table27[[#This Row],[R]], Table27[orig]), Table27[R])</f>
        <v>a</v>
      </c>
      <c r="AB42" t="str" cm="1">
        <f t="array" ref="AB42">_xlfn.XLOOKUP(TRUE, EXACT(Table27[[#This Row],[R2]], Table27[orig]), Table27[R])</f>
        <v>a</v>
      </c>
      <c r="AC42" t="str" cm="1">
        <f t="array" ref="AC42">_xlfn.XLOOKUP(TRUE, EXACT(_xlfn.XLOOKUP(TRUE, EXACT(Table27[[#This Row],[Y2]], Table27[orig]), Table27[R]), Table27[orig]), Table27[Y2])</f>
        <v>a</v>
      </c>
      <c r="AD42" t="str" cm="1">
        <f t="array" ref="AD42">_xlfn.XLOOKUP(TRUE, EXACT(Table27[[#This Row],[L]], Table27[orig]), Table27[L])</f>
        <v>a</v>
      </c>
      <c r="AE42" t="str" cm="1">
        <f t="array" ref="AE42">_xlfn.XLOOKUP(TRUE, EXACT(Table27[[#This Row],[L2]], Table27[orig]), Table27[L])</f>
        <v>a</v>
      </c>
      <c r="AF42" t="str" cm="1">
        <f t="array" ref="AF42">_xlfn.XLOOKUP(TRUE, EXACT(Table27[[#This Row],[r-lower]], Table27[orig]), Table27[R''])</f>
        <v>s</v>
      </c>
      <c r="AG42" t="str" cm="1">
        <f t="array" ref="AG42">_xlfn.XLOOKUP(TRUE, EXACT(Table27[[#This Row],[T]], Table27[orig]), Table27[T])</f>
        <v>u</v>
      </c>
      <c r="AH42" t="str" cm="1">
        <f t="array" ref="AH42">_xlfn.XLOOKUP(TRUE, EXACT(Table27[[#This Row],[T2]], Table27[orig]), Table27[T])</f>
        <v>i</v>
      </c>
      <c r="AI42" t="str" cm="1">
        <f t="array" ref="AI42">_xlfn.XLOOKUP(TRUE, EXACT(Table27[[#This Row],[X]], Table27[orig]), Table27[L])</f>
        <v>s</v>
      </c>
      <c r="AJ42" t="str" cm="1">
        <f t="array" ref="AJ42">_xlfn.XLOOKUP(TRUE, EXACT(Table27[[#This Row],[r-lower]], Table27[orig]), Table27[r-lower])</f>
        <v>u</v>
      </c>
      <c r="AK42" t="str" cm="1">
        <f t="array" ref="AK42">_xlfn.XLOOKUP(TRUE, EXACT(Table27[[#This Row],[r2-lower]], Table27[orig]), Table27[r-lower])</f>
        <v>i</v>
      </c>
      <c r="AL42" t="str" cm="1">
        <f t="array" ref="AL42">_xlfn.XLOOKUP(TRUE, EXACT(Table27[[#This Row],[X'']], Table27[orig]), Table27[R])</f>
        <v>i</v>
      </c>
      <c r="AM42" t="str" cm="1">
        <f t="array" ref="AM42">_xlfn.XLOOKUP(TRUE, EXACT(Table27[[#This Row],[l-lower]], Table27[orig]), Table27[l-lower])</f>
        <v>u</v>
      </c>
      <c r="AN42" t="str" cm="1">
        <f t="array" ref="AN42">_xlfn.XLOOKUP(TRUE, EXACT(Table27[[#This Row],[l2-lower]], Table27[orig]), Table27[l-lower])</f>
        <v>s</v>
      </c>
      <c r="AO42" t="str" cm="1">
        <f t="array" ref="AO42">_xlfn.XLOOKUP(TRUE, EXACT(Table27[[#This Row],[R]], Table27[orig]), Table27[L''])</f>
        <v>a</v>
      </c>
      <c r="AP42" t="str" cm="1">
        <f t="array" ref="AP42">_xlfn.XLOOKUP(TRUE, EXACT(Table27[[#This Row],[RL'']], Table27[orig]), Table27[RL''])</f>
        <v>a</v>
      </c>
      <c r="AQ42" t="str" cm="1">
        <f t="array" ref="AQ42">_xlfn.XLOOKUP(TRUE, EXACT(Table27[[#This Row],[R2L2]], Table27[orig]), Table27[RL''])</f>
        <v>a</v>
      </c>
      <c r="AR42" t="str">
        <f>Table29[[#This Row],[U]]</f>
        <v>b</v>
      </c>
      <c r="AS42" t="str" cm="1">
        <f t="array" ref="AS42">_xlfn.XLOOKUP(TRUE, EXACT(Table27[[#This Row],[U]], Table27[orig]), Table27[U])</f>
        <v>c</v>
      </c>
      <c r="AT42" t="str" cm="1">
        <f t="array" ref="AT42">_xlfn.XLOOKUP(TRUE, EXACT(Table27[[#This Row],[U2]], Table27[orig]), Table27[U])</f>
        <v>d</v>
      </c>
      <c r="AU42" t="str" cm="1">
        <f t="array" ref="AU42">_xlfn.XLOOKUP(TRUE, EXACT(_xlfn.XLOOKUP(TRUE, EXACT(Table27[[#This Row],[Z2]], Table27[orig]), Table27[U]), Table27[orig]), Table27[Z2])</f>
        <v>a</v>
      </c>
      <c r="AV42" t="str" cm="1">
        <f t="array" ref="AV42">_xlfn.XLOOKUP(TRUE, EXACT(Table27[[#This Row],[D]], Table27[orig]), Table27[D])</f>
        <v>a</v>
      </c>
      <c r="AW42" t="str" cm="1">
        <f t="array" ref="AW42">_xlfn.XLOOKUP(TRUE, EXACT(Table27[[#This Row],[D2]], Table27[orig]), Table27[D])</f>
        <v>a</v>
      </c>
      <c r="AX42" t="str" cm="1">
        <f t="array" ref="AX42">_xlfn.XLOOKUP(TRUE, EXACT(Table27[[#This Row],[u-lower]], Table27[orig]), Table27[U''])</f>
        <v>a</v>
      </c>
      <c r="AY42" t="str" cm="1">
        <f t="array" ref="AY42">_xlfn.XLOOKUP(TRUE, EXACT(Table27[[#This Row],[H]], Table27[orig]), Table27[H])</f>
        <v>a</v>
      </c>
      <c r="AZ42" t="str" cm="1">
        <f t="array" ref="AZ42">_xlfn.XLOOKUP(TRUE, EXACT(Table27[[#This Row],[H2]], Table27[orig]), Table27[H])</f>
        <v>a</v>
      </c>
      <c r="BA42" t="str" cm="1">
        <f t="array" ref="BA42">_xlfn.XLOOKUP(TRUE, EXACT(Table27[[#This Row],[Y]], Table27[orig]), Table27[D])</f>
        <v>b</v>
      </c>
      <c r="BB42" t="str" cm="1">
        <f t="array" ref="BB42">_xlfn.XLOOKUP(TRUE, EXACT(Table27[[#This Row],[u-lower]], Table27[orig]), Table27[u-lower])</f>
        <v>c</v>
      </c>
      <c r="BC42" t="str" cm="1">
        <f t="array" ref="BC42">_xlfn.XLOOKUP(TRUE, EXACT(Table27[[#This Row],[u2-lower]], Table27[orig]), Table27[u-lower])</f>
        <v>d</v>
      </c>
      <c r="BD42" t="str" cm="1">
        <f t="array" ref="BD42">_xlfn.XLOOKUP(TRUE, EXACT(Table27[[#This Row],[Y'']], Table27[orig]), Table27[U])</f>
        <v>a</v>
      </c>
      <c r="BE42" t="str" cm="1">
        <f t="array" ref="BE42">_xlfn.XLOOKUP(TRUE, EXACT(Table27[[#This Row],[d-lower]], Table27[orig]), Table27[d-lower])</f>
        <v>a</v>
      </c>
      <c r="BF42" t="str" cm="1">
        <f t="array" ref="BF42">_xlfn.XLOOKUP(TRUE, EXACT(Table27[[#This Row],[d2-lower]], Table27[orig]), Table27[d-lower])</f>
        <v>a</v>
      </c>
      <c r="BG42" t="str" cm="1">
        <f t="array" ref="BG42">_xlfn.XLOOKUP(TRUE, EXACT(Table27[[#This Row],[U]], Table27[orig]), Table27[D''])</f>
        <v>b</v>
      </c>
      <c r="BH42" t="str" cm="1">
        <f t="array" ref="BH42">_xlfn.XLOOKUP(TRUE, EXACT(Table27[[#This Row],[UD'']], Table27[orig]), Table27[UD''])</f>
        <v>c</v>
      </c>
      <c r="BI42" t="str" cm="1">
        <f t="array" ref="BI42">_xlfn.XLOOKUP(TRUE, EXACT(Table27[[#This Row],[U2D2]], Table27[orig]), Table27[UD''])</f>
        <v>d</v>
      </c>
      <c r="BJ42" t="str">
        <f>Table29[[#This Row],[F]]</f>
        <v>a</v>
      </c>
      <c r="BK42" t="str" cm="1">
        <f t="array" ref="BK42">_xlfn.XLOOKUP(TRUE, EXACT(Table27[[#This Row],[F]], Table27[orig]), Table27[F])</f>
        <v>a</v>
      </c>
      <c r="BL42" t="str" cm="1">
        <f t="array" ref="BL42">_xlfn.XLOOKUP(TRUE, EXACT(Table27[[#This Row],[F2]], Table27[orig]), Table27[F])</f>
        <v>a</v>
      </c>
      <c r="BM42" t="str" cm="1">
        <f t="array" ref="BM42">_xlfn.XLOOKUP(TRUE, EXACT(_xlfn.XLOOKUP(TRUE, EXACT(Table27[[#This Row],[X2]], Table27[orig]), Table27[F]), Table27[orig]), Table27[X2])</f>
        <v>h</v>
      </c>
      <c r="BN42" t="str" cm="1">
        <f t="array" ref="BN42">_xlfn.XLOOKUP(TRUE, EXACT(Table27[[#This Row],[B]], Table27[orig]), Table27[B])</f>
        <v>w</v>
      </c>
      <c r="BO42" t="str" cm="1">
        <f t="array" ref="BO42">_xlfn.XLOOKUP(TRUE, EXACT(Table27[[#This Row],[B2]], Table27[orig]), Table27[B])</f>
        <v>n</v>
      </c>
      <c r="BP42" t="str" cm="1">
        <f t="array" ref="BP42">_xlfn.XLOOKUP(TRUE, EXACT(Table27[[#This Row],[f-lower]], Table27[orig]), Table27[F''])</f>
        <v>a</v>
      </c>
      <c r="BQ42" t="str" cm="1">
        <f t="array" ref="BQ42">_xlfn.XLOOKUP(TRUE, EXACT(Table27[[#This Row],[S]], Table27[orig]), Table27[S])</f>
        <v>a</v>
      </c>
      <c r="BR42" t="str" cm="1">
        <f t="array" ref="BR42">_xlfn.XLOOKUP(TRUE, EXACT(Table27[[#This Row],[S2]], Table27[orig]), Table27[S])</f>
        <v>a</v>
      </c>
      <c r="BS42" t="str" cm="1">
        <f t="array" ref="BS42">_xlfn.XLOOKUP(TRUE, EXACT(Table27[[#This Row],[Z]], Table27[orig]), Table27[B])</f>
        <v>a</v>
      </c>
      <c r="BT42" t="str" cm="1">
        <f t="array" ref="BT42">_xlfn.XLOOKUP(TRUE, EXACT(Table27[[#This Row],[f-lower]], Table27[orig]), Table27[f-lower])</f>
        <v>a</v>
      </c>
      <c r="BU42" t="str" cm="1">
        <f t="array" ref="BU42">_xlfn.XLOOKUP(TRUE, EXACT(Table27[[#This Row],[f2-lower]], Table27[orig]), Table27[f-lower])</f>
        <v>a</v>
      </c>
      <c r="BV42" t="str" cm="1">
        <f t="array" ref="BV42">_xlfn.XLOOKUP(TRUE, EXACT(Table27[[#This Row],[Z'']], Table27[orig]), Table27[F])</f>
        <v>h</v>
      </c>
      <c r="BW42" t="str" cm="1">
        <f t="array" ref="BW42">_xlfn.XLOOKUP(TRUE, EXACT(Table27[[#This Row],[b-lower]], Table27[orig]), Table27[b-lower])</f>
        <v>w</v>
      </c>
      <c r="BX42" t="str" cm="1">
        <f t="array" ref="BX42">_xlfn.XLOOKUP(TRUE, EXACT(Table27[[#This Row],[b2-lower]], Table27[orig]), Table27[b-lower])</f>
        <v>n</v>
      </c>
      <c r="BY42" t="str" cm="1">
        <f t="array" ref="BY42">_xlfn.XLOOKUP(TRUE, EXACT(Table27[[#This Row],[F]], Table27[orig]), Table27[B''])</f>
        <v>n</v>
      </c>
      <c r="BZ42" t="str" cm="1">
        <f t="array" ref="BZ42">_xlfn.XLOOKUP(TRUE, EXACT(Table27[[#This Row],[FB'']], Table27[orig]), Table27[FB''])</f>
        <v>w</v>
      </c>
      <c r="CA42" t="str" cm="1">
        <f t="array" ref="CA42">_xlfn.XLOOKUP(TRUE, EXACT(Table27[[#This Row],[F2B2]], Table27[orig]), Table27[FB''])</f>
        <v>h</v>
      </c>
      <c r="CD42" t="s">
        <v>33</v>
      </c>
      <c r="CE42" t="str">
        <f>Table28[[#This Row],[orig]]</f>
        <v>a</v>
      </c>
      <c r="CF42" t="str">
        <f>Table29[[#This Row],[X]]</f>
        <v>s</v>
      </c>
      <c r="CG42" t="str" cm="1">
        <f t="array" ref="CG42">_xlfn.XLOOKUP(TRUE, EXACT(Table28[[#This Row],[X]], Table28[orig]), Table28[X])</f>
        <v>u</v>
      </c>
      <c r="CH42" t="str" cm="1">
        <f t="array" ref="CH42">_xlfn.XLOOKUP(TRUE, EXACT(Table28[[#This Row],[X2]], Table28[orig]), Table28[X])</f>
        <v>i</v>
      </c>
      <c r="CI42" t="str">
        <f>Table29[[#This Row],[Y]]</f>
        <v>b</v>
      </c>
      <c r="CJ42" t="str" cm="1">
        <f t="array" ref="CJ42">_xlfn.XLOOKUP(TRUE, EXACT(Table28[[#This Row],[Y]], Table28[orig]), Table28[Y])</f>
        <v>c</v>
      </c>
      <c r="CK42" t="str" cm="1">
        <f t="array" ref="CK42">_xlfn.XLOOKUP(TRUE, EXACT(Table28[[#This Row],[Y2]], Table28[orig]), Table28[Y])</f>
        <v>d</v>
      </c>
      <c r="CL42" t="str">
        <f>Table29[[#This Row],[Z]]</f>
        <v>n</v>
      </c>
      <c r="CM42" t="str" cm="1">
        <f t="array" ref="CM42">_xlfn.XLOOKUP(TRUE, EXACT(Table28[[#This Row],[Z]], Table28[orig]), Table28[Z])</f>
        <v>w</v>
      </c>
      <c r="CN42" t="str" cm="1">
        <f t="array" ref="CN42">_xlfn.XLOOKUP(TRUE, EXACT(Table28[[#This Row],[Z2]], Table28[orig]), Table28[Z])</f>
        <v>h</v>
      </c>
      <c r="CO42" t="str" cm="1">
        <f t="array" ref="CO42">_xlfn.XLOOKUP(TRUE, EXACT(Table28[[#This Row],[Z]], Table28[orig]), Table28[X])</f>
        <v>o</v>
      </c>
      <c r="CP42" t="str" cm="1">
        <f t="array" ref="CP42">_xlfn.XLOOKUP(TRUE, EXACT(Table28[[#This Row],[Y'']], Table28[orig]), Table28[X''])</f>
        <v>l</v>
      </c>
      <c r="CQ42" t="str" cm="1">
        <f t="array" ref="CQ42">_xlfn.XLOOKUP(TRUE, EXACT(Table28[[#This Row],[Y]], Table28[orig]), Table28[X''])</f>
        <v>j</v>
      </c>
      <c r="CR42" t="str" cm="1">
        <f t="array" ref="CR42">_xlfn.XLOOKUP(TRUE, EXACT(Table28[[#This Row],[Z'']], Table28[orig]), Table28[X])</f>
        <v>g</v>
      </c>
      <c r="CS42" t="str" cm="1">
        <f t="array" ref="CS42">_xlfn.XLOOKUP(TRUE, EXACT(Table28[[#This Row],[Z'']], Table28[orig]), Table28[X''])</f>
        <v>e</v>
      </c>
      <c r="CT42" t="str" cm="1">
        <f t="array" ref="CT42">_xlfn.XLOOKUP(TRUE, EXACT(Table28[[#This Row],[Y'']], Table28[orig]), Table28[X])</f>
        <v>r</v>
      </c>
      <c r="CU42" t="str" cm="1">
        <f t="array" ref="CU42">_xlfn.XLOOKUP(TRUE, EXACT(Table28[[#This Row],[Y]], Table28[orig]), Table28[X])</f>
        <v>t</v>
      </c>
      <c r="CV42" t="str" cm="1">
        <f t="array" ref="CV42">_xlfn.XLOOKUP(TRUE, EXACT(Table28[[#This Row],[Z]], Table28[orig]), Table28[X''])</f>
        <v>m</v>
      </c>
      <c r="CW42" t="str" cm="1">
        <f t="array" ref="CW42">_xlfn.XLOOKUP(TRUE, EXACT(Table28[[#This Row],[Y'']], Table28[orig]), Table28[X2])</f>
        <v>x</v>
      </c>
      <c r="CX42" t="str" cm="1">
        <f t="array" ref="CX42">_xlfn.XLOOKUP(TRUE, EXACT(Table28[[#This Row],[Y]], Table28[orig]), Table28[X2])</f>
        <v>v</v>
      </c>
      <c r="CY42" t="str" cm="1">
        <f t="array" ref="CY42">_xlfn.XLOOKUP(TRUE, EXACT(Table28[[#This Row],[Z]], Table28[orig]), Table28[X2])</f>
        <v>p</v>
      </c>
      <c r="CZ42" t="str" cm="1">
        <f t="array" ref="CZ42">_xlfn.XLOOKUP(TRUE, EXACT(Table28[[#This Row],[Z'']], Table28[orig]), Table28[X2])</f>
        <v>f</v>
      </c>
      <c r="DA42" t="str" cm="1">
        <f t="array" ref="DA42">_xlfn.XLOOKUP(TRUE, EXACT(Table28[[#This Row],[Z2]], Table28[orig]), Table28[X])</f>
        <v>k</v>
      </c>
      <c r="DB42" t="str" cm="1">
        <f t="array" ref="DB42">_xlfn.XLOOKUP(TRUE, EXACT(Table28[[#This Row],[Z2]], Table28[orig]), Table28[X''])</f>
        <v>q</v>
      </c>
      <c r="DE42" s="6" t="s">
        <v>33</v>
      </c>
      <c r="DF42" s="6" t="str" cm="1">
        <f t="array" ref="DF42">_xlfn.XLOOKUP(TRUE, EXACT(Table28[[#This Row],[I]], Table29[orig]), Table29[T-reflection])</f>
        <v>a</v>
      </c>
      <c r="DG42" s="6" t="str" cm="1">
        <f t="array" ref="DG42">_xlfn.XLOOKUP(TRUE, EXACT(Table28[[#This Row],[X]], Table29[orig]), Table29[T-reflection])</f>
        <v>s</v>
      </c>
      <c r="DH42" t="str" cm="1">
        <f t="array" ref="DH42">_xlfn.XLOOKUP(TRUE, EXACT(Table28[[#This Row],[X2]], Table29[orig]), Table29[T-reflection])</f>
        <v>u</v>
      </c>
      <c r="DI42" t="str" cm="1">
        <f t="array" ref="DI42">_xlfn.XLOOKUP(TRUE, EXACT(Table28[[#This Row],[X'']], Table29[orig]), Table29[T-reflection])</f>
        <v>i</v>
      </c>
      <c r="DJ42" s="6" t="str" cm="1">
        <f t="array" ref="DJ42">_xlfn.XLOOKUP(TRUE, EXACT(Table28[[#This Row],[Y]], Table29[orig]), Table29[T-reflection])</f>
        <v>d</v>
      </c>
      <c r="DK42" t="str" cm="1">
        <f t="array" ref="DK42">_xlfn.XLOOKUP(TRUE, EXACT(Table28[[#This Row],[Y2]], Table29[orig]), Table29[T-reflection])</f>
        <v>c</v>
      </c>
      <c r="DL42" t="str" cm="1">
        <f t="array" ref="DL42">_xlfn.XLOOKUP(TRUE, EXACT(Table28[[#This Row],[Y'']], Table29[orig]), Table29[T-reflection])</f>
        <v>b</v>
      </c>
      <c r="DM42" s="6" t="str" cm="1">
        <f t="array" ref="DM42">_xlfn.XLOOKUP(TRUE, EXACT(Table28[[#This Row],[Z]], Table29[orig]), Table29[T-reflection])</f>
        <v>h</v>
      </c>
      <c r="DN42" t="str" cm="1">
        <f t="array" ref="DN42">_xlfn.XLOOKUP(TRUE, EXACT(Table28[[#This Row],[Z2]], Table29[orig]), Table29[T-reflection])</f>
        <v>w</v>
      </c>
      <c r="DO42" t="str" cm="1">
        <f t="array" ref="DO42">_xlfn.XLOOKUP(TRUE, EXACT(Table28[[#This Row],[Z'']], Table29[orig]), Table29[T-reflection])</f>
        <v>n</v>
      </c>
      <c r="DP42" t="str" cm="1">
        <f t="array" ref="DP42">_xlfn.XLOOKUP(TRUE, EXACT(Table28[[#This Row],[Z X]], Table29[orig]), Table29[T-reflection])</f>
        <v>g</v>
      </c>
      <c r="DQ42" t="str" cm="1">
        <f t="array" ref="DQ42">_xlfn.XLOOKUP(TRUE, EXACT(Table28[[#This Row],[Y'' X'']], Table29[orig]), Table29[T-reflection])</f>
        <v>j</v>
      </c>
      <c r="DR42" t="str" cm="1">
        <f t="array" ref="DR42">_xlfn.XLOOKUP(TRUE, EXACT(Table28[[#This Row],[Y X'']], Table29[orig]), Table29[T-reflection])</f>
        <v>l</v>
      </c>
      <c r="DS42" t="str" cm="1">
        <f t="array" ref="DS42">_xlfn.XLOOKUP(TRUE, EXACT(Table28[[#This Row],[Z'' X]], Table29[orig]), Table29[T-reflection])</f>
        <v>o</v>
      </c>
      <c r="DT42" t="str" cm="1">
        <f t="array" ref="DT42">_xlfn.XLOOKUP(TRUE, EXACT(Table28[[#This Row],[Z'' X'']], Table29[orig]), Table29[T-reflection])</f>
        <v>m</v>
      </c>
      <c r="DU42" t="str" cm="1">
        <f t="array" ref="DU42">_xlfn.XLOOKUP(TRUE, EXACT(Table28[[#This Row],[Y'' X]], Table29[orig]), Table29[T-reflection])</f>
        <v>t</v>
      </c>
      <c r="DV42" t="str" cm="1">
        <f t="array" ref="DV42">_xlfn.XLOOKUP(TRUE, EXACT(Table28[[#This Row],[Y X]], Table29[orig]), Table29[T-reflection])</f>
        <v>r</v>
      </c>
      <c r="DW42" t="str" cm="1">
        <f t="array" ref="DW42">_xlfn.XLOOKUP(TRUE, EXACT(Table28[[#This Row],[Z X'']], Table29[orig]), Table29[T-reflection])</f>
        <v>e</v>
      </c>
      <c r="DX42" t="str" cm="1">
        <f t="array" ref="DX42">_xlfn.XLOOKUP(TRUE, EXACT(Table28[[#This Row],[Y'' X2]], Table29[orig]), Table29[T-reflection])</f>
        <v>v</v>
      </c>
      <c r="DY42" t="str" cm="1">
        <f t="array" ref="DY42">_xlfn.XLOOKUP(TRUE, EXACT(Table28[[#This Row],[Y X2]], Table29[orig]), Table29[T-reflection])</f>
        <v>x</v>
      </c>
      <c r="DZ42" t="str" cm="1">
        <f t="array" ref="DZ42">_xlfn.XLOOKUP(TRUE, EXACT(Table28[[#This Row],[Z X2]], Table29[orig]), Table29[T-reflection])</f>
        <v>f</v>
      </c>
      <c r="EA42" t="str" cm="1">
        <f t="array" ref="EA42">_xlfn.XLOOKUP(TRUE, EXACT(Table28[[#This Row],[Z'' X2]], Table29[orig]), Table29[T-reflection])</f>
        <v>p</v>
      </c>
      <c r="EB42" t="str" cm="1">
        <f t="array" ref="EB42">_xlfn.XLOOKUP(TRUE, EXACT(Table28[[#This Row],[Z2 X]], Table29[orig]), Table29[T-reflection])</f>
        <v>k</v>
      </c>
      <c r="EC42" t="str" cm="1">
        <f t="array" ref="EC42">_xlfn.XLOOKUP(TRUE, EXACT(Table28[[#This Row],[Z2 X'']], Table29[orig]), Table29[T-reflection])</f>
        <v>q</v>
      </c>
    </row>
    <row r="43" spans="1:164" x14ac:dyDescent="0.2">
      <c r="B43" t="s">
        <v>34</v>
      </c>
      <c r="C43" t="s">
        <v>34</v>
      </c>
      <c r="D43" t="s">
        <v>136</v>
      </c>
      <c r="E43" t="s">
        <v>35</v>
      </c>
      <c r="F43" t="s">
        <v>134</v>
      </c>
      <c r="G43" t="s">
        <v>36</v>
      </c>
      <c r="H43" t="s">
        <v>88</v>
      </c>
      <c r="I43" t="s">
        <v>34</v>
      </c>
      <c r="J43" t="s">
        <v>136</v>
      </c>
      <c r="K43" t="s">
        <v>35</v>
      </c>
      <c r="L43" t="s">
        <v>34</v>
      </c>
      <c r="O43" t="s">
        <v>34</v>
      </c>
      <c r="P43" t="str">
        <f>Table27[[#This Row],[orig]]</f>
        <v>b</v>
      </c>
      <c r="Q43" t="str">
        <f>Table29[[#This Row],[X]]</f>
        <v>t</v>
      </c>
      <c r="R43" t="str" cm="1">
        <f t="array" ref="R43">_xlfn.XLOOKUP(TRUE, EXACT(Table27[[#This Row],[X]], Table27[orig]), Table27[X])</f>
        <v>v</v>
      </c>
      <c r="S43" t="str" cm="1">
        <f t="array" ref="S43">_xlfn.XLOOKUP(TRUE, EXACT(Table27[[#This Row],[X2]], Table27[orig]), Table27[X])</f>
        <v>j</v>
      </c>
      <c r="T43" t="str">
        <f>Table29[[#This Row],[Y]]</f>
        <v>c</v>
      </c>
      <c r="U43" t="str" cm="1">
        <f t="array" ref="U43">_xlfn.XLOOKUP(TRUE, EXACT(Table27[[#This Row],[Y]], Table27[orig]), Table27[Y])</f>
        <v>d</v>
      </c>
      <c r="V43" t="str" cm="1">
        <f t="array" ref="V43">_xlfn.XLOOKUP(TRUE, EXACT(Table27[[#This Row],[Y2]], Table27[orig]), Table27[Y])</f>
        <v>a</v>
      </c>
      <c r="W43" t="str">
        <f>Table29[[#This Row],[Z]]</f>
        <v>o</v>
      </c>
      <c r="X43" t="str" cm="1">
        <f t="array" ref="X43">_xlfn.XLOOKUP(TRUE, EXACT(Table27[[#This Row],[Z]], Table27[orig]), Table27[Z])</f>
        <v>x</v>
      </c>
      <c r="Y43" t="str" cm="1">
        <f t="array" ref="Y43">_xlfn.XLOOKUP(TRUE, EXACT(Table27[[#This Row],[Z2]], Table27[orig]), Table27[Z])</f>
        <v>e</v>
      </c>
      <c r="Z43" t="str">
        <f>Table29[[#This Row],[R]]</f>
        <v>t</v>
      </c>
      <c r="AA43" t="str" cm="1">
        <f t="array" ref="AA43">_xlfn.XLOOKUP(TRUE, EXACT(Table27[[#This Row],[R]], Table27[orig]), Table27[R])</f>
        <v>v</v>
      </c>
      <c r="AB43" t="str" cm="1">
        <f t="array" ref="AB43">_xlfn.XLOOKUP(TRUE, EXACT(Table27[[#This Row],[R2]], Table27[orig]), Table27[R])</f>
        <v>j</v>
      </c>
      <c r="AC43" t="str" cm="1">
        <f t="array" ref="AC43">_xlfn.XLOOKUP(TRUE, EXACT(_xlfn.XLOOKUP(TRUE, EXACT(Table27[[#This Row],[Y2]], Table27[orig]), Table27[R]), Table27[orig]), Table27[Y2])</f>
        <v>b</v>
      </c>
      <c r="AD43" t="str" cm="1">
        <f t="array" ref="AD43">_xlfn.XLOOKUP(TRUE, EXACT(Table27[[#This Row],[L]], Table27[orig]), Table27[L])</f>
        <v>b</v>
      </c>
      <c r="AE43" t="str" cm="1">
        <f t="array" ref="AE43">_xlfn.XLOOKUP(TRUE, EXACT(Table27[[#This Row],[L2]], Table27[orig]), Table27[L])</f>
        <v>b</v>
      </c>
      <c r="AF43" t="str" cm="1">
        <f t="array" ref="AF43">_xlfn.XLOOKUP(TRUE, EXACT(Table27[[#This Row],[r-lower]], Table27[orig]), Table27[R''])</f>
        <v>b</v>
      </c>
      <c r="AG43" t="str" cm="1">
        <f t="array" ref="AG43">_xlfn.XLOOKUP(TRUE, EXACT(Table27[[#This Row],[T]], Table27[orig]), Table27[T])</f>
        <v>b</v>
      </c>
      <c r="AH43" t="str" cm="1">
        <f t="array" ref="AH43">_xlfn.XLOOKUP(TRUE, EXACT(Table27[[#This Row],[T2]], Table27[orig]), Table27[T])</f>
        <v>b</v>
      </c>
      <c r="AI43" t="str" cm="1">
        <f t="array" ref="AI43">_xlfn.XLOOKUP(TRUE, EXACT(Table27[[#This Row],[X]], Table27[orig]), Table27[L])</f>
        <v>t</v>
      </c>
      <c r="AJ43" t="str" cm="1">
        <f t="array" ref="AJ43">_xlfn.XLOOKUP(TRUE, EXACT(Table27[[#This Row],[r-lower]], Table27[orig]), Table27[r-lower])</f>
        <v>v</v>
      </c>
      <c r="AK43" t="str" cm="1">
        <f t="array" ref="AK43">_xlfn.XLOOKUP(TRUE, EXACT(Table27[[#This Row],[r2-lower]], Table27[orig]), Table27[r-lower])</f>
        <v>j</v>
      </c>
      <c r="AL43" t="str" cm="1">
        <f t="array" ref="AL43">_xlfn.XLOOKUP(TRUE, EXACT(Table27[[#This Row],[X'']], Table27[orig]), Table27[R])</f>
        <v>b</v>
      </c>
      <c r="AM43" t="str" cm="1">
        <f t="array" ref="AM43">_xlfn.XLOOKUP(TRUE, EXACT(Table27[[#This Row],[l-lower]], Table27[orig]), Table27[l-lower])</f>
        <v>b</v>
      </c>
      <c r="AN43" t="str" cm="1">
        <f t="array" ref="AN43">_xlfn.XLOOKUP(TRUE, EXACT(Table27[[#This Row],[l2-lower]], Table27[orig]), Table27[l-lower])</f>
        <v>b</v>
      </c>
      <c r="AO43" t="str" cm="1">
        <f t="array" ref="AO43">_xlfn.XLOOKUP(TRUE, EXACT(Table27[[#This Row],[R]], Table27[orig]), Table27[L''])</f>
        <v>t</v>
      </c>
      <c r="AP43" t="str" cm="1">
        <f t="array" ref="AP43">_xlfn.XLOOKUP(TRUE, EXACT(Table27[[#This Row],[RL'']], Table27[orig]), Table27[RL''])</f>
        <v>v</v>
      </c>
      <c r="AQ43" t="str" cm="1">
        <f t="array" ref="AQ43">_xlfn.XLOOKUP(TRUE, EXACT(Table27[[#This Row],[R2L2]], Table27[orig]), Table27[RL''])</f>
        <v>j</v>
      </c>
      <c r="AR43" t="str">
        <f>Table29[[#This Row],[U]]</f>
        <v>c</v>
      </c>
      <c r="AS43" t="str" cm="1">
        <f t="array" ref="AS43">_xlfn.XLOOKUP(TRUE, EXACT(Table27[[#This Row],[U]], Table27[orig]), Table27[U])</f>
        <v>d</v>
      </c>
      <c r="AT43" t="str" cm="1">
        <f t="array" ref="AT43">_xlfn.XLOOKUP(TRUE, EXACT(Table27[[#This Row],[U2]], Table27[orig]), Table27[U])</f>
        <v>a</v>
      </c>
      <c r="AU43" t="str" cm="1">
        <f t="array" ref="AU43">_xlfn.XLOOKUP(TRUE, EXACT(_xlfn.XLOOKUP(TRUE, EXACT(Table27[[#This Row],[Z2]], Table27[orig]), Table27[U]), Table27[orig]), Table27[Z2])</f>
        <v>b</v>
      </c>
      <c r="AV43" t="str" cm="1">
        <f t="array" ref="AV43">_xlfn.XLOOKUP(TRUE, EXACT(Table27[[#This Row],[D]], Table27[orig]), Table27[D])</f>
        <v>b</v>
      </c>
      <c r="AW43" t="str" cm="1">
        <f t="array" ref="AW43">_xlfn.XLOOKUP(TRUE, EXACT(Table27[[#This Row],[D2]], Table27[orig]), Table27[D])</f>
        <v>b</v>
      </c>
      <c r="AX43" t="str" cm="1">
        <f t="array" ref="AX43">_xlfn.XLOOKUP(TRUE, EXACT(Table27[[#This Row],[u-lower]], Table27[orig]), Table27[U''])</f>
        <v>b</v>
      </c>
      <c r="AY43" t="str" cm="1">
        <f t="array" ref="AY43">_xlfn.XLOOKUP(TRUE, EXACT(Table27[[#This Row],[H]], Table27[orig]), Table27[H])</f>
        <v>b</v>
      </c>
      <c r="AZ43" t="str" cm="1">
        <f t="array" ref="AZ43">_xlfn.XLOOKUP(TRUE, EXACT(Table27[[#This Row],[H2]], Table27[orig]), Table27[H])</f>
        <v>b</v>
      </c>
      <c r="BA43" t="str" cm="1">
        <f t="array" ref="BA43">_xlfn.XLOOKUP(TRUE, EXACT(Table27[[#This Row],[Y]], Table27[orig]), Table27[D])</f>
        <v>c</v>
      </c>
      <c r="BB43" t="str" cm="1">
        <f t="array" ref="BB43">_xlfn.XLOOKUP(TRUE, EXACT(Table27[[#This Row],[u-lower]], Table27[orig]), Table27[u-lower])</f>
        <v>d</v>
      </c>
      <c r="BC43" t="str" cm="1">
        <f t="array" ref="BC43">_xlfn.XLOOKUP(TRUE, EXACT(Table27[[#This Row],[u2-lower]], Table27[orig]), Table27[u-lower])</f>
        <v>a</v>
      </c>
      <c r="BD43" t="str" cm="1">
        <f t="array" ref="BD43">_xlfn.XLOOKUP(TRUE, EXACT(Table27[[#This Row],[Y'']], Table27[orig]), Table27[U])</f>
        <v>b</v>
      </c>
      <c r="BE43" t="str" cm="1">
        <f t="array" ref="BE43">_xlfn.XLOOKUP(TRUE, EXACT(Table27[[#This Row],[d-lower]], Table27[orig]), Table27[d-lower])</f>
        <v>b</v>
      </c>
      <c r="BF43" t="str" cm="1">
        <f t="array" ref="BF43">_xlfn.XLOOKUP(TRUE, EXACT(Table27[[#This Row],[d2-lower]], Table27[orig]), Table27[d-lower])</f>
        <v>b</v>
      </c>
      <c r="BG43" t="str" cm="1">
        <f t="array" ref="BG43">_xlfn.XLOOKUP(TRUE, EXACT(Table27[[#This Row],[U]], Table27[orig]), Table27[D''])</f>
        <v>c</v>
      </c>
      <c r="BH43" t="str" cm="1">
        <f t="array" ref="BH43">_xlfn.XLOOKUP(TRUE, EXACT(Table27[[#This Row],[UD'']], Table27[orig]), Table27[UD''])</f>
        <v>d</v>
      </c>
      <c r="BI43" t="str" cm="1">
        <f t="array" ref="BI43">_xlfn.XLOOKUP(TRUE, EXACT(Table27[[#This Row],[U2D2]], Table27[orig]), Table27[UD''])</f>
        <v>a</v>
      </c>
      <c r="BJ43" t="str">
        <f>Table29[[#This Row],[F]]</f>
        <v>b</v>
      </c>
      <c r="BK43" t="str" cm="1">
        <f t="array" ref="BK43">_xlfn.XLOOKUP(TRUE, EXACT(Table27[[#This Row],[F]], Table27[orig]), Table27[F])</f>
        <v>b</v>
      </c>
      <c r="BL43" t="str" cm="1">
        <f t="array" ref="BL43">_xlfn.XLOOKUP(TRUE, EXACT(Table27[[#This Row],[F2]], Table27[orig]), Table27[F])</f>
        <v>b</v>
      </c>
      <c r="BM43" t="str" cm="1">
        <f t="array" ref="BM43">_xlfn.XLOOKUP(TRUE, EXACT(_xlfn.XLOOKUP(TRUE, EXACT(Table27[[#This Row],[X2]], Table27[orig]), Table27[F]), Table27[orig]), Table27[X2])</f>
        <v>b</v>
      </c>
      <c r="BN43" t="str" cm="1">
        <f t="array" ref="BN43">_xlfn.XLOOKUP(TRUE, EXACT(Table27[[#This Row],[B]], Table27[orig]), Table27[B])</f>
        <v>b</v>
      </c>
      <c r="BO43" t="str" cm="1">
        <f t="array" ref="BO43">_xlfn.XLOOKUP(TRUE, EXACT(Table27[[#This Row],[B2]], Table27[orig]), Table27[B])</f>
        <v>b</v>
      </c>
      <c r="BP43" t="str" cm="1">
        <f t="array" ref="BP43">_xlfn.XLOOKUP(TRUE, EXACT(Table27[[#This Row],[f-lower]], Table27[orig]), Table27[F''])</f>
        <v>o</v>
      </c>
      <c r="BQ43" t="str" cm="1">
        <f t="array" ref="BQ43">_xlfn.XLOOKUP(TRUE, EXACT(Table27[[#This Row],[S]], Table27[orig]), Table27[S])</f>
        <v>x</v>
      </c>
      <c r="BR43" t="str" cm="1">
        <f t="array" ref="BR43">_xlfn.XLOOKUP(TRUE, EXACT(Table27[[#This Row],[S2]], Table27[orig]), Table27[S])</f>
        <v>e</v>
      </c>
      <c r="BS43" t="str" cm="1">
        <f t="array" ref="BS43">_xlfn.XLOOKUP(TRUE, EXACT(Table27[[#This Row],[Z]], Table27[orig]), Table27[B])</f>
        <v>o</v>
      </c>
      <c r="BT43" t="str" cm="1">
        <f t="array" ref="BT43">_xlfn.XLOOKUP(TRUE, EXACT(Table27[[#This Row],[f-lower]], Table27[orig]), Table27[f-lower])</f>
        <v>x</v>
      </c>
      <c r="BU43" t="str" cm="1">
        <f t="array" ref="BU43">_xlfn.XLOOKUP(TRUE, EXACT(Table27[[#This Row],[f2-lower]], Table27[orig]), Table27[f-lower])</f>
        <v>e</v>
      </c>
      <c r="BV43" t="str" cm="1">
        <f t="array" ref="BV43">_xlfn.XLOOKUP(TRUE, EXACT(Table27[[#This Row],[Z'']], Table27[orig]), Table27[F])</f>
        <v>e</v>
      </c>
      <c r="BW43" t="str" cm="1">
        <f t="array" ref="BW43">_xlfn.XLOOKUP(TRUE, EXACT(Table27[[#This Row],[b-lower]], Table27[orig]), Table27[b-lower])</f>
        <v>x</v>
      </c>
      <c r="BX43" t="str" cm="1">
        <f t="array" ref="BX43">_xlfn.XLOOKUP(TRUE, EXACT(Table27[[#This Row],[b2-lower]], Table27[orig]), Table27[b-lower])</f>
        <v>o</v>
      </c>
      <c r="BY43" t="str" cm="1">
        <f t="array" ref="BY43">_xlfn.XLOOKUP(TRUE, EXACT(Table27[[#This Row],[F]], Table27[orig]), Table27[B''])</f>
        <v>b</v>
      </c>
      <c r="BZ43" t="str" cm="1">
        <f t="array" ref="BZ43">_xlfn.XLOOKUP(TRUE, EXACT(Table27[[#This Row],[FB'']], Table27[orig]), Table27[FB''])</f>
        <v>b</v>
      </c>
      <c r="CA43" t="str" cm="1">
        <f t="array" ref="CA43">_xlfn.XLOOKUP(TRUE, EXACT(Table27[[#This Row],[F2B2]], Table27[orig]), Table27[FB''])</f>
        <v>b</v>
      </c>
      <c r="CD43" t="s">
        <v>34</v>
      </c>
      <c r="CE43" t="str">
        <f>Table28[[#This Row],[orig]]</f>
        <v>b</v>
      </c>
      <c r="CF43" t="str">
        <f>Table29[[#This Row],[X]]</f>
        <v>t</v>
      </c>
      <c r="CG43" t="str" cm="1">
        <f t="array" ref="CG43">_xlfn.XLOOKUP(TRUE, EXACT(Table28[[#This Row],[X]], Table28[orig]), Table28[X])</f>
        <v>v</v>
      </c>
      <c r="CH43" t="str" cm="1">
        <f t="array" ref="CH43">_xlfn.XLOOKUP(TRUE, EXACT(Table28[[#This Row],[X2]], Table28[orig]), Table28[X])</f>
        <v>j</v>
      </c>
      <c r="CI43" t="str">
        <f>Table29[[#This Row],[Y]]</f>
        <v>c</v>
      </c>
      <c r="CJ43" t="str" cm="1">
        <f t="array" ref="CJ43">_xlfn.XLOOKUP(TRUE, EXACT(Table28[[#This Row],[Y]], Table28[orig]), Table28[Y])</f>
        <v>d</v>
      </c>
      <c r="CK43" t="str" cm="1">
        <f t="array" ref="CK43">_xlfn.XLOOKUP(TRUE, EXACT(Table28[[#This Row],[Y2]], Table28[orig]), Table28[Y])</f>
        <v>a</v>
      </c>
      <c r="CL43" t="str">
        <f>Table29[[#This Row],[Z]]</f>
        <v>o</v>
      </c>
      <c r="CM43" t="str" cm="1">
        <f t="array" ref="CM43">_xlfn.XLOOKUP(TRUE, EXACT(Table28[[#This Row],[Z]], Table28[orig]), Table28[Z])</f>
        <v>x</v>
      </c>
      <c r="CN43" t="str" cm="1">
        <f t="array" ref="CN43">_xlfn.XLOOKUP(TRUE, EXACT(Table28[[#This Row],[Z2]], Table28[orig]), Table28[Z])</f>
        <v>e</v>
      </c>
      <c r="CO43" t="str" cm="1">
        <f t="array" ref="CO43">_xlfn.XLOOKUP(TRUE, EXACT(Table28[[#This Row],[Z]], Table28[orig]), Table28[X])</f>
        <v>p</v>
      </c>
      <c r="CP43" t="str" cm="1">
        <f t="array" ref="CP43">_xlfn.XLOOKUP(TRUE, EXACT(Table28[[#This Row],[Y'']], Table28[orig]), Table28[X''])</f>
        <v>i</v>
      </c>
      <c r="CQ43" t="str" cm="1">
        <f t="array" ref="CQ43">_xlfn.XLOOKUP(TRUE, EXACT(Table28[[#This Row],[Y]], Table28[orig]), Table28[X''])</f>
        <v>k</v>
      </c>
      <c r="CR43" t="str" cm="1">
        <f t="array" ref="CR43">_xlfn.XLOOKUP(TRUE, EXACT(Table28[[#This Row],[Z'']], Table28[orig]), Table28[X])</f>
        <v>h</v>
      </c>
      <c r="CS43" t="str" cm="1">
        <f t="array" ref="CS43">_xlfn.XLOOKUP(TRUE, EXACT(Table28[[#This Row],[Z'']], Table28[orig]), Table28[X''])</f>
        <v>f</v>
      </c>
      <c r="CT43" t="str" cm="1">
        <f t="array" ref="CT43">_xlfn.XLOOKUP(TRUE, EXACT(Table28[[#This Row],[Y'']], Table28[orig]), Table28[X])</f>
        <v>s</v>
      </c>
      <c r="CU43" t="str" cm="1">
        <f t="array" ref="CU43">_xlfn.XLOOKUP(TRUE, EXACT(Table28[[#This Row],[Y]], Table28[orig]), Table28[X])</f>
        <v>q</v>
      </c>
      <c r="CV43" t="str" cm="1">
        <f t="array" ref="CV43">_xlfn.XLOOKUP(TRUE, EXACT(Table28[[#This Row],[Z]], Table28[orig]), Table28[X''])</f>
        <v>n</v>
      </c>
      <c r="CW43" t="str" cm="1">
        <f t="array" ref="CW43">_xlfn.XLOOKUP(TRUE, EXACT(Table28[[#This Row],[Y'']], Table28[orig]), Table28[X2])</f>
        <v>u</v>
      </c>
      <c r="CX43" t="str" cm="1">
        <f t="array" ref="CX43">_xlfn.XLOOKUP(TRUE, EXACT(Table28[[#This Row],[Y]], Table28[orig]), Table28[X2])</f>
        <v>w</v>
      </c>
      <c r="CY43" t="str" cm="1">
        <f t="array" ref="CY43">_xlfn.XLOOKUP(TRUE, EXACT(Table28[[#This Row],[Z]], Table28[orig]), Table28[X2])</f>
        <v>m</v>
      </c>
      <c r="CZ43" t="str" cm="1">
        <f t="array" ref="CZ43">_xlfn.XLOOKUP(TRUE, EXACT(Table28[[#This Row],[Z'']], Table28[orig]), Table28[X2])</f>
        <v>g</v>
      </c>
      <c r="DA43" t="str" cm="1">
        <f t="array" ref="DA43">_xlfn.XLOOKUP(TRUE, EXACT(Table28[[#This Row],[Z2]], Table28[orig]), Table28[X])</f>
        <v>l</v>
      </c>
      <c r="DB43" t="str" cm="1">
        <f t="array" ref="DB43">_xlfn.XLOOKUP(TRUE, EXACT(Table28[[#This Row],[Z2]], Table28[orig]), Table28[X''])</f>
        <v>r</v>
      </c>
      <c r="DE43" s="4" t="s">
        <v>34</v>
      </c>
      <c r="DF43" s="4" t="str" cm="1">
        <f t="array" ref="DF43">_xlfn.XLOOKUP(TRUE, EXACT(Table28[[#This Row],[I]], Table29[orig]), Table29[T-reflection])</f>
        <v>d</v>
      </c>
      <c r="DG43" s="4" t="str" cm="1">
        <f t="array" ref="DG43">_xlfn.XLOOKUP(TRUE, EXACT(Table28[[#This Row],[X]], Table29[orig]), Table29[T-reflection])</f>
        <v>r</v>
      </c>
      <c r="DH43" t="str" cm="1">
        <f t="array" ref="DH43">_xlfn.XLOOKUP(TRUE, EXACT(Table28[[#This Row],[X2]], Table29[orig]), Table29[T-reflection])</f>
        <v>x</v>
      </c>
      <c r="DI43" t="str" cm="1">
        <f t="array" ref="DI43">_xlfn.XLOOKUP(TRUE, EXACT(Table28[[#This Row],[X'']], Table29[orig]), Table29[T-reflection])</f>
        <v>l</v>
      </c>
      <c r="DJ43" s="4" t="str" cm="1">
        <f t="array" ref="DJ43">_xlfn.XLOOKUP(TRUE, EXACT(Table28[[#This Row],[Y]], Table29[orig]), Table29[T-reflection])</f>
        <v>c</v>
      </c>
      <c r="DK43" t="str" cm="1">
        <f t="array" ref="DK43">_xlfn.XLOOKUP(TRUE, EXACT(Table28[[#This Row],[Y2]], Table29[orig]), Table29[T-reflection])</f>
        <v>b</v>
      </c>
      <c r="DL43" t="str" cm="1">
        <f t="array" ref="DL43">_xlfn.XLOOKUP(TRUE, EXACT(Table28[[#This Row],[Y'']], Table29[orig]), Table29[T-reflection])</f>
        <v>a</v>
      </c>
      <c r="DM43" s="4" t="str" cm="1">
        <f t="array" ref="DM43">_xlfn.XLOOKUP(TRUE, EXACT(Table28[[#This Row],[Z]], Table29[orig]), Table29[T-reflection])</f>
        <v>g</v>
      </c>
      <c r="DN43" t="str" cm="1">
        <f t="array" ref="DN43">_xlfn.XLOOKUP(TRUE, EXACT(Table28[[#This Row],[Z2]], Table29[orig]), Table29[T-reflection])</f>
        <v>v</v>
      </c>
      <c r="DO43" t="str" cm="1">
        <f t="array" ref="DO43">_xlfn.XLOOKUP(TRUE, EXACT(Table28[[#This Row],[Z'']], Table29[orig]), Table29[T-reflection])</f>
        <v>m</v>
      </c>
      <c r="DP43" t="str" cm="1">
        <f t="array" ref="DP43">_xlfn.XLOOKUP(TRUE, EXACT(Table28[[#This Row],[Z X]], Table29[orig]), Table29[T-reflection])</f>
        <v>f</v>
      </c>
      <c r="DQ43" t="str" cm="1">
        <f t="array" ref="DQ43">_xlfn.XLOOKUP(TRUE, EXACT(Table28[[#This Row],[Y'' X'']], Table29[orig]), Table29[T-reflection])</f>
        <v>i</v>
      </c>
      <c r="DR43" t="str" cm="1">
        <f t="array" ref="DR43">_xlfn.XLOOKUP(TRUE, EXACT(Table28[[#This Row],[Y X'']], Table29[orig]), Table29[T-reflection])</f>
        <v>k</v>
      </c>
      <c r="DS43" t="str" cm="1">
        <f t="array" ref="DS43">_xlfn.XLOOKUP(TRUE, EXACT(Table28[[#This Row],[Z'' X]], Table29[orig]), Table29[T-reflection])</f>
        <v>n</v>
      </c>
      <c r="DT43" t="str" cm="1">
        <f t="array" ref="DT43">_xlfn.XLOOKUP(TRUE, EXACT(Table28[[#This Row],[Z'' X'']], Table29[orig]), Table29[T-reflection])</f>
        <v>p</v>
      </c>
      <c r="DU43" t="str" cm="1">
        <f t="array" ref="DU43">_xlfn.XLOOKUP(TRUE, EXACT(Table28[[#This Row],[Y'' X]], Table29[orig]), Table29[T-reflection])</f>
        <v>s</v>
      </c>
      <c r="DV43" t="str" cm="1">
        <f t="array" ref="DV43">_xlfn.XLOOKUP(TRUE, EXACT(Table28[[#This Row],[Y X]], Table29[orig]), Table29[T-reflection])</f>
        <v>q</v>
      </c>
      <c r="DW43" t="str" cm="1">
        <f t="array" ref="DW43">_xlfn.XLOOKUP(TRUE, EXACT(Table28[[#This Row],[Z X'']], Table29[orig]), Table29[T-reflection])</f>
        <v>h</v>
      </c>
      <c r="DX43" t="str" cm="1">
        <f t="array" ref="DX43">_xlfn.XLOOKUP(TRUE, EXACT(Table28[[#This Row],[Y'' X2]], Table29[orig]), Table29[T-reflection])</f>
        <v>u</v>
      </c>
      <c r="DY43" t="str" cm="1">
        <f t="array" ref="DY43">_xlfn.XLOOKUP(TRUE, EXACT(Table28[[#This Row],[Y X2]], Table29[orig]), Table29[T-reflection])</f>
        <v>w</v>
      </c>
      <c r="DZ43" t="str" cm="1">
        <f t="array" ref="DZ43">_xlfn.XLOOKUP(TRUE, EXACT(Table28[[#This Row],[Z X2]], Table29[orig]), Table29[T-reflection])</f>
        <v>e</v>
      </c>
      <c r="EA43" t="str" cm="1">
        <f t="array" ref="EA43">_xlfn.XLOOKUP(TRUE, EXACT(Table28[[#This Row],[Z'' X2]], Table29[orig]), Table29[T-reflection])</f>
        <v>o</v>
      </c>
      <c r="EB43" t="str" cm="1">
        <f t="array" ref="EB43">_xlfn.XLOOKUP(TRUE, EXACT(Table28[[#This Row],[Z2 X]], Table29[orig]), Table29[T-reflection])</f>
        <v>j</v>
      </c>
      <c r="EC43" t="str" cm="1">
        <f t="array" ref="EC43">_xlfn.XLOOKUP(TRUE, EXACT(Table28[[#This Row],[Z2 X'']], Table29[orig]), Table29[T-reflection])</f>
        <v>t</v>
      </c>
    </row>
    <row r="44" spans="1:164" x14ac:dyDescent="0.2">
      <c r="B44" t="s">
        <v>35</v>
      </c>
      <c r="C44" t="s">
        <v>35</v>
      </c>
      <c r="D44" t="s">
        <v>80</v>
      </c>
      <c r="E44" t="s">
        <v>36</v>
      </c>
      <c r="F44" t="s">
        <v>87</v>
      </c>
      <c r="G44" t="s">
        <v>35</v>
      </c>
      <c r="H44" t="s">
        <v>53</v>
      </c>
      <c r="I44" t="s">
        <v>33</v>
      </c>
      <c r="J44" t="s">
        <v>35</v>
      </c>
      <c r="K44" t="s">
        <v>36</v>
      </c>
      <c r="L44" t="s">
        <v>87</v>
      </c>
      <c r="O44" t="s">
        <v>35</v>
      </c>
      <c r="P44" t="str">
        <f>Table27[[#This Row],[orig]]</f>
        <v>c</v>
      </c>
      <c r="Q44" t="str">
        <f>Table29[[#This Row],[X]]</f>
        <v>q</v>
      </c>
      <c r="R44" t="str" cm="1">
        <f t="array" ref="R44">_xlfn.XLOOKUP(TRUE, EXACT(Table27[[#This Row],[X]], Table27[orig]), Table27[X])</f>
        <v>w</v>
      </c>
      <c r="S44" t="str" cm="1">
        <f t="array" ref="S44">_xlfn.XLOOKUP(TRUE, EXACT(Table27[[#This Row],[X2]], Table27[orig]), Table27[X])</f>
        <v>k</v>
      </c>
      <c r="T44" t="str">
        <f>Table29[[#This Row],[Y]]</f>
        <v>d</v>
      </c>
      <c r="U44" t="str" cm="1">
        <f t="array" ref="U44">_xlfn.XLOOKUP(TRUE, EXACT(Table27[[#This Row],[Y]], Table27[orig]), Table27[Y])</f>
        <v>a</v>
      </c>
      <c r="V44" t="str" cm="1">
        <f t="array" ref="V44">_xlfn.XLOOKUP(TRUE, EXACT(Table27[[#This Row],[Y2]], Table27[orig]), Table27[Y])</f>
        <v>b</v>
      </c>
      <c r="W44" t="str">
        <f>Table29[[#This Row],[Z]]</f>
        <v>p</v>
      </c>
      <c r="X44" t="str" cm="1">
        <f t="array" ref="X44">_xlfn.XLOOKUP(TRUE, EXACT(Table27[[#This Row],[Z]], Table27[orig]), Table27[Z])</f>
        <v>u</v>
      </c>
      <c r="Y44" t="str" cm="1">
        <f t="array" ref="Y44">_xlfn.XLOOKUP(TRUE, EXACT(Table27[[#This Row],[Z2]], Table27[orig]), Table27[Z])</f>
        <v>f</v>
      </c>
      <c r="Z44" t="str">
        <f>Table29[[#This Row],[R]]</f>
        <v>c</v>
      </c>
      <c r="AA44" t="str" cm="1">
        <f t="array" ref="AA44">_xlfn.XLOOKUP(TRUE, EXACT(Table27[[#This Row],[R]], Table27[orig]), Table27[R])</f>
        <v>c</v>
      </c>
      <c r="AB44" t="str" cm="1">
        <f t="array" ref="AB44">_xlfn.XLOOKUP(TRUE, EXACT(Table27[[#This Row],[R2]], Table27[orig]), Table27[R])</f>
        <v>c</v>
      </c>
      <c r="AC44" t="str" cm="1">
        <f t="array" ref="AC44">_xlfn.XLOOKUP(TRUE, EXACT(_xlfn.XLOOKUP(TRUE, EXACT(Table27[[#This Row],[Y2]], Table27[orig]), Table27[R]), Table27[orig]), Table27[Y2])</f>
        <v>c</v>
      </c>
      <c r="AD44" t="str" cm="1">
        <f t="array" ref="AD44">_xlfn.XLOOKUP(TRUE, EXACT(Table27[[#This Row],[L]], Table27[orig]), Table27[L])</f>
        <v>c</v>
      </c>
      <c r="AE44" t="str" cm="1">
        <f t="array" ref="AE44">_xlfn.XLOOKUP(TRUE, EXACT(Table27[[#This Row],[L2]], Table27[orig]), Table27[L])</f>
        <v>c</v>
      </c>
      <c r="AF44" t="str" cm="1">
        <f t="array" ref="AF44">_xlfn.XLOOKUP(TRUE, EXACT(Table27[[#This Row],[r-lower]], Table27[orig]), Table27[R''])</f>
        <v>q</v>
      </c>
      <c r="AG44" t="str" cm="1">
        <f t="array" ref="AG44">_xlfn.XLOOKUP(TRUE, EXACT(Table27[[#This Row],[T]], Table27[orig]), Table27[T])</f>
        <v>w</v>
      </c>
      <c r="AH44" t="str" cm="1">
        <f t="array" ref="AH44">_xlfn.XLOOKUP(TRUE, EXACT(Table27[[#This Row],[T2]], Table27[orig]), Table27[T])</f>
        <v>k</v>
      </c>
      <c r="AI44" t="str" cm="1">
        <f t="array" ref="AI44">_xlfn.XLOOKUP(TRUE, EXACT(Table27[[#This Row],[X]], Table27[orig]), Table27[L])</f>
        <v>q</v>
      </c>
      <c r="AJ44" t="str" cm="1">
        <f t="array" ref="AJ44">_xlfn.XLOOKUP(TRUE, EXACT(Table27[[#This Row],[r-lower]], Table27[orig]), Table27[r-lower])</f>
        <v>w</v>
      </c>
      <c r="AK44" t="str" cm="1">
        <f t="array" ref="AK44">_xlfn.XLOOKUP(TRUE, EXACT(Table27[[#This Row],[r2-lower]], Table27[orig]), Table27[r-lower])</f>
        <v>k</v>
      </c>
      <c r="AL44" t="str" cm="1">
        <f t="array" ref="AL44">_xlfn.XLOOKUP(TRUE, EXACT(Table27[[#This Row],[X'']], Table27[orig]), Table27[R])</f>
        <v>k</v>
      </c>
      <c r="AM44" t="str" cm="1">
        <f t="array" ref="AM44">_xlfn.XLOOKUP(TRUE, EXACT(Table27[[#This Row],[l-lower]], Table27[orig]), Table27[l-lower])</f>
        <v>w</v>
      </c>
      <c r="AN44" t="str" cm="1">
        <f t="array" ref="AN44">_xlfn.XLOOKUP(TRUE, EXACT(Table27[[#This Row],[l2-lower]], Table27[orig]), Table27[l-lower])</f>
        <v>q</v>
      </c>
      <c r="AO44" t="str" cm="1">
        <f t="array" ref="AO44">_xlfn.XLOOKUP(TRUE, EXACT(Table27[[#This Row],[R]], Table27[orig]), Table27[L''])</f>
        <v>c</v>
      </c>
      <c r="AP44" t="str" cm="1">
        <f t="array" ref="AP44">_xlfn.XLOOKUP(TRUE, EXACT(Table27[[#This Row],[RL'']], Table27[orig]), Table27[RL''])</f>
        <v>c</v>
      </c>
      <c r="AQ44" t="str" cm="1">
        <f t="array" ref="AQ44">_xlfn.XLOOKUP(TRUE, EXACT(Table27[[#This Row],[R2L2]], Table27[orig]), Table27[RL''])</f>
        <v>c</v>
      </c>
      <c r="AR44" t="str">
        <f>Table29[[#This Row],[U]]</f>
        <v>d</v>
      </c>
      <c r="AS44" t="str" cm="1">
        <f t="array" ref="AS44">_xlfn.XLOOKUP(TRUE, EXACT(Table27[[#This Row],[U]], Table27[orig]), Table27[U])</f>
        <v>a</v>
      </c>
      <c r="AT44" t="str" cm="1">
        <f t="array" ref="AT44">_xlfn.XLOOKUP(TRUE, EXACT(Table27[[#This Row],[U2]], Table27[orig]), Table27[U])</f>
        <v>b</v>
      </c>
      <c r="AU44" t="str" cm="1">
        <f t="array" ref="AU44">_xlfn.XLOOKUP(TRUE, EXACT(_xlfn.XLOOKUP(TRUE, EXACT(Table27[[#This Row],[Z2]], Table27[orig]), Table27[U]), Table27[orig]), Table27[Z2])</f>
        <v>c</v>
      </c>
      <c r="AV44" t="str" cm="1">
        <f t="array" ref="AV44">_xlfn.XLOOKUP(TRUE, EXACT(Table27[[#This Row],[D]], Table27[orig]), Table27[D])</f>
        <v>c</v>
      </c>
      <c r="AW44" t="str" cm="1">
        <f t="array" ref="AW44">_xlfn.XLOOKUP(TRUE, EXACT(Table27[[#This Row],[D2]], Table27[orig]), Table27[D])</f>
        <v>c</v>
      </c>
      <c r="AX44" t="str" cm="1">
        <f t="array" ref="AX44">_xlfn.XLOOKUP(TRUE, EXACT(Table27[[#This Row],[u-lower]], Table27[orig]), Table27[U''])</f>
        <v>c</v>
      </c>
      <c r="AY44" t="str" cm="1">
        <f t="array" ref="AY44">_xlfn.XLOOKUP(TRUE, EXACT(Table27[[#This Row],[H]], Table27[orig]), Table27[H])</f>
        <v>c</v>
      </c>
      <c r="AZ44" t="str" cm="1">
        <f t="array" ref="AZ44">_xlfn.XLOOKUP(TRUE, EXACT(Table27[[#This Row],[H2]], Table27[orig]), Table27[H])</f>
        <v>c</v>
      </c>
      <c r="BA44" t="str" cm="1">
        <f t="array" ref="BA44">_xlfn.XLOOKUP(TRUE, EXACT(Table27[[#This Row],[Y]], Table27[orig]), Table27[D])</f>
        <v>d</v>
      </c>
      <c r="BB44" t="str" cm="1">
        <f t="array" ref="BB44">_xlfn.XLOOKUP(TRUE, EXACT(Table27[[#This Row],[u-lower]], Table27[orig]), Table27[u-lower])</f>
        <v>a</v>
      </c>
      <c r="BC44" t="str" cm="1">
        <f t="array" ref="BC44">_xlfn.XLOOKUP(TRUE, EXACT(Table27[[#This Row],[u2-lower]], Table27[orig]), Table27[u-lower])</f>
        <v>b</v>
      </c>
      <c r="BD44" t="str" cm="1">
        <f t="array" ref="BD44">_xlfn.XLOOKUP(TRUE, EXACT(Table27[[#This Row],[Y'']], Table27[orig]), Table27[U])</f>
        <v>c</v>
      </c>
      <c r="BE44" t="str" cm="1">
        <f t="array" ref="BE44">_xlfn.XLOOKUP(TRUE, EXACT(Table27[[#This Row],[d-lower]], Table27[orig]), Table27[d-lower])</f>
        <v>c</v>
      </c>
      <c r="BF44" t="str" cm="1">
        <f t="array" ref="BF44">_xlfn.XLOOKUP(TRUE, EXACT(Table27[[#This Row],[d2-lower]], Table27[orig]), Table27[d-lower])</f>
        <v>c</v>
      </c>
      <c r="BG44" t="str" cm="1">
        <f t="array" ref="BG44">_xlfn.XLOOKUP(TRUE, EXACT(Table27[[#This Row],[U]], Table27[orig]), Table27[D''])</f>
        <v>d</v>
      </c>
      <c r="BH44" t="str" cm="1">
        <f t="array" ref="BH44">_xlfn.XLOOKUP(TRUE, EXACT(Table27[[#This Row],[UD'']], Table27[orig]), Table27[UD''])</f>
        <v>a</v>
      </c>
      <c r="BI44" t="str" cm="1">
        <f t="array" ref="BI44">_xlfn.XLOOKUP(TRUE, EXACT(Table27[[#This Row],[U2D2]], Table27[orig]), Table27[UD''])</f>
        <v>b</v>
      </c>
      <c r="BJ44" t="str">
        <f>Table29[[#This Row],[F]]</f>
        <v>p</v>
      </c>
      <c r="BK44" t="str" cm="1">
        <f t="array" ref="BK44">_xlfn.XLOOKUP(TRUE, EXACT(Table27[[#This Row],[F]], Table27[orig]), Table27[F])</f>
        <v>u</v>
      </c>
      <c r="BL44" t="str" cm="1">
        <f t="array" ref="BL44">_xlfn.XLOOKUP(TRUE, EXACT(Table27[[#This Row],[F2]], Table27[orig]), Table27[F])</f>
        <v>f</v>
      </c>
      <c r="BM44" t="str" cm="1">
        <f t="array" ref="BM44">_xlfn.XLOOKUP(TRUE, EXACT(_xlfn.XLOOKUP(TRUE, EXACT(Table27[[#This Row],[X2]], Table27[orig]), Table27[F]), Table27[orig]), Table27[X2])</f>
        <v>c</v>
      </c>
      <c r="BN44" t="str" cm="1">
        <f t="array" ref="BN44">_xlfn.XLOOKUP(TRUE, EXACT(Table27[[#This Row],[B]], Table27[orig]), Table27[B])</f>
        <v>c</v>
      </c>
      <c r="BO44" t="str" cm="1">
        <f t="array" ref="BO44">_xlfn.XLOOKUP(TRUE, EXACT(Table27[[#This Row],[B2]], Table27[orig]), Table27[B])</f>
        <v>c</v>
      </c>
      <c r="BP44" t="str" cm="1">
        <f t="array" ref="BP44">_xlfn.XLOOKUP(TRUE, EXACT(Table27[[#This Row],[f-lower]], Table27[orig]), Table27[F''])</f>
        <v>c</v>
      </c>
      <c r="BQ44" t="str" cm="1">
        <f t="array" ref="BQ44">_xlfn.XLOOKUP(TRUE, EXACT(Table27[[#This Row],[S]], Table27[orig]), Table27[S])</f>
        <v>c</v>
      </c>
      <c r="BR44" t="str" cm="1">
        <f t="array" ref="BR44">_xlfn.XLOOKUP(TRUE, EXACT(Table27[[#This Row],[S2]], Table27[orig]), Table27[S])</f>
        <v>c</v>
      </c>
      <c r="BS44" t="str" cm="1">
        <f t="array" ref="BS44">_xlfn.XLOOKUP(TRUE, EXACT(Table27[[#This Row],[Z]], Table27[orig]), Table27[B])</f>
        <v>p</v>
      </c>
      <c r="BT44" t="str" cm="1">
        <f t="array" ref="BT44">_xlfn.XLOOKUP(TRUE, EXACT(Table27[[#This Row],[f-lower]], Table27[orig]), Table27[f-lower])</f>
        <v>u</v>
      </c>
      <c r="BU44" t="str" cm="1">
        <f t="array" ref="BU44">_xlfn.XLOOKUP(TRUE, EXACT(Table27[[#This Row],[f2-lower]], Table27[orig]), Table27[f-lower])</f>
        <v>f</v>
      </c>
      <c r="BV44" t="str" cm="1">
        <f t="array" ref="BV44">_xlfn.XLOOKUP(TRUE, EXACT(Table27[[#This Row],[Z'']], Table27[orig]), Table27[F])</f>
        <v>c</v>
      </c>
      <c r="BW44" t="str" cm="1">
        <f t="array" ref="BW44">_xlfn.XLOOKUP(TRUE, EXACT(Table27[[#This Row],[b-lower]], Table27[orig]), Table27[b-lower])</f>
        <v>c</v>
      </c>
      <c r="BX44" t="str" cm="1">
        <f t="array" ref="BX44">_xlfn.XLOOKUP(TRUE, EXACT(Table27[[#This Row],[b2-lower]], Table27[orig]), Table27[b-lower])</f>
        <v>c</v>
      </c>
      <c r="BY44" t="str" cm="1">
        <f t="array" ref="BY44">_xlfn.XLOOKUP(TRUE, EXACT(Table27[[#This Row],[F]], Table27[orig]), Table27[B''])</f>
        <v>p</v>
      </c>
      <c r="BZ44" t="str" cm="1">
        <f t="array" ref="BZ44">_xlfn.XLOOKUP(TRUE, EXACT(Table27[[#This Row],[FB'']], Table27[orig]), Table27[FB''])</f>
        <v>u</v>
      </c>
      <c r="CA44" t="str" cm="1">
        <f t="array" ref="CA44">_xlfn.XLOOKUP(TRUE, EXACT(Table27[[#This Row],[F2B2]], Table27[orig]), Table27[FB''])</f>
        <v>f</v>
      </c>
      <c r="CD44" t="s">
        <v>35</v>
      </c>
      <c r="CE44" t="str">
        <f>Table28[[#This Row],[orig]]</f>
        <v>c</v>
      </c>
      <c r="CF44" t="str">
        <f>Table29[[#This Row],[X]]</f>
        <v>q</v>
      </c>
      <c r="CG44" t="str" cm="1">
        <f t="array" ref="CG44">_xlfn.XLOOKUP(TRUE, EXACT(Table28[[#This Row],[X]], Table28[orig]), Table28[X])</f>
        <v>w</v>
      </c>
      <c r="CH44" t="str" cm="1">
        <f t="array" ref="CH44">_xlfn.XLOOKUP(TRUE, EXACT(Table28[[#This Row],[X2]], Table28[orig]), Table28[X])</f>
        <v>k</v>
      </c>
      <c r="CI44" t="str">
        <f>Table29[[#This Row],[Y]]</f>
        <v>d</v>
      </c>
      <c r="CJ44" t="str" cm="1">
        <f t="array" ref="CJ44">_xlfn.XLOOKUP(TRUE, EXACT(Table28[[#This Row],[Y]], Table28[orig]), Table28[Y])</f>
        <v>a</v>
      </c>
      <c r="CK44" t="str" cm="1">
        <f t="array" ref="CK44">_xlfn.XLOOKUP(TRUE, EXACT(Table28[[#This Row],[Y2]], Table28[orig]), Table28[Y])</f>
        <v>b</v>
      </c>
      <c r="CL44" t="str">
        <f>Table29[[#This Row],[Z]]</f>
        <v>p</v>
      </c>
      <c r="CM44" t="str" cm="1">
        <f t="array" ref="CM44">_xlfn.XLOOKUP(TRUE, EXACT(Table28[[#This Row],[Z]], Table28[orig]), Table28[Z])</f>
        <v>u</v>
      </c>
      <c r="CN44" t="str" cm="1">
        <f t="array" ref="CN44">_xlfn.XLOOKUP(TRUE, EXACT(Table28[[#This Row],[Z2]], Table28[orig]), Table28[Z])</f>
        <v>f</v>
      </c>
      <c r="CO44" t="str" cm="1">
        <f t="array" ref="CO44">_xlfn.XLOOKUP(TRUE, EXACT(Table28[[#This Row],[Z]], Table28[orig]), Table28[X])</f>
        <v>m</v>
      </c>
      <c r="CP44" t="str" cm="1">
        <f t="array" ref="CP44">_xlfn.XLOOKUP(TRUE, EXACT(Table28[[#This Row],[Y'']], Table28[orig]), Table28[X''])</f>
        <v>j</v>
      </c>
      <c r="CQ44" t="str" cm="1">
        <f t="array" ref="CQ44">_xlfn.XLOOKUP(TRUE, EXACT(Table28[[#This Row],[Y]], Table28[orig]), Table28[X''])</f>
        <v>l</v>
      </c>
      <c r="CR44" t="str" cm="1">
        <f t="array" ref="CR44">_xlfn.XLOOKUP(TRUE, EXACT(Table28[[#This Row],[Z'']], Table28[orig]), Table28[X])</f>
        <v>e</v>
      </c>
      <c r="CS44" t="str" cm="1">
        <f t="array" ref="CS44">_xlfn.XLOOKUP(TRUE, EXACT(Table28[[#This Row],[Z'']], Table28[orig]), Table28[X''])</f>
        <v>g</v>
      </c>
      <c r="CT44" t="str" cm="1">
        <f t="array" ref="CT44">_xlfn.XLOOKUP(TRUE, EXACT(Table28[[#This Row],[Y'']], Table28[orig]), Table28[X])</f>
        <v>t</v>
      </c>
      <c r="CU44" t="str" cm="1">
        <f t="array" ref="CU44">_xlfn.XLOOKUP(TRUE, EXACT(Table28[[#This Row],[Y]], Table28[orig]), Table28[X])</f>
        <v>r</v>
      </c>
      <c r="CV44" t="str" cm="1">
        <f t="array" ref="CV44">_xlfn.XLOOKUP(TRUE, EXACT(Table28[[#This Row],[Z]], Table28[orig]), Table28[X''])</f>
        <v>o</v>
      </c>
      <c r="CW44" t="str" cm="1">
        <f t="array" ref="CW44">_xlfn.XLOOKUP(TRUE, EXACT(Table28[[#This Row],[Y'']], Table28[orig]), Table28[X2])</f>
        <v>v</v>
      </c>
      <c r="CX44" t="str" cm="1">
        <f t="array" ref="CX44">_xlfn.XLOOKUP(TRUE, EXACT(Table28[[#This Row],[Y]], Table28[orig]), Table28[X2])</f>
        <v>x</v>
      </c>
      <c r="CY44" t="str" cm="1">
        <f t="array" ref="CY44">_xlfn.XLOOKUP(TRUE, EXACT(Table28[[#This Row],[Z]], Table28[orig]), Table28[X2])</f>
        <v>n</v>
      </c>
      <c r="CZ44" t="str" cm="1">
        <f t="array" ref="CZ44">_xlfn.XLOOKUP(TRUE, EXACT(Table28[[#This Row],[Z'']], Table28[orig]), Table28[X2])</f>
        <v>h</v>
      </c>
      <c r="DA44" t="str" cm="1">
        <f t="array" ref="DA44">_xlfn.XLOOKUP(TRUE, EXACT(Table28[[#This Row],[Z2]], Table28[orig]), Table28[X])</f>
        <v>i</v>
      </c>
      <c r="DB44" t="str" cm="1">
        <f t="array" ref="DB44">_xlfn.XLOOKUP(TRUE, EXACT(Table28[[#This Row],[Z2]], Table28[orig]), Table28[X''])</f>
        <v>s</v>
      </c>
      <c r="DE44" s="6" t="s">
        <v>35</v>
      </c>
      <c r="DF44" s="6" t="str" cm="1">
        <f t="array" ref="DF44">_xlfn.XLOOKUP(TRUE, EXACT(Table28[[#This Row],[I]], Table29[orig]), Table29[T-reflection])</f>
        <v>c</v>
      </c>
      <c r="DG44" s="6" t="str" cm="1">
        <f t="array" ref="DG44">_xlfn.XLOOKUP(TRUE, EXACT(Table28[[#This Row],[X]], Table29[orig]), Table29[T-reflection])</f>
        <v>q</v>
      </c>
      <c r="DH44" t="str" cm="1">
        <f t="array" ref="DH44">_xlfn.XLOOKUP(TRUE, EXACT(Table28[[#This Row],[X2]], Table29[orig]), Table29[T-reflection])</f>
        <v>w</v>
      </c>
      <c r="DI44" t="str" cm="1">
        <f t="array" ref="DI44">_xlfn.XLOOKUP(TRUE, EXACT(Table28[[#This Row],[X'']], Table29[orig]), Table29[T-reflection])</f>
        <v>k</v>
      </c>
      <c r="DJ44" s="6" t="str" cm="1">
        <f t="array" ref="DJ44">_xlfn.XLOOKUP(TRUE, EXACT(Table28[[#This Row],[Y]], Table29[orig]), Table29[T-reflection])</f>
        <v>b</v>
      </c>
      <c r="DK44" t="str" cm="1">
        <f t="array" ref="DK44">_xlfn.XLOOKUP(TRUE, EXACT(Table28[[#This Row],[Y2]], Table29[orig]), Table29[T-reflection])</f>
        <v>a</v>
      </c>
      <c r="DL44" t="str" cm="1">
        <f t="array" ref="DL44">_xlfn.XLOOKUP(TRUE, EXACT(Table28[[#This Row],[Y'']], Table29[orig]), Table29[T-reflection])</f>
        <v>d</v>
      </c>
      <c r="DM44" s="6" t="str" cm="1">
        <f t="array" ref="DM44">_xlfn.XLOOKUP(TRUE, EXACT(Table28[[#This Row],[Z]], Table29[orig]), Table29[T-reflection])</f>
        <v>f</v>
      </c>
      <c r="DN44" t="str" cm="1">
        <f t="array" ref="DN44">_xlfn.XLOOKUP(TRUE, EXACT(Table28[[#This Row],[Z2]], Table29[orig]), Table29[T-reflection])</f>
        <v>u</v>
      </c>
      <c r="DO44" t="str" cm="1">
        <f t="array" ref="DO44">_xlfn.XLOOKUP(TRUE, EXACT(Table28[[#This Row],[Z'']], Table29[orig]), Table29[T-reflection])</f>
        <v>p</v>
      </c>
      <c r="DP44" t="str" cm="1">
        <f t="array" ref="DP44">_xlfn.XLOOKUP(TRUE, EXACT(Table28[[#This Row],[Z X]], Table29[orig]), Table29[T-reflection])</f>
        <v>e</v>
      </c>
      <c r="DQ44" t="str" cm="1">
        <f t="array" ref="DQ44">_xlfn.XLOOKUP(TRUE, EXACT(Table28[[#This Row],[Y'' X'']], Table29[orig]), Table29[T-reflection])</f>
        <v>l</v>
      </c>
      <c r="DR44" t="str" cm="1">
        <f t="array" ref="DR44">_xlfn.XLOOKUP(TRUE, EXACT(Table28[[#This Row],[Y X'']], Table29[orig]), Table29[T-reflection])</f>
        <v>j</v>
      </c>
      <c r="DS44" t="str" cm="1">
        <f t="array" ref="DS44">_xlfn.XLOOKUP(TRUE, EXACT(Table28[[#This Row],[Z'' X]], Table29[orig]), Table29[T-reflection])</f>
        <v>m</v>
      </c>
      <c r="DT44" t="str" cm="1">
        <f t="array" ref="DT44">_xlfn.XLOOKUP(TRUE, EXACT(Table28[[#This Row],[Z'' X'']], Table29[orig]), Table29[T-reflection])</f>
        <v>o</v>
      </c>
      <c r="DU44" t="str" cm="1">
        <f t="array" ref="DU44">_xlfn.XLOOKUP(TRUE, EXACT(Table28[[#This Row],[Y'' X]], Table29[orig]), Table29[T-reflection])</f>
        <v>r</v>
      </c>
      <c r="DV44" t="str" cm="1">
        <f t="array" ref="DV44">_xlfn.XLOOKUP(TRUE, EXACT(Table28[[#This Row],[Y X]], Table29[orig]), Table29[T-reflection])</f>
        <v>t</v>
      </c>
      <c r="DW44" t="str" cm="1">
        <f t="array" ref="DW44">_xlfn.XLOOKUP(TRUE, EXACT(Table28[[#This Row],[Z X'']], Table29[orig]), Table29[T-reflection])</f>
        <v>g</v>
      </c>
      <c r="DX44" t="str" cm="1">
        <f t="array" ref="DX44">_xlfn.XLOOKUP(TRUE, EXACT(Table28[[#This Row],[Y'' X2]], Table29[orig]), Table29[T-reflection])</f>
        <v>x</v>
      </c>
      <c r="DY44" t="str" cm="1">
        <f t="array" ref="DY44">_xlfn.XLOOKUP(TRUE, EXACT(Table28[[#This Row],[Y X2]], Table29[orig]), Table29[T-reflection])</f>
        <v>v</v>
      </c>
      <c r="DZ44" t="str" cm="1">
        <f t="array" ref="DZ44">_xlfn.XLOOKUP(TRUE, EXACT(Table28[[#This Row],[Z X2]], Table29[orig]), Table29[T-reflection])</f>
        <v>h</v>
      </c>
      <c r="EA44" t="str" cm="1">
        <f t="array" ref="EA44">_xlfn.XLOOKUP(TRUE, EXACT(Table28[[#This Row],[Z'' X2]], Table29[orig]), Table29[T-reflection])</f>
        <v>n</v>
      </c>
      <c r="EB44" t="str" cm="1">
        <f t="array" ref="EB44">_xlfn.XLOOKUP(TRUE, EXACT(Table28[[#This Row],[Z2 X]], Table29[orig]), Table29[T-reflection])</f>
        <v>i</v>
      </c>
      <c r="EC44" t="str" cm="1">
        <f t="array" ref="EC44">_xlfn.XLOOKUP(TRUE, EXACT(Table28[[#This Row],[Z2 X'']], Table29[orig]), Table29[T-reflection])</f>
        <v>s</v>
      </c>
    </row>
    <row r="45" spans="1:164" s="5" customFormat="1" ht="16" thickBot="1" x14ac:dyDescent="0.25">
      <c r="A45"/>
      <c r="B45" s="5" t="s">
        <v>36</v>
      </c>
      <c r="C45" s="5" t="s">
        <v>36</v>
      </c>
      <c r="D45" s="5" t="s">
        <v>46</v>
      </c>
      <c r="E45" s="5" t="s">
        <v>33</v>
      </c>
      <c r="F45" s="5" t="s">
        <v>133</v>
      </c>
      <c r="G45" s="5" t="s">
        <v>34</v>
      </c>
      <c r="H45" s="5" t="s">
        <v>138</v>
      </c>
      <c r="I45" s="5" t="s">
        <v>36</v>
      </c>
      <c r="J45" s="5" t="s">
        <v>36</v>
      </c>
      <c r="K45" s="5" t="s">
        <v>33</v>
      </c>
      <c r="L45" s="5" t="s">
        <v>36</v>
      </c>
      <c r="M45"/>
      <c r="N45"/>
      <c r="O45" s="5" t="s">
        <v>36</v>
      </c>
      <c r="P45" s="5" t="str">
        <f>Table27[[#This Row],[orig]]</f>
        <v>d</v>
      </c>
      <c r="Q45" s="5" t="str">
        <f>Table29[[#This Row],[X]]</f>
        <v>r</v>
      </c>
      <c r="R45" s="5" t="str" cm="1">
        <f t="array" ref="R45">_xlfn.XLOOKUP(TRUE, EXACT(Table27[[#This Row],[X]], Table27[orig]), Table27[X])</f>
        <v>x</v>
      </c>
      <c r="S45" s="5" t="str" cm="1">
        <f t="array" ref="S45">_xlfn.XLOOKUP(TRUE, EXACT(Table27[[#This Row],[X2]], Table27[orig]), Table27[X])</f>
        <v>l</v>
      </c>
      <c r="T45" s="5" t="str">
        <f>Table29[[#This Row],[Y]]</f>
        <v>a</v>
      </c>
      <c r="U45" s="5" t="str" cm="1">
        <f t="array" ref="U45">_xlfn.XLOOKUP(TRUE, EXACT(Table27[[#This Row],[Y]], Table27[orig]), Table27[Y])</f>
        <v>b</v>
      </c>
      <c r="V45" s="5" t="str" cm="1">
        <f t="array" ref="V45">_xlfn.XLOOKUP(TRUE, EXACT(Table27[[#This Row],[Y2]], Table27[orig]), Table27[Y])</f>
        <v>c</v>
      </c>
      <c r="W45" s="5" t="str">
        <f>Table29[[#This Row],[Z]]</f>
        <v>m</v>
      </c>
      <c r="X45" s="5" t="str" cm="1">
        <f t="array" ref="X45">_xlfn.XLOOKUP(TRUE, EXACT(Table27[[#This Row],[Z]], Table27[orig]), Table27[Z])</f>
        <v>v</v>
      </c>
      <c r="Y45" s="5" t="str" cm="1">
        <f t="array" ref="Y45">_xlfn.XLOOKUP(TRUE, EXACT(Table27[[#This Row],[Z2]], Table27[orig]), Table27[Z])</f>
        <v>g</v>
      </c>
      <c r="Z45" s="5" t="str">
        <f>Table29[[#This Row],[R]]</f>
        <v>d</v>
      </c>
      <c r="AA45" s="5" t="str" cm="1">
        <f t="array" ref="AA45">_xlfn.XLOOKUP(TRUE, EXACT(Table27[[#This Row],[R]], Table27[orig]), Table27[R])</f>
        <v>d</v>
      </c>
      <c r="AB45" s="5" t="str" cm="1">
        <f t="array" ref="AB45">_xlfn.XLOOKUP(TRUE, EXACT(Table27[[#This Row],[R2]], Table27[orig]), Table27[R])</f>
        <v>d</v>
      </c>
      <c r="AC45" s="5" t="str" cm="1">
        <f t="array" ref="AC45">_xlfn.XLOOKUP(TRUE, EXACT(_xlfn.XLOOKUP(TRUE, EXACT(Table27[[#This Row],[Y2]], Table27[orig]), Table27[R]), Table27[orig]), Table27[Y2])</f>
        <v>l</v>
      </c>
      <c r="AD45" s="5" t="str" cm="1">
        <f t="array" ref="AD45">_xlfn.XLOOKUP(TRUE, EXACT(Table27[[#This Row],[L]], Table27[orig]), Table27[L])</f>
        <v>x</v>
      </c>
      <c r="AE45" s="5" t="str" cm="1">
        <f t="array" ref="AE45">_xlfn.XLOOKUP(TRUE, EXACT(Table27[[#This Row],[L2]], Table27[orig]), Table27[L])</f>
        <v>r</v>
      </c>
      <c r="AF45" s="5" t="str" cm="1">
        <f t="array" ref="AF45">_xlfn.XLOOKUP(TRUE, EXACT(Table27[[#This Row],[r-lower]], Table27[orig]), Table27[R''])</f>
        <v>d</v>
      </c>
      <c r="AG45" s="5" t="str" cm="1">
        <f t="array" ref="AG45">_xlfn.XLOOKUP(TRUE, EXACT(Table27[[#This Row],[T]], Table27[orig]), Table27[T])</f>
        <v>d</v>
      </c>
      <c r="AH45" s="5" t="str" cm="1">
        <f t="array" ref="AH45">_xlfn.XLOOKUP(TRUE, EXACT(Table27[[#This Row],[T2]], Table27[orig]), Table27[T])</f>
        <v>d</v>
      </c>
      <c r="AI45" s="5" t="str" cm="1">
        <f t="array" ref="AI45">_xlfn.XLOOKUP(TRUE, EXACT(Table27[[#This Row],[X]], Table27[orig]), Table27[L])</f>
        <v>d</v>
      </c>
      <c r="AJ45" s="5" t="str" cm="1">
        <f t="array" ref="AJ45">_xlfn.XLOOKUP(TRUE, EXACT(Table27[[#This Row],[r-lower]], Table27[orig]), Table27[r-lower])</f>
        <v>d</v>
      </c>
      <c r="AK45" s="5" t="str" cm="1">
        <f t="array" ref="AK45">_xlfn.XLOOKUP(TRUE, EXACT(Table27[[#This Row],[r2-lower]], Table27[orig]), Table27[r-lower])</f>
        <v>d</v>
      </c>
      <c r="AL45" s="5" t="str" cm="1">
        <f t="array" ref="AL45">_xlfn.XLOOKUP(TRUE, EXACT(Table27[[#This Row],[X'']], Table27[orig]), Table27[R])</f>
        <v>l</v>
      </c>
      <c r="AM45" s="5" t="str" cm="1">
        <f t="array" ref="AM45">_xlfn.XLOOKUP(TRUE, EXACT(Table27[[#This Row],[l-lower]], Table27[orig]), Table27[l-lower])</f>
        <v>x</v>
      </c>
      <c r="AN45" s="5" t="str" cm="1">
        <f t="array" ref="AN45">_xlfn.XLOOKUP(TRUE, EXACT(Table27[[#This Row],[l2-lower]], Table27[orig]), Table27[l-lower])</f>
        <v>r</v>
      </c>
      <c r="AO45" s="5" t="str" cm="1">
        <f t="array" ref="AO45">_xlfn.XLOOKUP(TRUE, EXACT(Table27[[#This Row],[R]], Table27[orig]), Table27[L''])</f>
        <v>r</v>
      </c>
      <c r="AP45" s="5" t="str" cm="1">
        <f t="array" ref="AP45">_xlfn.XLOOKUP(TRUE, EXACT(Table27[[#This Row],[RL'']], Table27[orig]), Table27[RL''])</f>
        <v>x</v>
      </c>
      <c r="AQ45" s="5" t="str" cm="1">
        <f t="array" ref="AQ45">_xlfn.XLOOKUP(TRUE, EXACT(Table27[[#This Row],[R2L2]], Table27[orig]), Table27[RL''])</f>
        <v>l</v>
      </c>
      <c r="AR45" s="5" t="str">
        <f>Table29[[#This Row],[U]]</f>
        <v>a</v>
      </c>
      <c r="AS45" s="5" t="str" cm="1">
        <f t="array" ref="AS45">_xlfn.XLOOKUP(TRUE, EXACT(Table27[[#This Row],[U]], Table27[orig]), Table27[U])</f>
        <v>b</v>
      </c>
      <c r="AT45" s="5" t="str" cm="1">
        <f t="array" ref="AT45">_xlfn.XLOOKUP(TRUE, EXACT(Table27[[#This Row],[U2]], Table27[orig]), Table27[U])</f>
        <v>c</v>
      </c>
      <c r="AU45" s="5" t="str" cm="1">
        <f t="array" ref="AU45">_xlfn.XLOOKUP(TRUE, EXACT(_xlfn.XLOOKUP(TRUE, EXACT(Table27[[#This Row],[Z2]], Table27[orig]), Table27[U]), Table27[orig]), Table27[Z2])</f>
        <v>d</v>
      </c>
      <c r="AV45" s="5" t="str" cm="1">
        <f t="array" ref="AV45">_xlfn.XLOOKUP(TRUE, EXACT(Table27[[#This Row],[D]], Table27[orig]), Table27[D])</f>
        <v>d</v>
      </c>
      <c r="AW45" s="5" t="str" cm="1">
        <f t="array" ref="AW45">_xlfn.XLOOKUP(TRUE, EXACT(Table27[[#This Row],[D2]], Table27[orig]), Table27[D])</f>
        <v>d</v>
      </c>
      <c r="AX45" s="5" t="str" cm="1">
        <f t="array" ref="AX45">_xlfn.XLOOKUP(TRUE, EXACT(Table27[[#This Row],[u-lower]], Table27[orig]), Table27[U''])</f>
        <v>d</v>
      </c>
      <c r="AY45" s="5" t="str" cm="1">
        <f t="array" ref="AY45">_xlfn.XLOOKUP(TRUE, EXACT(Table27[[#This Row],[H]], Table27[orig]), Table27[H])</f>
        <v>d</v>
      </c>
      <c r="AZ45" s="5" t="str" cm="1">
        <f t="array" ref="AZ45">_xlfn.XLOOKUP(TRUE, EXACT(Table27[[#This Row],[H2]], Table27[orig]), Table27[H])</f>
        <v>d</v>
      </c>
      <c r="BA45" s="5" t="str" cm="1">
        <f t="array" ref="BA45">_xlfn.XLOOKUP(TRUE, EXACT(Table27[[#This Row],[Y]], Table27[orig]), Table27[D])</f>
        <v>a</v>
      </c>
      <c r="BB45" s="5" t="str" cm="1">
        <f t="array" ref="BB45">_xlfn.XLOOKUP(TRUE, EXACT(Table27[[#This Row],[u-lower]], Table27[orig]), Table27[u-lower])</f>
        <v>b</v>
      </c>
      <c r="BC45" s="5" t="str" cm="1">
        <f t="array" ref="BC45">_xlfn.XLOOKUP(TRUE, EXACT(Table27[[#This Row],[u2-lower]], Table27[orig]), Table27[u-lower])</f>
        <v>c</v>
      </c>
      <c r="BD45" s="5" t="str" cm="1">
        <f t="array" ref="BD45">_xlfn.XLOOKUP(TRUE, EXACT(Table27[[#This Row],[Y'']], Table27[orig]), Table27[U])</f>
        <v>d</v>
      </c>
      <c r="BE45" s="5" t="str" cm="1">
        <f t="array" ref="BE45">_xlfn.XLOOKUP(TRUE, EXACT(Table27[[#This Row],[d-lower]], Table27[orig]), Table27[d-lower])</f>
        <v>d</v>
      </c>
      <c r="BF45" s="5" t="str" cm="1">
        <f t="array" ref="BF45">_xlfn.XLOOKUP(TRUE, EXACT(Table27[[#This Row],[d2-lower]], Table27[orig]), Table27[d-lower])</f>
        <v>d</v>
      </c>
      <c r="BG45" s="5" t="str" cm="1">
        <f t="array" ref="BG45">_xlfn.XLOOKUP(TRUE, EXACT(Table27[[#This Row],[U]], Table27[orig]), Table27[D''])</f>
        <v>a</v>
      </c>
      <c r="BH45" s="5" t="str" cm="1">
        <f t="array" ref="BH45">_xlfn.XLOOKUP(TRUE, EXACT(Table27[[#This Row],[UD'']], Table27[orig]), Table27[UD''])</f>
        <v>b</v>
      </c>
      <c r="BI45" s="5" t="str" cm="1">
        <f t="array" ref="BI45">_xlfn.XLOOKUP(TRUE, EXACT(Table27[[#This Row],[U2D2]], Table27[orig]), Table27[UD''])</f>
        <v>c</v>
      </c>
      <c r="BJ45" s="5" t="str">
        <f>Table29[[#This Row],[F]]</f>
        <v>d</v>
      </c>
      <c r="BK45" s="5" t="str" cm="1">
        <f t="array" ref="BK45">_xlfn.XLOOKUP(TRUE, EXACT(Table27[[#This Row],[F]], Table27[orig]), Table27[F])</f>
        <v>d</v>
      </c>
      <c r="BL45" s="5" t="str" cm="1">
        <f t="array" ref="BL45">_xlfn.XLOOKUP(TRUE, EXACT(Table27[[#This Row],[F2]], Table27[orig]), Table27[F])</f>
        <v>d</v>
      </c>
      <c r="BM45" s="5" t="str" cm="1">
        <f t="array" ref="BM45">_xlfn.XLOOKUP(TRUE, EXACT(_xlfn.XLOOKUP(TRUE, EXACT(Table27[[#This Row],[X2]], Table27[orig]), Table27[F]), Table27[orig]), Table27[X2])</f>
        <v>d</v>
      </c>
      <c r="BN45" s="5" t="str" cm="1">
        <f t="array" ref="BN45">_xlfn.XLOOKUP(TRUE, EXACT(Table27[[#This Row],[B]], Table27[orig]), Table27[B])</f>
        <v>d</v>
      </c>
      <c r="BO45" s="5" t="str" cm="1">
        <f t="array" ref="BO45">_xlfn.XLOOKUP(TRUE, EXACT(Table27[[#This Row],[B2]], Table27[orig]), Table27[B])</f>
        <v>d</v>
      </c>
      <c r="BP45" s="5" t="str" cm="1">
        <f t="array" ref="BP45">_xlfn.XLOOKUP(TRUE, EXACT(Table27[[#This Row],[f-lower]], Table27[orig]), Table27[F''])</f>
        <v>m</v>
      </c>
      <c r="BQ45" s="5" t="str" cm="1">
        <f t="array" ref="BQ45">_xlfn.XLOOKUP(TRUE, EXACT(Table27[[#This Row],[S]], Table27[orig]), Table27[S])</f>
        <v>v</v>
      </c>
      <c r="BR45" s="5" t="str" cm="1">
        <f t="array" ref="BR45">_xlfn.XLOOKUP(TRUE, EXACT(Table27[[#This Row],[S2]], Table27[orig]), Table27[S])</f>
        <v>g</v>
      </c>
      <c r="BS45" s="5" t="str" cm="1">
        <f t="array" ref="BS45">_xlfn.XLOOKUP(TRUE, EXACT(Table27[[#This Row],[Z]], Table27[orig]), Table27[B])</f>
        <v>m</v>
      </c>
      <c r="BT45" s="5" t="str" cm="1">
        <f t="array" ref="BT45">_xlfn.XLOOKUP(TRUE, EXACT(Table27[[#This Row],[f-lower]], Table27[orig]), Table27[f-lower])</f>
        <v>v</v>
      </c>
      <c r="BU45" s="5" t="str" cm="1">
        <f t="array" ref="BU45">_xlfn.XLOOKUP(TRUE, EXACT(Table27[[#This Row],[f2-lower]], Table27[orig]), Table27[f-lower])</f>
        <v>g</v>
      </c>
      <c r="BV45" s="5" t="str" cm="1">
        <f t="array" ref="BV45">_xlfn.XLOOKUP(TRUE, EXACT(Table27[[#This Row],[Z'']], Table27[orig]), Table27[F])</f>
        <v>g</v>
      </c>
      <c r="BW45" s="5" t="str" cm="1">
        <f t="array" ref="BW45">_xlfn.XLOOKUP(TRUE, EXACT(Table27[[#This Row],[b-lower]], Table27[orig]), Table27[b-lower])</f>
        <v>v</v>
      </c>
      <c r="BX45" s="5" t="str" cm="1">
        <f t="array" ref="BX45">_xlfn.XLOOKUP(TRUE, EXACT(Table27[[#This Row],[b2-lower]], Table27[orig]), Table27[b-lower])</f>
        <v>m</v>
      </c>
      <c r="BY45" s="5" t="str" cm="1">
        <f t="array" ref="BY45">_xlfn.XLOOKUP(TRUE, EXACT(Table27[[#This Row],[F]], Table27[orig]), Table27[B''])</f>
        <v>d</v>
      </c>
      <c r="BZ45" s="5" t="str" cm="1">
        <f t="array" ref="BZ45">_xlfn.XLOOKUP(TRUE, EXACT(Table27[[#This Row],[FB'']], Table27[orig]), Table27[FB''])</f>
        <v>d</v>
      </c>
      <c r="CA45" s="5" t="str" cm="1">
        <f t="array" ref="CA45">_xlfn.XLOOKUP(TRUE, EXACT(Table27[[#This Row],[F2B2]], Table27[orig]), Table27[FB''])</f>
        <v>d</v>
      </c>
      <c r="CB45"/>
      <c r="CC45"/>
      <c r="CD45" s="5" t="s">
        <v>36</v>
      </c>
      <c r="CE45" s="5" t="str">
        <f>Table28[[#This Row],[orig]]</f>
        <v>d</v>
      </c>
      <c r="CF45" s="5" t="str">
        <f>Table29[[#This Row],[X]]</f>
        <v>r</v>
      </c>
      <c r="CG45" s="5" t="str" cm="1">
        <f t="array" ref="CG45">_xlfn.XLOOKUP(TRUE, EXACT(Table28[[#This Row],[X]], Table28[orig]), Table28[X])</f>
        <v>x</v>
      </c>
      <c r="CH45" s="5" t="str" cm="1">
        <f t="array" ref="CH45">_xlfn.XLOOKUP(TRUE, EXACT(Table28[[#This Row],[X2]], Table28[orig]), Table28[X])</f>
        <v>l</v>
      </c>
      <c r="CI45" s="5" t="str">
        <f>Table29[[#This Row],[Y]]</f>
        <v>a</v>
      </c>
      <c r="CJ45" s="5" t="str" cm="1">
        <f t="array" ref="CJ45">_xlfn.XLOOKUP(TRUE, EXACT(Table28[[#This Row],[Y]], Table28[orig]), Table28[Y])</f>
        <v>b</v>
      </c>
      <c r="CK45" s="5" t="str" cm="1">
        <f t="array" ref="CK45">_xlfn.XLOOKUP(TRUE, EXACT(Table28[[#This Row],[Y2]], Table28[orig]), Table28[Y])</f>
        <v>c</v>
      </c>
      <c r="CL45" s="5" t="str">
        <f>Table29[[#This Row],[Z]]</f>
        <v>m</v>
      </c>
      <c r="CM45" s="5" t="str" cm="1">
        <f t="array" ref="CM45">_xlfn.XLOOKUP(TRUE, EXACT(Table28[[#This Row],[Z]], Table28[orig]), Table28[Z])</f>
        <v>v</v>
      </c>
      <c r="CN45" s="5" t="str" cm="1">
        <f t="array" ref="CN45">_xlfn.XLOOKUP(TRUE, EXACT(Table28[[#This Row],[Z2]], Table28[orig]), Table28[Z])</f>
        <v>g</v>
      </c>
      <c r="CO45" s="5" t="str" cm="1">
        <f t="array" ref="CO45">_xlfn.XLOOKUP(TRUE, EXACT(Table28[[#This Row],[Z]], Table28[orig]), Table28[X])</f>
        <v>n</v>
      </c>
      <c r="CP45" s="5" t="str" cm="1">
        <f t="array" ref="CP45">_xlfn.XLOOKUP(TRUE, EXACT(Table28[[#This Row],[Y'']], Table28[orig]), Table28[X''])</f>
        <v>k</v>
      </c>
      <c r="CQ45" s="5" t="str" cm="1">
        <f t="array" ref="CQ45">_xlfn.XLOOKUP(TRUE, EXACT(Table28[[#This Row],[Y]], Table28[orig]), Table28[X''])</f>
        <v>i</v>
      </c>
      <c r="CR45" s="5" t="str" cm="1">
        <f t="array" ref="CR45">_xlfn.XLOOKUP(TRUE, EXACT(Table28[[#This Row],[Z'']], Table28[orig]), Table28[X])</f>
        <v>f</v>
      </c>
      <c r="CS45" s="5" t="str" cm="1">
        <f t="array" ref="CS45">_xlfn.XLOOKUP(TRUE, EXACT(Table28[[#This Row],[Z'']], Table28[orig]), Table28[X''])</f>
        <v>h</v>
      </c>
      <c r="CT45" s="5" t="str" cm="1">
        <f t="array" ref="CT45">_xlfn.XLOOKUP(TRUE, EXACT(Table28[[#This Row],[Y'']], Table28[orig]), Table28[X])</f>
        <v>q</v>
      </c>
      <c r="CU45" s="5" t="str" cm="1">
        <f t="array" ref="CU45">_xlfn.XLOOKUP(TRUE, EXACT(Table28[[#This Row],[Y]], Table28[orig]), Table28[X])</f>
        <v>s</v>
      </c>
      <c r="CV45" s="5" t="str" cm="1">
        <f t="array" ref="CV45">_xlfn.XLOOKUP(TRUE, EXACT(Table28[[#This Row],[Z]], Table28[orig]), Table28[X''])</f>
        <v>p</v>
      </c>
      <c r="CW45" s="5" t="str" cm="1">
        <f t="array" ref="CW45">_xlfn.XLOOKUP(TRUE, EXACT(Table28[[#This Row],[Y'']], Table28[orig]), Table28[X2])</f>
        <v>w</v>
      </c>
      <c r="CX45" s="5" t="str" cm="1">
        <f t="array" ref="CX45">_xlfn.XLOOKUP(TRUE, EXACT(Table28[[#This Row],[Y]], Table28[orig]), Table28[X2])</f>
        <v>u</v>
      </c>
      <c r="CY45" s="5" t="str" cm="1">
        <f t="array" ref="CY45">_xlfn.XLOOKUP(TRUE, EXACT(Table28[[#This Row],[Z]], Table28[orig]), Table28[X2])</f>
        <v>o</v>
      </c>
      <c r="CZ45" s="5" t="str" cm="1">
        <f t="array" ref="CZ45">_xlfn.XLOOKUP(TRUE, EXACT(Table28[[#This Row],[Z'']], Table28[orig]), Table28[X2])</f>
        <v>e</v>
      </c>
      <c r="DA45" s="5" t="str" cm="1">
        <f t="array" ref="DA45">_xlfn.XLOOKUP(TRUE, EXACT(Table28[[#This Row],[Z2]], Table28[orig]), Table28[X])</f>
        <v>j</v>
      </c>
      <c r="DB45" s="5" t="str" cm="1">
        <f t="array" ref="DB45">_xlfn.XLOOKUP(TRUE, EXACT(Table28[[#This Row],[Z2]], Table28[orig]), Table28[X''])</f>
        <v>t</v>
      </c>
      <c r="DC45"/>
      <c r="DD45"/>
      <c r="DE45" s="8" t="s">
        <v>36</v>
      </c>
      <c r="DF45" s="8" t="str" cm="1">
        <f t="array" ref="DF45">_xlfn.XLOOKUP(TRUE, EXACT(Table28[[#This Row],[I]], Table29[orig]), Table29[T-reflection])</f>
        <v>b</v>
      </c>
      <c r="DG45" s="8" t="str" cm="1">
        <f t="array" ref="DG45">_xlfn.XLOOKUP(TRUE, EXACT(Table28[[#This Row],[X]], Table29[orig]), Table29[T-reflection])</f>
        <v>t</v>
      </c>
      <c r="DH45" s="5" t="str" cm="1">
        <f t="array" ref="DH45">_xlfn.XLOOKUP(TRUE, EXACT(Table28[[#This Row],[X2]], Table29[orig]), Table29[T-reflection])</f>
        <v>v</v>
      </c>
      <c r="DI45" s="5" t="str" cm="1">
        <f t="array" ref="DI45">_xlfn.XLOOKUP(TRUE, EXACT(Table28[[#This Row],[X'']], Table29[orig]), Table29[T-reflection])</f>
        <v>j</v>
      </c>
      <c r="DJ45" s="8" t="str" cm="1">
        <f t="array" ref="DJ45">_xlfn.XLOOKUP(TRUE, EXACT(Table28[[#This Row],[Y]], Table29[orig]), Table29[T-reflection])</f>
        <v>a</v>
      </c>
      <c r="DK45" s="5" t="str" cm="1">
        <f t="array" ref="DK45">_xlfn.XLOOKUP(TRUE, EXACT(Table28[[#This Row],[Y2]], Table29[orig]), Table29[T-reflection])</f>
        <v>d</v>
      </c>
      <c r="DL45" s="5" t="str" cm="1">
        <f t="array" ref="DL45">_xlfn.XLOOKUP(TRUE, EXACT(Table28[[#This Row],[Y'']], Table29[orig]), Table29[T-reflection])</f>
        <v>c</v>
      </c>
      <c r="DM45" s="8" t="str" cm="1">
        <f t="array" ref="DM45">_xlfn.XLOOKUP(TRUE, EXACT(Table28[[#This Row],[Z]], Table29[orig]), Table29[T-reflection])</f>
        <v>e</v>
      </c>
      <c r="DN45" s="5" t="str" cm="1">
        <f t="array" ref="DN45">_xlfn.XLOOKUP(TRUE, EXACT(Table28[[#This Row],[Z2]], Table29[orig]), Table29[T-reflection])</f>
        <v>x</v>
      </c>
      <c r="DO45" s="5" t="str" cm="1">
        <f t="array" ref="DO45">_xlfn.XLOOKUP(TRUE, EXACT(Table28[[#This Row],[Z'']], Table29[orig]), Table29[T-reflection])</f>
        <v>o</v>
      </c>
      <c r="DP45" s="5" t="str" cm="1">
        <f t="array" ref="DP45">_xlfn.XLOOKUP(TRUE, EXACT(Table28[[#This Row],[Z X]], Table29[orig]), Table29[T-reflection])</f>
        <v>h</v>
      </c>
      <c r="DQ45" s="5" t="str" cm="1">
        <f t="array" ref="DQ45">_xlfn.XLOOKUP(TRUE, EXACT(Table28[[#This Row],[Y'' X'']], Table29[orig]), Table29[T-reflection])</f>
        <v>k</v>
      </c>
      <c r="DR45" s="5" t="str" cm="1">
        <f t="array" ref="DR45">_xlfn.XLOOKUP(TRUE, EXACT(Table28[[#This Row],[Y X'']], Table29[orig]), Table29[T-reflection])</f>
        <v>i</v>
      </c>
      <c r="DS45" s="5" t="str" cm="1">
        <f t="array" ref="DS45">_xlfn.XLOOKUP(TRUE, EXACT(Table28[[#This Row],[Z'' X]], Table29[orig]), Table29[T-reflection])</f>
        <v>p</v>
      </c>
      <c r="DT45" s="5" t="str" cm="1">
        <f t="array" ref="DT45">_xlfn.XLOOKUP(TRUE, EXACT(Table28[[#This Row],[Z'' X'']], Table29[orig]), Table29[T-reflection])</f>
        <v>n</v>
      </c>
      <c r="DU45" s="5" t="str" cm="1">
        <f t="array" ref="DU45">_xlfn.XLOOKUP(TRUE, EXACT(Table28[[#This Row],[Y'' X]], Table29[orig]), Table29[T-reflection])</f>
        <v>q</v>
      </c>
      <c r="DV45" s="5" t="str" cm="1">
        <f t="array" ref="DV45">_xlfn.XLOOKUP(TRUE, EXACT(Table28[[#This Row],[Y X]], Table29[orig]), Table29[T-reflection])</f>
        <v>s</v>
      </c>
      <c r="DW45" s="5" t="str" cm="1">
        <f t="array" ref="DW45">_xlfn.XLOOKUP(TRUE, EXACT(Table28[[#This Row],[Z X'']], Table29[orig]), Table29[T-reflection])</f>
        <v>f</v>
      </c>
      <c r="DX45" s="5" t="str" cm="1">
        <f t="array" ref="DX45">_xlfn.XLOOKUP(TRUE, EXACT(Table28[[#This Row],[Y'' X2]], Table29[orig]), Table29[T-reflection])</f>
        <v>w</v>
      </c>
      <c r="DY45" s="5" t="str" cm="1">
        <f t="array" ref="DY45">_xlfn.XLOOKUP(TRUE, EXACT(Table28[[#This Row],[Y X2]], Table29[orig]), Table29[T-reflection])</f>
        <v>u</v>
      </c>
      <c r="DZ45" s="5" t="str" cm="1">
        <f t="array" ref="DZ45">_xlfn.XLOOKUP(TRUE, EXACT(Table28[[#This Row],[Z X2]], Table29[orig]), Table29[T-reflection])</f>
        <v>g</v>
      </c>
      <c r="EA45" s="5" t="str" cm="1">
        <f t="array" ref="EA45">_xlfn.XLOOKUP(TRUE, EXACT(Table28[[#This Row],[Z'' X2]], Table29[orig]), Table29[T-reflection])</f>
        <v>m</v>
      </c>
      <c r="EB45" s="5" t="str" cm="1">
        <f t="array" ref="EB45">_xlfn.XLOOKUP(TRUE, EXACT(Table28[[#This Row],[Z2 X]], Table29[orig]), Table29[T-reflection])</f>
        <v>l</v>
      </c>
      <c r="EC45" s="5" t="str" cm="1">
        <f t="array" ref="EC45">_xlfn.XLOOKUP(TRUE, EXACT(Table28[[#This Row],[Z2 X'']], Table29[orig]), Table29[T-reflection])</f>
        <v>r</v>
      </c>
      <c r="ED45"/>
      <c r="EE45"/>
      <c r="EF45"/>
      <c r="EG45"/>
      <c r="EH45"/>
      <c r="EI45"/>
      <c r="EJ45"/>
      <c r="EK45"/>
      <c r="EL45"/>
      <c r="EM45"/>
      <c r="EN45"/>
      <c r="EO45"/>
      <c r="EP45"/>
      <c r="EQ45"/>
      <c r="ER45"/>
      <c r="ES45"/>
      <c r="ET45"/>
      <c r="EU45"/>
      <c r="EV45"/>
      <c r="EW45"/>
      <c r="EX45"/>
      <c r="EY45"/>
      <c r="EZ45"/>
      <c r="FA45"/>
      <c r="FB45"/>
      <c r="FC45"/>
      <c r="FD45"/>
      <c r="FE45"/>
      <c r="FF45"/>
      <c r="FG45"/>
      <c r="FH45"/>
    </row>
    <row r="46" spans="1:164" ht="16" thickTop="1" x14ac:dyDescent="0.2">
      <c r="B46" t="s">
        <v>130</v>
      </c>
      <c r="C46" t="s">
        <v>130</v>
      </c>
      <c r="D46" t="s">
        <v>131</v>
      </c>
      <c r="E46" t="s">
        <v>80</v>
      </c>
      <c r="F46" t="s">
        <v>34</v>
      </c>
      <c r="G46" t="s">
        <v>133</v>
      </c>
      <c r="H46" t="s">
        <v>60</v>
      </c>
      <c r="I46" t="s">
        <v>130</v>
      </c>
      <c r="J46" t="s">
        <v>130</v>
      </c>
      <c r="K46" t="s">
        <v>80</v>
      </c>
      <c r="L46" t="s">
        <v>130</v>
      </c>
      <c r="O46" t="s">
        <v>130</v>
      </c>
      <c r="P46" t="str">
        <f>Table27[[#This Row],[orig]]</f>
        <v>e</v>
      </c>
      <c r="Q46" t="str">
        <f>Table29[[#This Row],[X]]</f>
        <v>h</v>
      </c>
      <c r="R46" t="str" cm="1">
        <f t="array" ref="R46">_xlfn.XLOOKUP(TRUE, EXACT(Table27[[#This Row],[X]], Table27[orig]), Table27[X])</f>
        <v>g</v>
      </c>
      <c r="S46" t="str" cm="1">
        <f t="array" ref="S46">_xlfn.XLOOKUP(TRUE, EXACT(Table27[[#This Row],[X2]], Table27[orig]), Table27[X])</f>
        <v>f</v>
      </c>
      <c r="T46" t="str">
        <f>Table29[[#This Row],[Y]]</f>
        <v>q</v>
      </c>
      <c r="U46" t="str" cm="1">
        <f t="array" ref="U46">_xlfn.XLOOKUP(TRUE, EXACT(Table27[[#This Row],[Y]], Table27[orig]), Table27[Y])</f>
        <v>m</v>
      </c>
      <c r="V46" t="str" cm="1">
        <f t="array" ref="V46">_xlfn.XLOOKUP(TRUE, EXACT(Table27[[#This Row],[Y2]], Table27[orig]), Table27[Y])</f>
        <v>i</v>
      </c>
      <c r="W46" t="str">
        <f>Table29[[#This Row],[Z]]</f>
        <v>b</v>
      </c>
      <c r="X46" t="str" cm="1">
        <f t="array" ref="X46">_xlfn.XLOOKUP(TRUE, EXACT(Table27[[#This Row],[Z]], Table27[orig]), Table27[Z])</f>
        <v>o</v>
      </c>
      <c r="Y46" t="str" cm="1">
        <f t="array" ref="Y46">_xlfn.XLOOKUP(TRUE, EXACT(Table27[[#This Row],[Z2]], Table27[orig]), Table27[Z])</f>
        <v>x</v>
      </c>
      <c r="Z46" t="str">
        <f>Table29[[#This Row],[R]]</f>
        <v>e</v>
      </c>
      <c r="AA46" t="str" cm="1">
        <f t="array" ref="AA46">_xlfn.XLOOKUP(TRUE, EXACT(Table27[[#This Row],[R]], Table27[orig]), Table27[R])</f>
        <v>e</v>
      </c>
      <c r="AB46" t="str" cm="1">
        <f t="array" ref="AB46">_xlfn.XLOOKUP(TRUE, EXACT(Table27[[#This Row],[R2]], Table27[orig]), Table27[R])</f>
        <v>e</v>
      </c>
      <c r="AC46" t="str" cm="1">
        <f t="array" ref="AC46">_xlfn.XLOOKUP(TRUE, EXACT(_xlfn.XLOOKUP(TRUE, EXACT(Table27[[#This Row],[Y2]], Table27[orig]), Table27[R]), Table27[orig]), Table27[Y2])</f>
        <v>f</v>
      </c>
      <c r="AD46" t="str" cm="1">
        <f t="array" ref="AD46">_xlfn.XLOOKUP(TRUE, EXACT(Table27[[#This Row],[L]], Table27[orig]), Table27[L])</f>
        <v>g</v>
      </c>
      <c r="AE46" t="str" cm="1">
        <f t="array" ref="AE46">_xlfn.XLOOKUP(TRUE, EXACT(Table27[[#This Row],[L2]], Table27[orig]), Table27[L])</f>
        <v>h</v>
      </c>
      <c r="AF46" t="str" cm="1">
        <f t="array" ref="AF46">_xlfn.XLOOKUP(TRUE, EXACT(Table27[[#This Row],[r-lower]], Table27[orig]), Table27[R''])</f>
        <v>e</v>
      </c>
      <c r="AG46" t="str" cm="1">
        <f t="array" ref="AG46">_xlfn.XLOOKUP(TRUE, EXACT(Table27[[#This Row],[T]], Table27[orig]), Table27[T])</f>
        <v>e</v>
      </c>
      <c r="AH46" t="str" cm="1">
        <f t="array" ref="AH46">_xlfn.XLOOKUP(TRUE, EXACT(Table27[[#This Row],[T2]], Table27[orig]), Table27[T])</f>
        <v>e</v>
      </c>
      <c r="AI46" t="str" cm="1">
        <f t="array" ref="AI46">_xlfn.XLOOKUP(TRUE, EXACT(Table27[[#This Row],[X]], Table27[orig]), Table27[L])</f>
        <v>e</v>
      </c>
      <c r="AJ46" t="str" cm="1">
        <f t="array" ref="AJ46">_xlfn.XLOOKUP(TRUE, EXACT(Table27[[#This Row],[r-lower]], Table27[orig]), Table27[r-lower])</f>
        <v>e</v>
      </c>
      <c r="AK46" t="str" cm="1">
        <f t="array" ref="AK46">_xlfn.XLOOKUP(TRUE, EXACT(Table27[[#This Row],[r2-lower]], Table27[orig]), Table27[r-lower])</f>
        <v>e</v>
      </c>
      <c r="AL46" t="str" cm="1">
        <f t="array" ref="AL46">_xlfn.XLOOKUP(TRUE, EXACT(Table27[[#This Row],[X'']], Table27[orig]), Table27[R])</f>
        <v>f</v>
      </c>
      <c r="AM46" t="str" cm="1">
        <f t="array" ref="AM46">_xlfn.XLOOKUP(TRUE, EXACT(Table27[[#This Row],[l-lower]], Table27[orig]), Table27[l-lower])</f>
        <v>g</v>
      </c>
      <c r="AN46" t="str" cm="1">
        <f t="array" ref="AN46">_xlfn.XLOOKUP(TRUE, EXACT(Table27[[#This Row],[l2-lower]], Table27[orig]), Table27[l-lower])</f>
        <v>h</v>
      </c>
      <c r="AO46" t="str" cm="1">
        <f t="array" ref="AO46">_xlfn.XLOOKUP(TRUE, EXACT(Table27[[#This Row],[R]], Table27[orig]), Table27[L''])</f>
        <v>h</v>
      </c>
      <c r="AP46" t="str" cm="1">
        <f t="array" ref="AP46">_xlfn.XLOOKUP(TRUE, EXACT(Table27[[#This Row],[RL'']], Table27[orig]), Table27[RL''])</f>
        <v>g</v>
      </c>
      <c r="AQ46" t="str" cm="1">
        <f t="array" ref="AQ46">_xlfn.XLOOKUP(TRUE, EXACT(Table27[[#This Row],[R2L2]], Table27[orig]), Table27[RL''])</f>
        <v>f</v>
      </c>
      <c r="AR46" t="str">
        <f>Table29[[#This Row],[U]]</f>
        <v>q</v>
      </c>
      <c r="AS46" t="str" cm="1">
        <f t="array" ref="AS46">_xlfn.XLOOKUP(TRUE, EXACT(Table27[[#This Row],[U]], Table27[orig]), Table27[U])</f>
        <v>m</v>
      </c>
      <c r="AT46" t="str" cm="1">
        <f t="array" ref="AT46">_xlfn.XLOOKUP(TRUE, EXACT(Table27[[#This Row],[U2]], Table27[orig]), Table27[U])</f>
        <v>i</v>
      </c>
      <c r="AU46" t="str" cm="1">
        <f t="array" ref="AU46">_xlfn.XLOOKUP(TRUE, EXACT(_xlfn.XLOOKUP(TRUE, EXACT(Table27[[#This Row],[Z2]], Table27[orig]), Table27[U]), Table27[orig]), Table27[Z2])</f>
        <v>e</v>
      </c>
      <c r="AV46" t="str" cm="1">
        <f t="array" ref="AV46">_xlfn.XLOOKUP(TRUE, EXACT(Table27[[#This Row],[D]], Table27[orig]), Table27[D])</f>
        <v>e</v>
      </c>
      <c r="AW46" t="str" cm="1">
        <f t="array" ref="AW46">_xlfn.XLOOKUP(TRUE, EXACT(Table27[[#This Row],[D2]], Table27[orig]), Table27[D])</f>
        <v>e</v>
      </c>
      <c r="AX46" t="str" cm="1">
        <f t="array" ref="AX46">_xlfn.XLOOKUP(TRUE, EXACT(Table27[[#This Row],[u-lower]], Table27[orig]), Table27[U''])</f>
        <v>e</v>
      </c>
      <c r="AY46" t="str" cm="1">
        <f t="array" ref="AY46">_xlfn.XLOOKUP(TRUE, EXACT(Table27[[#This Row],[H]], Table27[orig]), Table27[H])</f>
        <v>e</v>
      </c>
      <c r="AZ46" t="str" cm="1">
        <f t="array" ref="AZ46">_xlfn.XLOOKUP(TRUE, EXACT(Table27[[#This Row],[H2]], Table27[orig]), Table27[H])</f>
        <v>e</v>
      </c>
      <c r="BA46" t="str" cm="1">
        <f t="array" ref="BA46">_xlfn.XLOOKUP(TRUE, EXACT(Table27[[#This Row],[Y]], Table27[orig]), Table27[D])</f>
        <v>q</v>
      </c>
      <c r="BB46" t="str" cm="1">
        <f t="array" ref="BB46">_xlfn.XLOOKUP(TRUE, EXACT(Table27[[#This Row],[u-lower]], Table27[orig]), Table27[u-lower])</f>
        <v>m</v>
      </c>
      <c r="BC46" t="str" cm="1">
        <f t="array" ref="BC46">_xlfn.XLOOKUP(TRUE, EXACT(Table27[[#This Row],[u2-lower]], Table27[orig]), Table27[u-lower])</f>
        <v>i</v>
      </c>
      <c r="BD46" t="str" cm="1">
        <f t="array" ref="BD46">_xlfn.XLOOKUP(TRUE, EXACT(Table27[[#This Row],[Y'']], Table27[orig]), Table27[U])</f>
        <v>e</v>
      </c>
      <c r="BE46" t="str" cm="1">
        <f t="array" ref="BE46">_xlfn.XLOOKUP(TRUE, EXACT(Table27[[#This Row],[d-lower]], Table27[orig]), Table27[d-lower])</f>
        <v>e</v>
      </c>
      <c r="BF46" t="str" cm="1">
        <f t="array" ref="BF46">_xlfn.XLOOKUP(TRUE, EXACT(Table27[[#This Row],[d2-lower]], Table27[orig]), Table27[d-lower])</f>
        <v>e</v>
      </c>
      <c r="BG46" t="str" cm="1">
        <f t="array" ref="BG46">_xlfn.XLOOKUP(TRUE, EXACT(Table27[[#This Row],[U]], Table27[orig]), Table27[D''])</f>
        <v>q</v>
      </c>
      <c r="BH46" t="str" cm="1">
        <f t="array" ref="BH46">_xlfn.XLOOKUP(TRUE, EXACT(Table27[[#This Row],[UD'']], Table27[orig]), Table27[UD''])</f>
        <v>m</v>
      </c>
      <c r="BI46" t="str" cm="1">
        <f t="array" ref="BI46">_xlfn.XLOOKUP(TRUE, EXACT(Table27[[#This Row],[U2D2]], Table27[orig]), Table27[UD''])</f>
        <v>i</v>
      </c>
      <c r="BJ46" t="str">
        <f>Table29[[#This Row],[F]]</f>
        <v>e</v>
      </c>
      <c r="BK46" t="str" cm="1">
        <f t="array" ref="BK46">_xlfn.XLOOKUP(TRUE, EXACT(Table27[[#This Row],[F]], Table27[orig]), Table27[F])</f>
        <v>e</v>
      </c>
      <c r="BL46" t="str" cm="1">
        <f t="array" ref="BL46">_xlfn.XLOOKUP(TRUE, EXACT(Table27[[#This Row],[F2]], Table27[orig]), Table27[F])</f>
        <v>e</v>
      </c>
      <c r="BM46" t="str" cm="1">
        <f t="array" ref="BM46">_xlfn.XLOOKUP(TRUE, EXACT(_xlfn.XLOOKUP(TRUE, EXACT(Table27[[#This Row],[X2]], Table27[orig]), Table27[F]), Table27[orig]), Table27[X2])</f>
        <v>e</v>
      </c>
      <c r="BN46" t="str" cm="1">
        <f t="array" ref="BN46">_xlfn.XLOOKUP(TRUE, EXACT(Table27[[#This Row],[B]], Table27[orig]), Table27[B])</f>
        <v>e</v>
      </c>
      <c r="BO46" t="str" cm="1">
        <f t="array" ref="BO46">_xlfn.XLOOKUP(TRUE, EXACT(Table27[[#This Row],[B2]], Table27[orig]), Table27[B])</f>
        <v>e</v>
      </c>
      <c r="BP46" t="str" cm="1">
        <f t="array" ref="BP46">_xlfn.XLOOKUP(TRUE, EXACT(Table27[[#This Row],[f-lower]], Table27[orig]), Table27[F''])</f>
        <v>b</v>
      </c>
      <c r="BQ46" t="str" cm="1">
        <f t="array" ref="BQ46">_xlfn.XLOOKUP(TRUE, EXACT(Table27[[#This Row],[S]], Table27[orig]), Table27[S])</f>
        <v>o</v>
      </c>
      <c r="BR46" t="str" cm="1">
        <f t="array" ref="BR46">_xlfn.XLOOKUP(TRUE, EXACT(Table27[[#This Row],[S2]], Table27[orig]), Table27[S])</f>
        <v>x</v>
      </c>
      <c r="BS46" t="str" cm="1">
        <f t="array" ref="BS46">_xlfn.XLOOKUP(TRUE, EXACT(Table27[[#This Row],[Z]], Table27[orig]), Table27[B])</f>
        <v>b</v>
      </c>
      <c r="BT46" t="str" cm="1">
        <f t="array" ref="BT46">_xlfn.XLOOKUP(TRUE, EXACT(Table27[[#This Row],[f-lower]], Table27[orig]), Table27[f-lower])</f>
        <v>o</v>
      </c>
      <c r="BU46" t="str" cm="1">
        <f t="array" ref="BU46">_xlfn.XLOOKUP(TRUE, EXACT(Table27[[#This Row],[f2-lower]], Table27[orig]), Table27[f-lower])</f>
        <v>x</v>
      </c>
      <c r="BV46" t="str" cm="1">
        <f t="array" ref="BV46">_xlfn.XLOOKUP(TRUE, EXACT(Table27[[#This Row],[Z'']], Table27[orig]), Table27[F])</f>
        <v>x</v>
      </c>
      <c r="BW46" t="str" cm="1">
        <f t="array" ref="BW46">_xlfn.XLOOKUP(TRUE, EXACT(Table27[[#This Row],[b-lower]], Table27[orig]), Table27[b-lower])</f>
        <v>o</v>
      </c>
      <c r="BX46" t="str" cm="1">
        <f t="array" ref="BX46">_xlfn.XLOOKUP(TRUE, EXACT(Table27[[#This Row],[b2-lower]], Table27[orig]), Table27[b-lower])</f>
        <v>b</v>
      </c>
      <c r="BY46" t="str" cm="1">
        <f t="array" ref="BY46">_xlfn.XLOOKUP(TRUE, EXACT(Table27[[#This Row],[F]], Table27[orig]), Table27[B''])</f>
        <v>e</v>
      </c>
      <c r="BZ46" t="str" cm="1">
        <f t="array" ref="BZ46">_xlfn.XLOOKUP(TRUE, EXACT(Table27[[#This Row],[FB'']], Table27[orig]), Table27[FB''])</f>
        <v>e</v>
      </c>
      <c r="CA46" t="str" cm="1">
        <f t="array" ref="CA46">_xlfn.XLOOKUP(TRUE, EXACT(Table27[[#This Row],[F2B2]], Table27[orig]), Table27[FB''])</f>
        <v>e</v>
      </c>
      <c r="CD46" t="s">
        <v>130</v>
      </c>
      <c r="CE46" t="str">
        <f>Table28[[#This Row],[orig]]</f>
        <v>e</v>
      </c>
      <c r="CF46" t="str">
        <f>Table29[[#This Row],[X]]</f>
        <v>h</v>
      </c>
      <c r="CG46" t="str" cm="1">
        <f t="array" ref="CG46">_xlfn.XLOOKUP(TRUE, EXACT(Table28[[#This Row],[X]], Table28[orig]), Table28[X])</f>
        <v>g</v>
      </c>
      <c r="CH46" t="str" cm="1">
        <f t="array" ref="CH46">_xlfn.XLOOKUP(TRUE, EXACT(Table28[[#This Row],[X2]], Table28[orig]), Table28[X])</f>
        <v>f</v>
      </c>
      <c r="CI46" t="str">
        <f>Table29[[#This Row],[Y]]</f>
        <v>q</v>
      </c>
      <c r="CJ46" t="str" cm="1">
        <f t="array" ref="CJ46">_xlfn.XLOOKUP(TRUE, EXACT(Table28[[#This Row],[Y]], Table28[orig]), Table28[Y])</f>
        <v>m</v>
      </c>
      <c r="CK46" t="str" cm="1">
        <f t="array" ref="CK46">_xlfn.XLOOKUP(TRUE, EXACT(Table28[[#This Row],[Y2]], Table28[orig]), Table28[Y])</f>
        <v>i</v>
      </c>
      <c r="CL46" t="str">
        <f>Table29[[#This Row],[Z]]</f>
        <v>b</v>
      </c>
      <c r="CM46" t="str" cm="1">
        <f t="array" ref="CM46">_xlfn.XLOOKUP(TRUE, EXACT(Table28[[#This Row],[Z]], Table28[orig]), Table28[Z])</f>
        <v>o</v>
      </c>
      <c r="CN46" t="str" cm="1">
        <f t="array" ref="CN46">_xlfn.XLOOKUP(TRUE, EXACT(Table28[[#This Row],[Z2]], Table28[orig]), Table28[Z])</f>
        <v>x</v>
      </c>
      <c r="CO46" t="str" cm="1">
        <f t="array" ref="CO46">_xlfn.XLOOKUP(TRUE, EXACT(Table28[[#This Row],[Z]], Table28[orig]), Table28[X])</f>
        <v>t</v>
      </c>
      <c r="CP46" t="str" cm="1">
        <f t="array" ref="CP46">_xlfn.XLOOKUP(TRUE, EXACT(Table28[[#This Row],[Y'']], Table28[orig]), Table28[X''])</f>
        <v>u</v>
      </c>
      <c r="CQ46" t="str" cm="1">
        <f t="array" ref="CQ46">_xlfn.XLOOKUP(TRUE, EXACT(Table28[[#This Row],[Y]], Table28[orig]), Table28[X''])</f>
        <v>c</v>
      </c>
      <c r="CR46" t="str" cm="1">
        <f t="array" ref="CR46">_xlfn.XLOOKUP(TRUE, EXACT(Table28[[#This Row],[Z'']], Table28[orig]), Table28[X])</f>
        <v>l</v>
      </c>
      <c r="CS46" t="str" cm="1">
        <f t="array" ref="CS46">_xlfn.XLOOKUP(TRUE, EXACT(Table28[[#This Row],[Z'']], Table28[orig]), Table28[X''])</f>
        <v>r</v>
      </c>
      <c r="CT46" t="str" cm="1">
        <f t="array" ref="CT46">_xlfn.XLOOKUP(TRUE, EXACT(Table28[[#This Row],[Y'']], Table28[orig]), Table28[X])</f>
        <v>a</v>
      </c>
      <c r="CU46" t="str" cm="1">
        <f t="array" ref="CU46">_xlfn.XLOOKUP(TRUE, EXACT(Table28[[#This Row],[Y]], Table28[orig]), Table28[X])</f>
        <v>w</v>
      </c>
      <c r="CV46" t="str" cm="1">
        <f t="array" ref="CV46">_xlfn.XLOOKUP(TRUE, EXACT(Table28[[#This Row],[Z]], Table28[orig]), Table28[X''])</f>
        <v>j</v>
      </c>
      <c r="CW46" t="str" cm="1">
        <f t="array" ref="CW46">_xlfn.XLOOKUP(TRUE, EXACT(Table28[[#This Row],[Y'']], Table28[orig]), Table28[X2])</f>
        <v>s</v>
      </c>
      <c r="CX46" t="str" cm="1">
        <f t="array" ref="CX46">_xlfn.XLOOKUP(TRUE, EXACT(Table28[[#This Row],[Y]], Table28[orig]), Table28[X2])</f>
        <v>k</v>
      </c>
      <c r="CY46" t="str" cm="1">
        <f t="array" ref="CY46">_xlfn.XLOOKUP(TRUE, EXACT(Table28[[#This Row],[Z]], Table28[orig]), Table28[X2])</f>
        <v>v</v>
      </c>
      <c r="CZ46" t="str" cm="1">
        <f t="array" ref="CZ46">_xlfn.XLOOKUP(TRUE, EXACT(Table28[[#This Row],[Z'']], Table28[orig]), Table28[X2])</f>
        <v>d</v>
      </c>
      <c r="DA46" t="str" cm="1">
        <f t="array" ref="DA46">_xlfn.XLOOKUP(TRUE, EXACT(Table28[[#This Row],[Z2]], Table28[orig]), Table28[X])</f>
        <v>p</v>
      </c>
      <c r="DB46" t="str" cm="1">
        <f t="array" ref="DB46">_xlfn.XLOOKUP(TRUE, EXACT(Table28[[#This Row],[Z2]], Table28[orig]), Table28[X''])</f>
        <v>n</v>
      </c>
      <c r="DE46" s="6" t="s">
        <v>130</v>
      </c>
      <c r="DF46" s="6" t="str" cm="1">
        <f t="array" ref="DF46">_xlfn.XLOOKUP(TRUE, EXACT(Table28[[#This Row],[I]], Table29[orig]), Table29[T-reflection])</f>
        <v>m</v>
      </c>
      <c r="DG46" s="6" t="str" cm="1">
        <f t="array" ref="DG46">_xlfn.XLOOKUP(TRUE, EXACT(Table28[[#This Row],[X]], Table29[orig]), Table29[T-reflection])</f>
        <v>n</v>
      </c>
      <c r="DH46" t="str" cm="1">
        <f t="array" ref="DH46">_xlfn.XLOOKUP(TRUE, EXACT(Table28[[#This Row],[X2]], Table29[orig]), Table29[T-reflection])</f>
        <v>o</v>
      </c>
      <c r="DI46" t="str" cm="1">
        <f t="array" ref="DI46">_xlfn.XLOOKUP(TRUE, EXACT(Table28[[#This Row],[X'']], Table29[orig]), Table29[T-reflection])</f>
        <v>p</v>
      </c>
      <c r="DJ46" s="6" t="str" cm="1">
        <f t="array" ref="DJ46">_xlfn.XLOOKUP(TRUE, EXACT(Table28[[#This Row],[Y]], Table29[orig]), Table29[T-reflection])</f>
        <v>q</v>
      </c>
      <c r="DK46" t="str" cm="1">
        <f t="array" ref="DK46">_xlfn.XLOOKUP(TRUE, EXACT(Table28[[#This Row],[Y2]], Table29[orig]), Table29[T-reflection])</f>
        <v>e</v>
      </c>
      <c r="DL46" t="str" cm="1">
        <f t="array" ref="DL46">_xlfn.XLOOKUP(TRUE, EXACT(Table28[[#This Row],[Y'']], Table29[orig]), Table29[T-reflection])</f>
        <v>i</v>
      </c>
      <c r="DM46" s="6" t="str" cm="1">
        <f t="array" ref="DM46">_xlfn.XLOOKUP(TRUE, EXACT(Table28[[#This Row],[Z]], Table29[orig]), Table29[T-reflection])</f>
        <v>d</v>
      </c>
      <c r="DN46" t="str" cm="1">
        <f t="array" ref="DN46">_xlfn.XLOOKUP(TRUE, EXACT(Table28[[#This Row],[Z2]], Table29[orig]), Table29[T-reflection])</f>
        <v>g</v>
      </c>
      <c r="DO46" t="str" cm="1">
        <f t="array" ref="DO46">_xlfn.XLOOKUP(TRUE, EXACT(Table28[[#This Row],[Z'']], Table29[orig]), Table29[T-reflection])</f>
        <v>v</v>
      </c>
      <c r="DP46" t="str" cm="1">
        <f t="array" ref="DP46">_xlfn.XLOOKUP(TRUE, EXACT(Table28[[#This Row],[Z X]], Table29[orig]), Table29[T-reflection])</f>
        <v>r</v>
      </c>
      <c r="DQ46" t="str" cm="1">
        <f t="array" ref="DQ46">_xlfn.XLOOKUP(TRUE, EXACT(Table28[[#This Row],[Y'' X'']], Table29[orig]), Table29[T-reflection])</f>
        <v>u</v>
      </c>
      <c r="DR46" t="str" cm="1">
        <f t="array" ref="DR46">_xlfn.XLOOKUP(TRUE, EXACT(Table28[[#This Row],[Y X'']], Table29[orig]), Table29[T-reflection])</f>
        <v>c</v>
      </c>
      <c r="DS46" t="str" cm="1">
        <f t="array" ref="DS46">_xlfn.XLOOKUP(TRUE, EXACT(Table28[[#This Row],[Z'' X]], Table29[orig]), Table29[T-reflection])</f>
        <v>j</v>
      </c>
      <c r="DT46" t="str" cm="1">
        <f t="array" ref="DT46">_xlfn.XLOOKUP(TRUE, EXACT(Table28[[#This Row],[Z'' X'']], Table29[orig]), Table29[T-reflection])</f>
        <v>t</v>
      </c>
      <c r="DU46" t="str" cm="1">
        <f t="array" ref="DU46">_xlfn.XLOOKUP(TRUE, EXACT(Table28[[#This Row],[Y'' X]], Table29[orig]), Table29[T-reflection])</f>
        <v>a</v>
      </c>
      <c r="DV46" t="str" cm="1">
        <f t="array" ref="DV46">_xlfn.XLOOKUP(TRUE, EXACT(Table28[[#This Row],[Y X]], Table29[orig]), Table29[T-reflection])</f>
        <v>w</v>
      </c>
      <c r="DW46" t="str" cm="1">
        <f t="array" ref="DW46">_xlfn.XLOOKUP(TRUE, EXACT(Table28[[#This Row],[Z X'']], Table29[orig]), Table29[T-reflection])</f>
        <v>l</v>
      </c>
      <c r="DX46" t="str" cm="1">
        <f t="array" ref="DX46">_xlfn.XLOOKUP(TRUE, EXACT(Table28[[#This Row],[Y'' X2]], Table29[orig]), Table29[T-reflection])</f>
        <v>s</v>
      </c>
      <c r="DY46" t="str" cm="1">
        <f t="array" ref="DY46">_xlfn.XLOOKUP(TRUE, EXACT(Table28[[#This Row],[Y X2]], Table29[orig]), Table29[T-reflection])</f>
        <v>k</v>
      </c>
      <c r="DZ46" t="str" cm="1">
        <f t="array" ref="DZ46">_xlfn.XLOOKUP(TRUE, EXACT(Table28[[#This Row],[Z X2]], Table29[orig]), Table29[T-reflection])</f>
        <v>x</v>
      </c>
      <c r="EA46" t="str" cm="1">
        <f t="array" ref="EA46">_xlfn.XLOOKUP(TRUE, EXACT(Table28[[#This Row],[Z'' X2]], Table29[orig]), Table29[T-reflection])</f>
        <v>b</v>
      </c>
      <c r="EB46" t="str" cm="1">
        <f t="array" ref="EB46">_xlfn.XLOOKUP(TRUE, EXACT(Table28[[#This Row],[Z2 X]], Table29[orig]), Table29[T-reflection])</f>
        <v>f</v>
      </c>
      <c r="EC46" t="str" cm="1">
        <f t="array" ref="EC46">_xlfn.XLOOKUP(TRUE, EXACT(Table28[[#This Row],[Z2 X'']], Table29[orig]), Table29[T-reflection])</f>
        <v>h</v>
      </c>
    </row>
    <row r="47" spans="1:164" x14ac:dyDescent="0.2">
      <c r="B47" t="s">
        <v>47</v>
      </c>
      <c r="C47" t="s">
        <v>47</v>
      </c>
      <c r="D47" t="s">
        <v>130</v>
      </c>
      <c r="E47" t="s">
        <v>46</v>
      </c>
      <c r="F47" t="s">
        <v>35</v>
      </c>
      <c r="G47" t="s">
        <v>87</v>
      </c>
      <c r="H47" t="s">
        <v>47</v>
      </c>
      <c r="I47" t="s">
        <v>131</v>
      </c>
      <c r="J47" t="s">
        <v>47</v>
      </c>
      <c r="K47" t="s">
        <v>47</v>
      </c>
      <c r="L47" t="s">
        <v>35</v>
      </c>
      <c r="O47" t="s">
        <v>47</v>
      </c>
      <c r="P47" t="str">
        <f>Table27[[#This Row],[orig]]</f>
        <v>f</v>
      </c>
      <c r="Q47" t="str">
        <f>Table29[[#This Row],[X]]</f>
        <v>e</v>
      </c>
      <c r="R47" t="str" cm="1">
        <f t="array" ref="R47">_xlfn.XLOOKUP(TRUE, EXACT(Table27[[#This Row],[X]], Table27[orig]), Table27[X])</f>
        <v>h</v>
      </c>
      <c r="S47" t="str" cm="1">
        <f t="array" ref="S47">_xlfn.XLOOKUP(TRUE, EXACT(Table27[[#This Row],[X2]], Table27[orig]), Table27[X])</f>
        <v>g</v>
      </c>
      <c r="T47" t="str">
        <f>Table29[[#This Row],[Y]]</f>
        <v>r</v>
      </c>
      <c r="U47" t="str" cm="1">
        <f t="array" ref="U47">_xlfn.XLOOKUP(TRUE, EXACT(Table27[[#This Row],[Y]], Table27[orig]), Table27[Y])</f>
        <v>n</v>
      </c>
      <c r="V47" t="str" cm="1">
        <f t="array" ref="V47">_xlfn.XLOOKUP(TRUE, EXACT(Table27[[#This Row],[Y2]], Table27[orig]), Table27[Y])</f>
        <v>j</v>
      </c>
      <c r="W47" t="str">
        <f>Table29[[#This Row],[Z]]</f>
        <v>c</v>
      </c>
      <c r="X47" t="str" cm="1">
        <f t="array" ref="X47">_xlfn.XLOOKUP(TRUE, EXACT(Table27[[#This Row],[Z]], Table27[orig]), Table27[Z])</f>
        <v>p</v>
      </c>
      <c r="Y47" t="str" cm="1">
        <f t="array" ref="Y47">_xlfn.XLOOKUP(TRUE, EXACT(Table27[[#This Row],[Z2]], Table27[orig]), Table27[Z])</f>
        <v>u</v>
      </c>
      <c r="Z47" t="str">
        <f>Table29[[#This Row],[R]]</f>
        <v>f</v>
      </c>
      <c r="AA47" t="str" cm="1">
        <f t="array" ref="AA47">_xlfn.XLOOKUP(TRUE, EXACT(Table27[[#This Row],[R]], Table27[orig]), Table27[R])</f>
        <v>f</v>
      </c>
      <c r="AB47" t="str" cm="1">
        <f t="array" ref="AB47">_xlfn.XLOOKUP(TRUE, EXACT(Table27[[#This Row],[R2]], Table27[orig]), Table27[R])</f>
        <v>f</v>
      </c>
      <c r="AC47" t="str" cm="1">
        <f t="array" ref="AC47">_xlfn.XLOOKUP(TRUE, EXACT(_xlfn.XLOOKUP(TRUE, EXACT(Table27[[#This Row],[Y2]], Table27[orig]), Table27[R]), Table27[orig]), Table27[Y2])</f>
        <v>g</v>
      </c>
      <c r="AD47" t="str" cm="1">
        <f t="array" ref="AD47">_xlfn.XLOOKUP(TRUE, EXACT(Table27[[#This Row],[L]], Table27[orig]), Table27[L])</f>
        <v>h</v>
      </c>
      <c r="AE47" t="str" cm="1">
        <f t="array" ref="AE47">_xlfn.XLOOKUP(TRUE, EXACT(Table27[[#This Row],[L2]], Table27[orig]), Table27[L])</f>
        <v>e</v>
      </c>
      <c r="AF47" t="str" cm="1">
        <f t="array" ref="AF47">_xlfn.XLOOKUP(TRUE, EXACT(Table27[[#This Row],[r-lower]], Table27[orig]), Table27[R''])</f>
        <v>f</v>
      </c>
      <c r="AG47" t="str" cm="1">
        <f t="array" ref="AG47">_xlfn.XLOOKUP(TRUE, EXACT(Table27[[#This Row],[T]], Table27[orig]), Table27[T])</f>
        <v>f</v>
      </c>
      <c r="AH47" t="str" cm="1">
        <f t="array" ref="AH47">_xlfn.XLOOKUP(TRUE, EXACT(Table27[[#This Row],[T2]], Table27[orig]), Table27[T])</f>
        <v>f</v>
      </c>
      <c r="AI47" t="str" cm="1">
        <f t="array" ref="AI47">_xlfn.XLOOKUP(TRUE, EXACT(Table27[[#This Row],[X]], Table27[orig]), Table27[L])</f>
        <v>f</v>
      </c>
      <c r="AJ47" t="str" cm="1">
        <f t="array" ref="AJ47">_xlfn.XLOOKUP(TRUE, EXACT(Table27[[#This Row],[r-lower]], Table27[orig]), Table27[r-lower])</f>
        <v>f</v>
      </c>
      <c r="AK47" t="str" cm="1">
        <f t="array" ref="AK47">_xlfn.XLOOKUP(TRUE, EXACT(Table27[[#This Row],[r2-lower]], Table27[orig]), Table27[r-lower])</f>
        <v>f</v>
      </c>
      <c r="AL47" t="str" cm="1">
        <f t="array" ref="AL47">_xlfn.XLOOKUP(TRUE, EXACT(Table27[[#This Row],[X'']], Table27[orig]), Table27[R])</f>
        <v>g</v>
      </c>
      <c r="AM47" t="str" cm="1">
        <f t="array" ref="AM47">_xlfn.XLOOKUP(TRUE, EXACT(Table27[[#This Row],[l-lower]], Table27[orig]), Table27[l-lower])</f>
        <v>h</v>
      </c>
      <c r="AN47" t="str" cm="1">
        <f t="array" ref="AN47">_xlfn.XLOOKUP(TRUE, EXACT(Table27[[#This Row],[l2-lower]], Table27[orig]), Table27[l-lower])</f>
        <v>e</v>
      </c>
      <c r="AO47" t="str" cm="1">
        <f t="array" ref="AO47">_xlfn.XLOOKUP(TRUE, EXACT(Table27[[#This Row],[R]], Table27[orig]), Table27[L''])</f>
        <v>e</v>
      </c>
      <c r="AP47" t="str" cm="1">
        <f t="array" ref="AP47">_xlfn.XLOOKUP(TRUE, EXACT(Table27[[#This Row],[RL'']], Table27[orig]), Table27[RL''])</f>
        <v>h</v>
      </c>
      <c r="AQ47" t="str" cm="1">
        <f t="array" ref="AQ47">_xlfn.XLOOKUP(TRUE, EXACT(Table27[[#This Row],[R2L2]], Table27[orig]), Table27[RL''])</f>
        <v>g</v>
      </c>
      <c r="AR47" t="str">
        <f>Table29[[#This Row],[U]]</f>
        <v>f</v>
      </c>
      <c r="AS47" t="str" cm="1">
        <f t="array" ref="AS47">_xlfn.XLOOKUP(TRUE, EXACT(Table27[[#This Row],[U]], Table27[orig]), Table27[U])</f>
        <v>f</v>
      </c>
      <c r="AT47" t="str" cm="1">
        <f t="array" ref="AT47">_xlfn.XLOOKUP(TRUE, EXACT(Table27[[#This Row],[U2]], Table27[orig]), Table27[U])</f>
        <v>f</v>
      </c>
      <c r="AU47" t="str" cm="1">
        <f t="array" ref="AU47">_xlfn.XLOOKUP(TRUE, EXACT(_xlfn.XLOOKUP(TRUE, EXACT(Table27[[#This Row],[Z2]], Table27[orig]), Table27[U]), Table27[orig]), Table27[Z2])</f>
        <v>f</v>
      </c>
      <c r="AV47" t="str" cm="1">
        <f t="array" ref="AV47">_xlfn.XLOOKUP(TRUE, EXACT(Table27[[#This Row],[D]], Table27[orig]), Table27[D])</f>
        <v>f</v>
      </c>
      <c r="AW47" t="str" cm="1">
        <f t="array" ref="AW47">_xlfn.XLOOKUP(TRUE, EXACT(Table27[[#This Row],[D2]], Table27[orig]), Table27[D])</f>
        <v>f</v>
      </c>
      <c r="AX47" t="str" cm="1">
        <f t="array" ref="AX47">_xlfn.XLOOKUP(TRUE, EXACT(Table27[[#This Row],[u-lower]], Table27[orig]), Table27[U''])</f>
        <v>r</v>
      </c>
      <c r="AY47" t="str" cm="1">
        <f t="array" ref="AY47">_xlfn.XLOOKUP(TRUE, EXACT(Table27[[#This Row],[H]], Table27[orig]), Table27[H])</f>
        <v>n</v>
      </c>
      <c r="AZ47" t="str" cm="1">
        <f t="array" ref="AZ47">_xlfn.XLOOKUP(TRUE, EXACT(Table27[[#This Row],[H2]], Table27[orig]), Table27[H])</f>
        <v>j</v>
      </c>
      <c r="BA47" t="str" cm="1">
        <f t="array" ref="BA47">_xlfn.XLOOKUP(TRUE, EXACT(Table27[[#This Row],[Y]], Table27[orig]), Table27[D])</f>
        <v>r</v>
      </c>
      <c r="BB47" t="str" cm="1">
        <f t="array" ref="BB47">_xlfn.XLOOKUP(TRUE, EXACT(Table27[[#This Row],[u-lower]], Table27[orig]), Table27[u-lower])</f>
        <v>n</v>
      </c>
      <c r="BC47" t="str" cm="1">
        <f t="array" ref="BC47">_xlfn.XLOOKUP(TRUE, EXACT(Table27[[#This Row],[u2-lower]], Table27[orig]), Table27[u-lower])</f>
        <v>j</v>
      </c>
      <c r="BD47" t="str" cm="1">
        <f t="array" ref="BD47">_xlfn.XLOOKUP(TRUE, EXACT(Table27[[#This Row],[Y'']], Table27[orig]), Table27[U])</f>
        <v>j</v>
      </c>
      <c r="BE47" t="str" cm="1">
        <f t="array" ref="BE47">_xlfn.XLOOKUP(TRUE, EXACT(Table27[[#This Row],[d-lower]], Table27[orig]), Table27[d-lower])</f>
        <v>n</v>
      </c>
      <c r="BF47" t="str" cm="1">
        <f t="array" ref="BF47">_xlfn.XLOOKUP(TRUE, EXACT(Table27[[#This Row],[d2-lower]], Table27[orig]), Table27[d-lower])</f>
        <v>r</v>
      </c>
      <c r="BG47" t="str" cm="1">
        <f t="array" ref="BG47">_xlfn.XLOOKUP(TRUE, EXACT(Table27[[#This Row],[U]], Table27[orig]), Table27[D''])</f>
        <v>f</v>
      </c>
      <c r="BH47" t="str" cm="1">
        <f t="array" ref="BH47">_xlfn.XLOOKUP(TRUE, EXACT(Table27[[#This Row],[UD'']], Table27[orig]), Table27[UD''])</f>
        <v>f</v>
      </c>
      <c r="BI47" t="str" cm="1">
        <f t="array" ref="BI47">_xlfn.XLOOKUP(TRUE, EXACT(Table27[[#This Row],[U2D2]], Table27[orig]), Table27[UD''])</f>
        <v>f</v>
      </c>
      <c r="BJ47" t="str">
        <f>Table29[[#This Row],[F]]</f>
        <v>c</v>
      </c>
      <c r="BK47" t="str" cm="1">
        <f t="array" ref="BK47">_xlfn.XLOOKUP(TRUE, EXACT(Table27[[#This Row],[F]], Table27[orig]), Table27[F])</f>
        <v>p</v>
      </c>
      <c r="BL47" t="str" cm="1">
        <f t="array" ref="BL47">_xlfn.XLOOKUP(TRUE, EXACT(Table27[[#This Row],[F2]], Table27[orig]), Table27[F])</f>
        <v>u</v>
      </c>
      <c r="BM47" t="str" cm="1">
        <f t="array" ref="BM47">_xlfn.XLOOKUP(TRUE, EXACT(_xlfn.XLOOKUP(TRUE, EXACT(Table27[[#This Row],[X2]], Table27[orig]), Table27[F]), Table27[orig]), Table27[X2])</f>
        <v>f</v>
      </c>
      <c r="BN47" t="str" cm="1">
        <f t="array" ref="BN47">_xlfn.XLOOKUP(TRUE, EXACT(Table27[[#This Row],[B]], Table27[orig]), Table27[B])</f>
        <v>f</v>
      </c>
      <c r="BO47" t="str" cm="1">
        <f t="array" ref="BO47">_xlfn.XLOOKUP(TRUE, EXACT(Table27[[#This Row],[B2]], Table27[orig]), Table27[B])</f>
        <v>f</v>
      </c>
      <c r="BP47" t="str" cm="1">
        <f t="array" ref="BP47">_xlfn.XLOOKUP(TRUE, EXACT(Table27[[#This Row],[f-lower]], Table27[orig]), Table27[F''])</f>
        <v>f</v>
      </c>
      <c r="BQ47" t="str" cm="1">
        <f t="array" ref="BQ47">_xlfn.XLOOKUP(TRUE, EXACT(Table27[[#This Row],[S]], Table27[orig]), Table27[S])</f>
        <v>f</v>
      </c>
      <c r="BR47" t="str" cm="1">
        <f t="array" ref="BR47">_xlfn.XLOOKUP(TRUE, EXACT(Table27[[#This Row],[S2]], Table27[orig]), Table27[S])</f>
        <v>f</v>
      </c>
      <c r="BS47" t="str" cm="1">
        <f t="array" ref="BS47">_xlfn.XLOOKUP(TRUE, EXACT(Table27[[#This Row],[Z]], Table27[orig]), Table27[B])</f>
        <v>c</v>
      </c>
      <c r="BT47" t="str" cm="1">
        <f t="array" ref="BT47">_xlfn.XLOOKUP(TRUE, EXACT(Table27[[#This Row],[f-lower]], Table27[orig]), Table27[f-lower])</f>
        <v>p</v>
      </c>
      <c r="BU47" t="str" cm="1">
        <f t="array" ref="BU47">_xlfn.XLOOKUP(TRUE, EXACT(Table27[[#This Row],[f2-lower]], Table27[orig]), Table27[f-lower])</f>
        <v>u</v>
      </c>
      <c r="BV47" t="str" cm="1">
        <f t="array" ref="BV47">_xlfn.XLOOKUP(TRUE, EXACT(Table27[[#This Row],[Z'']], Table27[orig]), Table27[F])</f>
        <v>f</v>
      </c>
      <c r="BW47" t="str" cm="1">
        <f t="array" ref="BW47">_xlfn.XLOOKUP(TRUE, EXACT(Table27[[#This Row],[b-lower]], Table27[orig]), Table27[b-lower])</f>
        <v>f</v>
      </c>
      <c r="BX47" t="str" cm="1">
        <f t="array" ref="BX47">_xlfn.XLOOKUP(TRUE, EXACT(Table27[[#This Row],[b2-lower]], Table27[orig]), Table27[b-lower])</f>
        <v>f</v>
      </c>
      <c r="BY47" t="str" cm="1">
        <f t="array" ref="BY47">_xlfn.XLOOKUP(TRUE, EXACT(Table27[[#This Row],[F]], Table27[orig]), Table27[B''])</f>
        <v>c</v>
      </c>
      <c r="BZ47" t="str" cm="1">
        <f t="array" ref="BZ47">_xlfn.XLOOKUP(TRUE, EXACT(Table27[[#This Row],[FB'']], Table27[orig]), Table27[FB''])</f>
        <v>p</v>
      </c>
      <c r="CA47" t="str" cm="1">
        <f t="array" ref="CA47">_xlfn.XLOOKUP(TRUE, EXACT(Table27[[#This Row],[F2B2]], Table27[orig]), Table27[FB''])</f>
        <v>u</v>
      </c>
      <c r="CD47" t="s">
        <v>47</v>
      </c>
      <c r="CE47" t="str">
        <f>Table28[[#This Row],[orig]]</f>
        <v>f</v>
      </c>
      <c r="CF47" t="str">
        <f>Table29[[#This Row],[X]]</f>
        <v>e</v>
      </c>
      <c r="CG47" t="str" cm="1">
        <f t="array" ref="CG47">_xlfn.XLOOKUP(TRUE, EXACT(Table28[[#This Row],[X]], Table28[orig]), Table28[X])</f>
        <v>h</v>
      </c>
      <c r="CH47" t="str" cm="1">
        <f t="array" ref="CH47">_xlfn.XLOOKUP(TRUE, EXACT(Table28[[#This Row],[X2]], Table28[orig]), Table28[X])</f>
        <v>g</v>
      </c>
      <c r="CI47" t="str">
        <f>Table29[[#This Row],[Y]]</f>
        <v>r</v>
      </c>
      <c r="CJ47" t="str" cm="1">
        <f t="array" ref="CJ47">_xlfn.XLOOKUP(TRUE, EXACT(Table28[[#This Row],[Y]], Table28[orig]), Table28[Y])</f>
        <v>n</v>
      </c>
      <c r="CK47" t="str" cm="1">
        <f t="array" ref="CK47">_xlfn.XLOOKUP(TRUE, EXACT(Table28[[#This Row],[Y2]], Table28[orig]), Table28[Y])</f>
        <v>j</v>
      </c>
      <c r="CL47" t="str">
        <f>Table29[[#This Row],[Z]]</f>
        <v>c</v>
      </c>
      <c r="CM47" t="str" cm="1">
        <f t="array" ref="CM47">_xlfn.XLOOKUP(TRUE, EXACT(Table28[[#This Row],[Z]], Table28[orig]), Table28[Z])</f>
        <v>p</v>
      </c>
      <c r="CN47" t="str" cm="1">
        <f t="array" ref="CN47">_xlfn.XLOOKUP(TRUE, EXACT(Table28[[#This Row],[Z2]], Table28[orig]), Table28[Z])</f>
        <v>u</v>
      </c>
      <c r="CO47" t="str" cm="1">
        <f t="array" ref="CO47">_xlfn.XLOOKUP(TRUE, EXACT(Table28[[#This Row],[Z]], Table28[orig]), Table28[X])</f>
        <v>q</v>
      </c>
      <c r="CP47" t="str" cm="1">
        <f t="array" ref="CP47">_xlfn.XLOOKUP(TRUE, EXACT(Table28[[#This Row],[Y'']], Table28[orig]), Table28[X''])</f>
        <v>v</v>
      </c>
      <c r="CQ47" t="str" cm="1">
        <f t="array" ref="CQ47">_xlfn.XLOOKUP(TRUE, EXACT(Table28[[#This Row],[Y]], Table28[orig]), Table28[X''])</f>
        <v>d</v>
      </c>
      <c r="CR47" t="str" cm="1">
        <f t="array" ref="CR47">_xlfn.XLOOKUP(TRUE, EXACT(Table28[[#This Row],[Z'']], Table28[orig]), Table28[X])</f>
        <v>i</v>
      </c>
      <c r="CS47" t="str" cm="1">
        <f t="array" ref="CS47">_xlfn.XLOOKUP(TRUE, EXACT(Table28[[#This Row],[Z'']], Table28[orig]), Table28[X''])</f>
        <v>s</v>
      </c>
      <c r="CT47" t="str" cm="1">
        <f t="array" ref="CT47">_xlfn.XLOOKUP(TRUE, EXACT(Table28[[#This Row],[Y'']], Table28[orig]), Table28[X])</f>
        <v>b</v>
      </c>
      <c r="CU47" t="str" cm="1">
        <f t="array" ref="CU47">_xlfn.XLOOKUP(TRUE, EXACT(Table28[[#This Row],[Y]], Table28[orig]), Table28[X])</f>
        <v>x</v>
      </c>
      <c r="CV47" t="str" cm="1">
        <f t="array" ref="CV47">_xlfn.XLOOKUP(TRUE, EXACT(Table28[[#This Row],[Z]], Table28[orig]), Table28[X''])</f>
        <v>k</v>
      </c>
      <c r="CW47" t="str" cm="1">
        <f t="array" ref="CW47">_xlfn.XLOOKUP(TRUE, EXACT(Table28[[#This Row],[Y'']], Table28[orig]), Table28[X2])</f>
        <v>t</v>
      </c>
      <c r="CX47" t="str" cm="1">
        <f t="array" ref="CX47">_xlfn.XLOOKUP(TRUE, EXACT(Table28[[#This Row],[Y]], Table28[orig]), Table28[X2])</f>
        <v>l</v>
      </c>
      <c r="CY47" t="str" cm="1">
        <f t="array" ref="CY47">_xlfn.XLOOKUP(TRUE, EXACT(Table28[[#This Row],[Z]], Table28[orig]), Table28[X2])</f>
        <v>w</v>
      </c>
      <c r="CZ47" t="str" cm="1">
        <f t="array" ref="CZ47">_xlfn.XLOOKUP(TRUE, EXACT(Table28[[#This Row],[Z'']], Table28[orig]), Table28[X2])</f>
        <v>a</v>
      </c>
      <c r="DA47" t="str" cm="1">
        <f t="array" ref="DA47">_xlfn.XLOOKUP(TRUE, EXACT(Table28[[#This Row],[Z2]], Table28[orig]), Table28[X])</f>
        <v>m</v>
      </c>
      <c r="DB47" t="str" cm="1">
        <f t="array" ref="DB47">_xlfn.XLOOKUP(TRUE, EXACT(Table28[[#This Row],[Z2]], Table28[orig]), Table28[X''])</f>
        <v>o</v>
      </c>
      <c r="DE47" s="4" t="s">
        <v>47</v>
      </c>
      <c r="DF47" s="4" t="str" cm="1">
        <f t="array" ref="DF47">_xlfn.XLOOKUP(TRUE, EXACT(Table28[[#This Row],[I]], Table29[orig]), Table29[T-reflection])</f>
        <v>p</v>
      </c>
      <c r="DG47" s="4" t="str" cm="1">
        <f t="array" ref="DG47">_xlfn.XLOOKUP(TRUE, EXACT(Table28[[#This Row],[X]], Table29[orig]), Table29[T-reflection])</f>
        <v>m</v>
      </c>
      <c r="DH47" t="str" cm="1">
        <f t="array" ref="DH47">_xlfn.XLOOKUP(TRUE, EXACT(Table28[[#This Row],[X2]], Table29[orig]), Table29[T-reflection])</f>
        <v>n</v>
      </c>
      <c r="DI47" t="str" cm="1">
        <f t="array" ref="DI47">_xlfn.XLOOKUP(TRUE, EXACT(Table28[[#This Row],[X'']], Table29[orig]), Table29[T-reflection])</f>
        <v>o</v>
      </c>
      <c r="DJ47" s="4" t="str" cm="1">
        <f t="array" ref="DJ47">_xlfn.XLOOKUP(TRUE, EXACT(Table28[[#This Row],[Y]], Table29[orig]), Table29[T-reflection])</f>
        <v>t</v>
      </c>
      <c r="DK47" t="str" cm="1">
        <f t="array" ref="DK47">_xlfn.XLOOKUP(TRUE, EXACT(Table28[[#This Row],[Y2]], Table29[orig]), Table29[T-reflection])</f>
        <v>h</v>
      </c>
      <c r="DL47" t="str" cm="1">
        <f t="array" ref="DL47">_xlfn.XLOOKUP(TRUE, EXACT(Table28[[#This Row],[Y'']], Table29[orig]), Table29[T-reflection])</f>
        <v>l</v>
      </c>
      <c r="DM47" s="4" t="str" cm="1">
        <f t="array" ref="DM47">_xlfn.XLOOKUP(TRUE, EXACT(Table28[[#This Row],[Z]], Table29[orig]), Table29[T-reflection])</f>
        <v>c</v>
      </c>
      <c r="DN47" t="str" cm="1">
        <f t="array" ref="DN47">_xlfn.XLOOKUP(TRUE, EXACT(Table28[[#This Row],[Z2]], Table29[orig]), Table29[T-reflection])</f>
        <v>f</v>
      </c>
      <c r="DO47" t="str" cm="1">
        <f t="array" ref="DO47">_xlfn.XLOOKUP(TRUE, EXACT(Table28[[#This Row],[Z'']], Table29[orig]), Table29[T-reflection])</f>
        <v>u</v>
      </c>
      <c r="DP47" t="str" cm="1">
        <f t="array" ref="DP47">_xlfn.XLOOKUP(TRUE, EXACT(Table28[[#This Row],[Z X]], Table29[orig]), Table29[T-reflection])</f>
        <v>q</v>
      </c>
      <c r="DQ47" t="str" cm="1">
        <f t="array" ref="DQ47">_xlfn.XLOOKUP(TRUE, EXACT(Table28[[#This Row],[Y'' X'']], Table29[orig]), Table29[T-reflection])</f>
        <v>x</v>
      </c>
      <c r="DR47" t="str" cm="1">
        <f t="array" ref="DR47">_xlfn.XLOOKUP(TRUE, EXACT(Table28[[#This Row],[Y X'']], Table29[orig]), Table29[T-reflection])</f>
        <v>b</v>
      </c>
      <c r="DS47" t="str" cm="1">
        <f t="array" ref="DS47">_xlfn.XLOOKUP(TRUE, EXACT(Table28[[#This Row],[Z'' X]], Table29[orig]), Table29[T-reflection])</f>
        <v>i</v>
      </c>
      <c r="DT47" t="str" cm="1">
        <f t="array" ref="DT47">_xlfn.XLOOKUP(TRUE, EXACT(Table28[[#This Row],[Z'' X'']], Table29[orig]), Table29[T-reflection])</f>
        <v>s</v>
      </c>
      <c r="DU47" t="str" cm="1">
        <f t="array" ref="DU47">_xlfn.XLOOKUP(TRUE, EXACT(Table28[[#This Row],[Y'' X]], Table29[orig]), Table29[T-reflection])</f>
        <v>d</v>
      </c>
      <c r="DV47" t="str" cm="1">
        <f t="array" ref="DV47">_xlfn.XLOOKUP(TRUE, EXACT(Table28[[#This Row],[Y X]], Table29[orig]), Table29[T-reflection])</f>
        <v>v</v>
      </c>
      <c r="DW47" t="str" cm="1">
        <f t="array" ref="DW47">_xlfn.XLOOKUP(TRUE, EXACT(Table28[[#This Row],[Z X'']], Table29[orig]), Table29[T-reflection])</f>
        <v>k</v>
      </c>
      <c r="DX47" t="str" cm="1">
        <f t="array" ref="DX47">_xlfn.XLOOKUP(TRUE, EXACT(Table28[[#This Row],[Y'' X2]], Table29[orig]), Table29[T-reflection])</f>
        <v>r</v>
      </c>
      <c r="DY47" t="str" cm="1">
        <f t="array" ref="DY47">_xlfn.XLOOKUP(TRUE, EXACT(Table28[[#This Row],[Y X2]], Table29[orig]), Table29[T-reflection])</f>
        <v>j</v>
      </c>
      <c r="DZ47" t="str" cm="1">
        <f t="array" ref="DZ47">_xlfn.XLOOKUP(TRUE, EXACT(Table28[[#This Row],[Z X2]], Table29[orig]), Table29[T-reflection])</f>
        <v>w</v>
      </c>
      <c r="EA47" t="str" cm="1">
        <f t="array" ref="EA47">_xlfn.XLOOKUP(TRUE, EXACT(Table28[[#This Row],[Z'' X2]], Table29[orig]), Table29[T-reflection])</f>
        <v>a</v>
      </c>
      <c r="EB47" t="str" cm="1">
        <f t="array" ref="EB47">_xlfn.XLOOKUP(TRUE, EXACT(Table28[[#This Row],[Z2 X]], Table29[orig]), Table29[T-reflection])</f>
        <v>e</v>
      </c>
      <c r="EC47" t="str" cm="1">
        <f t="array" ref="EC47">_xlfn.XLOOKUP(TRUE, EXACT(Table28[[#This Row],[Z2 X'']], Table29[orig]), Table29[T-reflection])</f>
        <v>g</v>
      </c>
    </row>
    <row r="48" spans="1:164" x14ac:dyDescent="0.2">
      <c r="B48" t="s">
        <v>60</v>
      </c>
      <c r="C48" t="s">
        <v>60</v>
      </c>
      <c r="D48" t="s">
        <v>47</v>
      </c>
      <c r="E48" t="s">
        <v>135</v>
      </c>
      <c r="F48" t="s">
        <v>36</v>
      </c>
      <c r="G48" t="s">
        <v>134</v>
      </c>
      <c r="H48" t="s">
        <v>130</v>
      </c>
      <c r="I48" t="s">
        <v>60</v>
      </c>
      <c r="J48" t="s">
        <v>60</v>
      </c>
      <c r="K48" t="s">
        <v>60</v>
      </c>
      <c r="L48" t="s">
        <v>60</v>
      </c>
      <c r="O48" t="s">
        <v>60</v>
      </c>
      <c r="P48" t="str">
        <f>Table27[[#This Row],[orig]]</f>
        <v>g</v>
      </c>
      <c r="Q48" t="str">
        <f>Table29[[#This Row],[X]]</f>
        <v>f</v>
      </c>
      <c r="R48" t="str" cm="1">
        <f t="array" ref="R48">_xlfn.XLOOKUP(TRUE, EXACT(Table27[[#This Row],[X]], Table27[orig]), Table27[X])</f>
        <v>e</v>
      </c>
      <c r="S48" t="str" cm="1">
        <f t="array" ref="S48">_xlfn.XLOOKUP(TRUE, EXACT(Table27[[#This Row],[X2]], Table27[orig]), Table27[X])</f>
        <v>h</v>
      </c>
      <c r="T48" t="str">
        <f>Table29[[#This Row],[Y]]</f>
        <v>s</v>
      </c>
      <c r="U48" t="str" cm="1">
        <f t="array" ref="U48">_xlfn.XLOOKUP(TRUE, EXACT(Table27[[#This Row],[Y]], Table27[orig]), Table27[Y])</f>
        <v>o</v>
      </c>
      <c r="V48" t="str" cm="1">
        <f t="array" ref="V48">_xlfn.XLOOKUP(TRUE, EXACT(Table27[[#This Row],[Y2]], Table27[orig]), Table27[Y])</f>
        <v>k</v>
      </c>
      <c r="W48" t="str">
        <f>Table29[[#This Row],[Z]]</f>
        <v>d</v>
      </c>
      <c r="X48" t="str" cm="1">
        <f t="array" ref="X48">_xlfn.XLOOKUP(TRUE, EXACT(Table27[[#This Row],[Z]], Table27[orig]), Table27[Z])</f>
        <v>m</v>
      </c>
      <c r="Y48" t="str" cm="1">
        <f t="array" ref="Y48">_xlfn.XLOOKUP(TRUE, EXACT(Table27[[#This Row],[Z2]], Table27[orig]), Table27[Z])</f>
        <v>v</v>
      </c>
      <c r="Z48" t="str">
        <f>Table29[[#This Row],[R]]</f>
        <v>g</v>
      </c>
      <c r="AA48" t="str" cm="1">
        <f t="array" ref="AA48">_xlfn.XLOOKUP(TRUE, EXACT(Table27[[#This Row],[R]], Table27[orig]), Table27[R])</f>
        <v>g</v>
      </c>
      <c r="AB48" t="str" cm="1">
        <f t="array" ref="AB48">_xlfn.XLOOKUP(TRUE, EXACT(Table27[[#This Row],[R2]], Table27[orig]), Table27[R])</f>
        <v>g</v>
      </c>
      <c r="AC48" t="str" cm="1">
        <f t="array" ref="AC48">_xlfn.XLOOKUP(TRUE, EXACT(_xlfn.XLOOKUP(TRUE, EXACT(Table27[[#This Row],[Y2]], Table27[orig]), Table27[R]), Table27[orig]), Table27[Y2])</f>
        <v>h</v>
      </c>
      <c r="AD48" t="str" cm="1">
        <f t="array" ref="AD48">_xlfn.XLOOKUP(TRUE, EXACT(Table27[[#This Row],[L]], Table27[orig]), Table27[L])</f>
        <v>e</v>
      </c>
      <c r="AE48" t="str" cm="1">
        <f t="array" ref="AE48">_xlfn.XLOOKUP(TRUE, EXACT(Table27[[#This Row],[L2]], Table27[orig]), Table27[L])</f>
        <v>f</v>
      </c>
      <c r="AF48" t="str" cm="1">
        <f t="array" ref="AF48">_xlfn.XLOOKUP(TRUE, EXACT(Table27[[#This Row],[r-lower]], Table27[orig]), Table27[R''])</f>
        <v>g</v>
      </c>
      <c r="AG48" t="str" cm="1">
        <f t="array" ref="AG48">_xlfn.XLOOKUP(TRUE, EXACT(Table27[[#This Row],[T]], Table27[orig]), Table27[T])</f>
        <v>g</v>
      </c>
      <c r="AH48" t="str" cm="1">
        <f t="array" ref="AH48">_xlfn.XLOOKUP(TRUE, EXACT(Table27[[#This Row],[T2]], Table27[orig]), Table27[T])</f>
        <v>g</v>
      </c>
      <c r="AI48" t="str" cm="1">
        <f t="array" ref="AI48">_xlfn.XLOOKUP(TRUE, EXACT(Table27[[#This Row],[X]], Table27[orig]), Table27[L])</f>
        <v>g</v>
      </c>
      <c r="AJ48" t="str" cm="1">
        <f t="array" ref="AJ48">_xlfn.XLOOKUP(TRUE, EXACT(Table27[[#This Row],[r-lower]], Table27[orig]), Table27[r-lower])</f>
        <v>g</v>
      </c>
      <c r="AK48" t="str" cm="1">
        <f t="array" ref="AK48">_xlfn.XLOOKUP(TRUE, EXACT(Table27[[#This Row],[r2-lower]], Table27[orig]), Table27[r-lower])</f>
        <v>g</v>
      </c>
      <c r="AL48" t="str" cm="1">
        <f t="array" ref="AL48">_xlfn.XLOOKUP(TRUE, EXACT(Table27[[#This Row],[X'']], Table27[orig]), Table27[R])</f>
        <v>h</v>
      </c>
      <c r="AM48" t="str" cm="1">
        <f t="array" ref="AM48">_xlfn.XLOOKUP(TRUE, EXACT(Table27[[#This Row],[l-lower]], Table27[orig]), Table27[l-lower])</f>
        <v>e</v>
      </c>
      <c r="AN48" t="str" cm="1">
        <f t="array" ref="AN48">_xlfn.XLOOKUP(TRUE, EXACT(Table27[[#This Row],[l2-lower]], Table27[orig]), Table27[l-lower])</f>
        <v>f</v>
      </c>
      <c r="AO48" t="str" cm="1">
        <f t="array" ref="AO48">_xlfn.XLOOKUP(TRUE, EXACT(Table27[[#This Row],[R]], Table27[orig]), Table27[L''])</f>
        <v>f</v>
      </c>
      <c r="AP48" t="str" cm="1">
        <f t="array" ref="AP48">_xlfn.XLOOKUP(TRUE, EXACT(Table27[[#This Row],[RL'']], Table27[orig]), Table27[RL''])</f>
        <v>e</v>
      </c>
      <c r="AQ48" t="str" cm="1">
        <f t="array" ref="AQ48">_xlfn.XLOOKUP(TRUE, EXACT(Table27[[#This Row],[R2L2]], Table27[orig]), Table27[RL''])</f>
        <v>h</v>
      </c>
      <c r="AR48" t="str">
        <f>Table29[[#This Row],[U]]</f>
        <v>g</v>
      </c>
      <c r="AS48" t="str" cm="1">
        <f t="array" ref="AS48">_xlfn.XLOOKUP(TRUE, EXACT(Table27[[#This Row],[U]], Table27[orig]), Table27[U])</f>
        <v>g</v>
      </c>
      <c r="AT48" t="str" cm="1">
        <f t="array" ref="AT48">_xlfn.XLOOKUP(TRUE, EXACT(Table27[[#This Row],[U2]], Table27[orig]), Table27[U])</f>
        <v>g</v>
      </c>
      <c r="AU48" t="str" cm="1">
        <f t="array" ref="AU48">_xlfn.XLOOKUP(TRUE, EXACT(_xlfn.XLOOKUP(TRUE, EXACT(Table27[[#This Row],[Z2]], Table27[orig]), Table27[U]), Table27[orig]), Table27[Z2])</f>
        <v>k</v>
      </c>
      <c r="AV48" t="str" cm="1">
        <f t="array" ref="AV48">_xlfn.XLOOKUP(TRUE, EXACT(Table27[[#This Row],[D]], Table27[orig]), Table27[D])</f>
        <v>o</v>
      </c>
      <c r="AW48" t="str" cm="1">
        <f t="array" ref="AW48">_xlfn.XLOOKUP(TRUE, EXACT(Table27[[#This Row],[D2]], Table27[orig]), Table27[D])</f>
        <v>s</v>
      </c>
      <c r="AX48" t="str" cm="1">
        <f t="array" ref="AX48">_xlfn.XLOOKUP(TRUE, EXACT(Table27[[#This Row],[u-lower]], Table27[orig]), Table27[U''])</f>
        <v>g</v>
      </c>
      <c r="AY48" t="str" cm="1">
        <f t="array" ref="AY48">_xlfn.XLOOKUP(TRUE, EXACT(Table27[[#This Row],[H]], Table27[orig]), Table27[H])</f>
        <v>g</v>
      </c>
      <c r="AZ48" t="str" cm="1">
        <f t="array" ref="AZ48">_xlfn.XLOOKUP(TRUE, EXACT(Table27[[#This Row],[H2]], Table27[orig]), Table27[H])</f>
        <v>g</v>
      </c>
      <c r="BA48" t="str" cm="1">
        <f t="array" ref="BA48">_xlfn.XLOOKUP(TRUE, EXACT(Table27[[#This Row],[Y]], Table27[orig]), Table27[D])</f>
        <v>g</v>
      </c>
      <c r="BB48" t="str" cm="1">
        <f t="array" ref="BB48">_xlfn.XLOOKUP(TRUE, EXACT(Table27[[#This Row],[u-lower]], Table27[orig]), Table27[u-lower])</f>
        <v>g</v>
      </c>
      <c r="BC48" t="str" cm="1">
        <f t="array" ref="BC48">_xlfn.XLOOKUP(TRUE, EXACT(Table27[[#This Row],[u2-lower]], Table27[orig]), Table27[u-lower])</f>
        <v>g</v>
      </c>
      <c r="BD48" t="str" cm="1">
        <f t="array" ref="BD48">_xlfn.XLOOKUP(TRUE, EXACT(Table27[[#This Row],[Y'']], Table27[orig]), Table27[U])</f>
        <v>k</v>
      </c>
      <c r="BE48" t="str" cm="1">
        <f t="array" ref="BE48">_xlfn.XLOOKUP(TRUE, EXACT(Table27[[#This Row],[d-lower]], Table27[orig]), Table27[d-lower])</f>
        <v>o</v>
      </c>
      <c r="BF48" t="str" cm="1">
        <f t="array" ref="BF48">_xlfn.XLOOKUP(TRUE, EXACT(Table27[[#This Row],[d2-lower]], Table27[orig]), Table27[d-lower])</f>
        <v>s</v>
      </c>
      <c r="BG48" t="str" cm="1">
        <f t="array" ref="BG48">_xlfn.XLOOKUP(TRUE, EXACT(Table27[[#This Row],[U]], Table27[orig]), Table27[D''])</f>
        <v>s</v>
      </c>
      <c r="BH48" t="str" cm="1">
        <f t="array" ref="BH48">_xlfn.XLOOKUP(TRUE, EXACT(Table27[[#This Row],[UD'']], Table27[orig]), Table27[UD''])</f>
        <v>o</v>
      </c>
      <c r="BI48" t="str" cm="1">
        <f t="array" ref="BI48">_xlfn.XLOOKUP(TRUE, EXACT(Table27[[#This Row],[U2D2]], Table27[orig]), Table27[UD''])</f>
        <v>k</v>
      </c>
      <c r="BJ48" t="str">
        <f>Table29[[#This Row],[F]]</f>
        <v>g</v>
      </c>
      <c r="BK48" t="str" cm="1">
        <f t="array" ref="BK48">_xlfn.XLOOKUP(TRUE, EXACT(Table27[[#This Row],[F]], Table27[orig]), Table27[F])</f>
        <v>g</v>
      </c>
      <c r="BL48" t="str" cm="1">
        <f t="array" ref="BL48">_xlfn.XLOOKUP(TRUE, EXACT(Table27[[#This Row],[F2]], Table27[orig]), Table27[F])</f>
        <v>g</v>
      </c>
      <c r="BM48" t="str" cm="1">
        <f t="array" ref="BM48">_xlfn.XLOOKUP(TRUE, EXACT(_xlfn.XLOOKUP(TRUE, EXACT(Table27[[#This Row],[X2]], Table27[orig]), Table27[F]), Table27[orig]), Table27[X2])</f>
        <v>g</v>
      </c>
      <c r="BN48" t="str" cm="1">
        <f t="array" ref="BN48">_xlfn.XLOOKUP(TRUE, EXACT(Table27[[#This Row],[B]], Table27[orig]), Table27[B])</f>
        <v>g</v>
      </c>
      <c r="BO48" t="str" cm="1">
        <f t="array" ref="BO48">_xlfn.XLOOKUP(TRUE, EXACT(Table27[[#This Row],[B2]], Table27[orig]), Table27[B])</f>
        <v>g</v>
      </c>
      <c r="BP48" t="str" cm="1">
        <f t="array" ref="BP48">_xlfn.XLOOKUP(TRUE, EXACT(Table27[[#This Row],[f-lower]], Table27[orig]), Table27[F''])</f>
        <v>d</v>
      </c>
      <c r="BQ48" t="str" cm="1">
        <f t="array" ref="BQ48">_xlfn.XLOOKUP(TRUE, EXACT(Table27[[#This Row],[S]], Table27[orig]), Table27[S])</f>
        <v>m</v>
      </c>
      <c r="BR48" t="str" cm="1">
        <f t="array" ref="BR48">_xlfn.XLOOKUP(TRUE, EXACT(Table27[[#This Row],[S2]], Table27[orig]), Table27[S])</f>
        <v>v</v>
      </c>
      <c r="BS48" t="str" cm="1">
        <f t="array" ref="BS48">_xlfn.XLOOKUP(TRUE, EXACT(Table27[[#This Row],[Z]], Table27[orig]), Table27[B])</f>
        <v>d</v>
      </c>
      <c r="BT48" t="str" cm="1">
        <f t="array" ref="BT48">_xlfn.XLOOKUP(TRUE, EXACT(Table27[[#This Row],[f-lower]], Table27[orig]), Table27[f-lower])</f>
        <v>m</v>
      </c>
      <c r="BU48" t="str" cm="1">
        <f t="array" ref="BU48">_xlfn.XLOOKUP(TRUE, EXACT(Table27[[#This Row],[f2-lower]], Table27[orig]), Table27[f-lower])</f>
        <v>v</v>
      </c>
      <c r="BV48" t="str" cm="1">
        <f t="array" ref="BV48">_xlfn.XLOOKUP(TRUE, EXACT(Table27[[#This Row],[Z'']], Table27[orig]), Table27[F])</f>
        <v>v</v>
      </c>
      <c r="BW48" t="str" cm="1">
        <f t="array" ref="BW48">_xlfn.XLOOKUP(TRUE, EXACT(Table27[[#This Row],[b-lower]], Table27[orig]), Table27[b-lower])</f>
        <v>m</v>
      </c>
      <c r="BX48" t="str" cm="1">
        <f t="array" ref="BX48">_xlfn.XLOOKUP(TRUE, EXACT(Table27[[#This Row],[b2-lower]], Table27[orig]), Table27[b-lower])</f>
        <v>d</v>
      </c>
      <c r="BY48" t="str" cm="1">
        <f t="array" ref="BY48">_xlfn.XLOOKUP(TRUE, EXACT(Table27[[#This Row],[F]], Table27[orig]), Table27[B''])</f>
        <v>g</v>
      </c>
      <c r="BZ48" t="str" cm="1">
        <f t="array" ref="BZ48">_xlfn.XLOOKUP(TRUE, EXACT(Table27[[#This Row],[FB'']], Table27[orig]), Table27[FB''])</f>
        <v>g</v>
      </c>
      <c r="CA48" t="str" cm="1">
        <f t="array" ref="CA48">_xlfn.XLOOKUP(TRUE, EXACT(Table27[[#This Row],[F2B2]], Table27[orig]), Table27[FB''])</f>
        <v>g</v>
      </c>
      <c r="CD48" t="s">
        <v>60</v>
      </c>
      <c r="CE48" t="str">
        <f>Table28[[#This Row],[orig]]</f>
        <v>g</v>
      </c>
      <c r="CF48" t="str">
        <f>Table29[[#This Row],[X]]</f>
        <v>f</v>
      </c>
      <c r="CG48" t="str" cm="1">
        <f t="array" ref="CG48">_xlfn.XLOOKUP(TRUE, EXACT(Table28[[#This Row],[X]], Table28[orig]), Table28[X])</f>
        <v>e</v>
      </c>
      <c r="CH48" t="str" cm="1">
        <f t="array" ref="CH48">_xlfn.XLOOKUP(TRUE, EXACT(Table28[[#This Row],[X2]], Table28[orig]), Table28[X])</f>
        <v>h</v>
      </c>
      <c r="CI48" t="str">
        <f>Table29[[#This Row],[Y]]</f>
        <v>s</v>
      </c>
      <c r="CJ48" t="str" cm="1">
        <f t="array" ref="CJ48">_xlfn.XLOOKUP(TRUE, EXACT(Table28[[#This Row],[Y]], Table28[orig]), Table28[Y])</f>
        <v>o</v>
      </c>
      <c r="CK48" t="str" cm="1">
        <f t="array" ref="CK48">_xlfn.XLOOKUP(TRUE, EXACT(Table28[[#This Row],[Y2]], Table28[orig]), Table28[Y])</f>
        <v>k</v>
      </c>
      <c r="CL48" t="str">
        <f>Table29[[#This Row],[Z]]</f>
        <v>d</v>
      </c>
      <c r="CM48" t="str" cm="1">
        <f t="array" ref="CM48">_xlfn.XLOOKUP(TRUE, EXACT(Table28[[#This Row],[Z]], Table28[orig]), Table28[Z])</f>
        <v>m</v>
      </c>
      <c r="CN48" t="str" cm="1">
        <f t="array" ref="CN48">_xlfn.XLOOKUP(TRUE, EXACT(Table28[[#This Row],[Z2]], Table28[orig]), Table28[Z])</f>
        <v>v</v>
      </c>
      <c r="CO48" t="str" cm="1">
        <f t="array" ref="CO48">_xlfn.XLOOKUP(TRUE, EXACT(Table28[[#This Row],[Z]], Table28[orig]), Table28[X])</f>
        <v>r</v>
      </c>
      <c r="CP48" t="str" cm="1">
        <f t="array" ref="CP48">_xlfn.XLOOKUP(TRUE, EXACT(Table28[[#This Row],[Y'']], Table28[orig]), Table28[X''])</f>
        <v>w</v>
      </c>
      <c r="CQ48" t="str" cm="1">
        <f t="array" ref="CQ48">_xlfn.XLOOKUP(TRUE, EXACT(Table28[[#This Row],[Y]], Table28[orig]), Table28[X''])</f>
        <v>a</v>
      </c>
      <c r="CR48" t="str" cm="1">
        <f t="array" ref="CR48">_xlfn.XLOOKUP(TRUE, EXACT(Table28[[#This Row],[Z'']], Table28[orig]), Table28[X])</f>
        <v>j</v>
      </c>
      <c r="CS48" t="str" cm="1">
        <f t="array" ref="CS48">_xlfn.XLOOKUP(TRUE, EXACT(Table28[[#This Row],[Z'']], Table28[orig]), Table28[X''])</f>
        <v>t</v>
      </c>
      <c r="CT48" t="str" cm="1">
        <f t="array" ref="CT48">_xlfn.XLOOKUP(TRUE, EXACT(Table28[[#This Row],[Y'']], Table28[orig]), Table28[X])</f>
        <v>c</v>
      </c>
      <c r="CU48" t="str" cm="1">
        <f t="array" ref="CU48">_xlfn.XLOOKUP(TRUE, EXACT(Table28[[#This Row],[Y]], Table28[orig]), Table28[X])</f>
        <v>u</v>
      </c>
      <c r="CV48" t="str" cm="1">
        <f t="array" ref="CV48">_xlfn.XLOOKUP(TRUE, EXACT(Table28[[#This Row],[Z]], Table28[orig]), Table28[X''])</f>
        <v>l</v>
      </c>
      <c r="CW48" t="str" cm="1">
        <f t="array" ref="CW48">_xlfn.XLOOKUP(TRUE, EXACT(Table28[[#This Row],[Y'']], Table28[orig]), Table28[X2])</f>
        <v>q</v>
      </c>
      <c r="CX48" t="str" cm="1">
        <f t="array" ref="CX48">_xlfn.XLOOKUP(TRUE, EXACT(Table28[[#This Row],[Y]], Table28[orig]), Table28[X2])</f>
        <v>i</v>
      </c>
      <c r="CY48" t="str" cm="1">
        <f t="array" ref="CY48">_xlfn.XLOOKUP(TRUE, EXACT(Table28[[#This Row],[Z]], Table28[orig]), Table28[X2])</f>
        <v>x</v>
      </c>
      <c r="CZ48" t="str" cm="1">
        <f t="array" ref="CZ48">_xlfn.XLOOKUP(TRUE, EXACT(Table28[[#This Row],[Z'']], Table28[orig]), Table28[X2])</f>
        <v>b</v>
      </c>
      <c r="DA48" t="str" cm="1">
        <f t="array" ref="DA48">_xlfn.XLOOKUP(TRUE, EXACT(Table28[[#This Row],[Z2]], Table28[orig]), Table28[X])</f>
        <v>n</v>
      </c>
      <c r="DB48" t="str" cm="1">
        <f t="array" ref="DB48">_xlfn.XLOOKUP(TRUE, EXACT(Table28[[#This Row],[Z2]], Table28[orig]), Table28[X''])</f>
        <v>p</v>
      </c>
      <c r="DE48" s="6" t="s">
        <v>60</v>
      </c>
      <c r="DF48" s="6" t="str" cm="1">
        <f t="array" ref="DF48">_xlfn.XLOOKUP(TRUE, EXACT(Table28[[#This Row],[I]], Table29[orig]), Table29[T-reflection])</f>
        <v>o</v>
      </c>
      <c r="DG48" s="6" t="str" cm="1">
        <f t="array" ref="DG48">_xlfn.XLOOKUP(TRUE, EXACT(Table28[[#This Row],[X]], Table29[orig]), Table29[T-reflection])</f>
        <v>p</v>
      </c>
      <c r="DH48" t="str" cm="1">
        <f t="array" ref="DH48">_xlfn.XLOOKUP(TRUE, EXACT(Table28[[#This Row],[X2]], Table29[orig]), Table29[T-reflection])</f>
        <v>m</v>
      </c>
      <c r="DI48" t="str" cm="1">
        <f t="array" ref="DI48">_xlfn.XLOOKUP(TRUE, EXACT(Table28[[#This Row],[X'']], Table29[orig]), Table29[T-reflection])</f>
        <v>n</v>
      </c>
      <c r="DJ48" s="6" t="str" cm="1">
        <f t="array" ref="DJ48">_xlfn.XLOOKUP(TRUE, EXACT(Table28[[#This Row],[Y]], Table29[orig]), Table29[T-reflection])</f>
        <v>s</v>
      </c>
      <c r="DK48" t="str" cm="1">
        <f t="array" ref="DK48">_xlfn.XLOOKUP(TRUE, EXACT(Table28[[#This Row],[Y2]], Table29[orig]), Table29[T-reflection])</f>
        <v>g</v>
      </c>
      <c r="DL48" t="str" cm="1">
        <f t="array" ref="DL48">_xlfn.XLOOKUP(TRUE, EXACT(Table28[[#This Row],[Y'']], Table29[orig]), Table29[T-reflection])</f>
        <v>k</v>
      </c>
      <c r="DM48" s="6" t="str" cm="1">
        <f t="array" ref="DM48">_xlfn.XLOOKUP(TRUE, EXACT(Table28[[#This Row],[Z]], Table29[orig]), Table29[T-reflection])</f>
        <v>b</v>
      </c>
      <c r="DN48" t="str" cm="1">
        <f t="array" ref="DN48">_xlfn.XLOOKUP(TRUE, EXACT(Table28[[#This Row],[Z2]], Table29[orig]), Table29[T-reflection])</f>
        <v>e</v>
      </c>
      <c r="DO48" t="str" cm="1">
        <f t="array" ref="DO48">_xlfn.XLOOKUP(TRUE, EXACT(Table28[[#This Row],[Z'']], Table29[orig]), Table29[T-reflection])</f>
        <v>x</v>
      </c>
      <c r="DP48" t="str" cm="1">
        <f t="array" ref="DP48">_xlfn.XLOOKUP(TRUE, EXACT(Table28[[#This Row],[Z X]], Table29[orig]), Table29[T-reflection])</f>
        <v>t</v>
      </c>
      <c r="DQ48" t="str" cm="1">
        <f t="array" ref="DQ48">_xlfn.XLOOKUP(TRUE, EXACT(Table28[[#This Row],[Y'' X'']], Table29[orig]), Table29[T-reflection])</f>
        <v>w</v>
      </c>
      <c r="DR48" t="str" cm="1">
        <f t="array" ref="DR48">_xlfn.XLOOKUP(TRUE, EXACT(Table28[[#This Row],[Y X'']], Table29[orig]), Table29[T-reflection])</f>
        <v>a</v>
      </c>
      <c r="DS48" t="str" cm="1">
        <f t="array" ref="DS48">_xlfn.XLOOKUP(TRUE, EXACT(Table28[[#This Row],[Z'' X]], Table29[orig]), Table29[T-reflection])</f>
        <v>l</v>
      </c>
      <c r="DT48" t="str" cm="1">
        <f t="array" ref="DT48">_xlfn.XLOOKUP(TRUE, EXACT(Table28[[#This Row],[Z'' X'']], Table29[orig]), Table29[T-reflection])</f>
        <v>r</v>
      </c>
      <c r="DU48" t="str" cm="1">
        <f t="array" ref="DU48">_xlfn.XLOOKUP(TRUE, EXACT(Table28[[#This Row],[Y'' X]], Table29[orig]), Table29[T-reflection])</f>
        <v>c</v>
      </c>
      <c r="DV48" t="str" cm="1">
        <f t="array" ref="DV48">_xlfn.XLOOKUP(TRUE, EXACT(Table28[[#This Row],[Y X]], Table29[orig]), Table29[T-reflection])</f>
        <v>u</v>
      </c>
      <c r="DW48" t="str" cm="1">
        <f t="array" ref="DW48">_xlfn.XLOOKUP(TRUE, EXACT(Table28[[#This Row],[Z X'']], Table29[orig]), Table29[T-reflection])</f>
        <v>j</v>
      </c>
      <c r="DX48" t="str" cm="1">
        <f t="array" ref="DX48">_xlfn.XLOOKUP(TRUE, EXACT(Table28[[#This Row],[Y'' X2]], Table29[orig]), Table29[T-reflection])</f>
        <v>q</v>
      </c>
      <c r="DY48" t="str" cm="1">
        <f t="array" ref="DY48">_xlfn.XLOOKUP(TRUE, EXACT(Table28[[#This Row],[Y X2]], Table29[orig]), Table29[T-reflection])</f>
        <v>i</v>
      </c>
      <c r="DZ48" t="str" cm="1">
        <f t="array" ref="DZ48">_xlfn.XLOOKUP(TRUE, EXACT(Table28[[#This Row],[Z X2]], Table29[orig]), Table29[T-reflection])</f>
        <v>v</v>
      </c>
      <c r="EA48" t="str" cm="1">
        <f t="array" ref="EA48">_xlfn.XLOOKUP(TRUE, EXACT(Table28[[#This Row],[Z'' X2]], Table29[orig]), Table29[T-reflection])</f>
        <v>d</v>
      </c>
      <c r="EB48" t="str" cm="1">
        <f t="array" ref="EB48">_xlfn.XLOOKUP(TRUE, EXACT(Table28[[#This Row],[Z2 X]], Table29[orig]), Table29[T-reflection])</f>
        <v>h</v>
      </c>
      <c r="EC48" t="str" cm="1">
        <f t="array" ref="EC48">_xlfn.XLOOKUP(TRUE, EXACT(Table28[[#This Row],[Z2 X'']], Table29[orig]), Table29[T-reflection])</f>
        <v>f</v>
      </c>
    </row>
    <row r="49" spans="1:164" s="5" customFormat="1" ht="16" thickBot="1" x14ac:dyDescent="0.25">
      <c r="A49"/>
      <c r="B49" s="5" t="s">
        <v>131</v>
      </c>
      <c r="C49" s="5" t="s">
        <v>131</v>
      </c>
      <c r="D49" s="5" t="s">
        <v>60</v>
      </c>
      <c r="E49" s="5" t="s">
        <v>136</v>
      </c>
      <c r="F49" s="5" t="s">
        <v>33</v>
      </c>
      <c r="G49" s="5" t="s">
        <v>73</v>
      </c>
      <c r="H49" s="5" t="s">
        <v>131</v>
      </c>
      <c r="I49" s="5" t="s">
        <v>47</v>
      </c>
      <c r="J49" s="5" t="s">
        <v>131</v>
      </c>
      <c r="K49" s="5" t="s">
        <v>131</v>
      </c>
      <c r="L49" s="5" t="s">
        <v>131</v>
      </c>
      <c r="M49"/>
      <c r="N49"/>
      <c r="O49" s="5" t="s">
        <v>131</v>
      </c>
      <c r="P49" s="5" t="str">
        <f>Table27[[#This Row],[orig]]</f>
        <v>h</v>
      </c>
      <c r="Q49" s="5" t="str">
        <f>Table29[[#This Row],[X]]</f>
        <v>g</v>
      </c>
      <c r="R49" s="5" t="str" cm="1">
        <f t="array" ref="R49">_xlfn.XLOOKUP(TRUE, EXACT(Table27[[#This Row],[X]], Table27[orig]), Table27[X])</f>
        <v>f</v>
      </c>
      <c r="S49" s="5" t="str" cm="1">
        <f t="array" ref="S49">_xlfn.XLOOKUP(TRUE, EXACT(Table27[[#This Row],[X2]], Table27[orig]), Table27[X])</f>
        <v>e</v>
      </c>
      <c r="T49" s="5" t="str">
        <f>Table29[[#This Row],[Y]]</f>
        <v>t</v>
      </c>
      <c r="U49" s="5" t="str" cm="1">
        <f t="array" ref="U49">_xlfn.XLOOKUP(TRUE, EXACT(Table27[[#This Row],[Y]], Table27[orig]), Table27[Y])</f>
        <v>p</v>
      </c>
      <c r="V49" s="5" t="str" cm="1">
        <f t="array" ref="V49">_xlfn.XLOOKUP(TRUE, EXACT(Table27[[#This Row],[Y2]], Table27[orig]), Table27[Y])</f>
        <v>l</v>
      </c>
      <c r="W49" s="5" t="str">
        <f>Table29[[#This Row],[Z]]</f>
        <v>a</v>
      </c>
      <c r="X49" s="5" t="str" cm="1">
        <f t="array" ref="X49">_xlfn.XLOOKUP(TRUE, EXACT(Table27[[#This Row],[Z]], Table27[orig]), Table27[Z])</f>
        <v>n</v>
      </c>
      <c r="Y49" s="5" t="str" cm="1">
        <f t="array" ref="Y49">_xlfn.XLOOKUP(TRUE, EXACT(Table27[[#This Row],[Z2]], Table27[orig]), Table27[Z])</f>
        <v>w</v>
      </c>
      <c r="Z49" s="5" t="str">
        <f>Table29[[#This Row],[R]]</f>
        <v>h</v>
      </c>
      <c r="AA49" s="5" t="str" cm="1">
        <f t="array" ref="AA49">_xlfn.XLOOKUP(TRUE, EXACT(Table27[[#This Row],[R]], Table27[orig]), Table27[R])</f>
        <v>h</v>
      </c>
      <c r="AB49" s="5" t="str" cm="1">
        <f t="array" ref="AB49">_xlfn.XLOOKUP(TRUE, EXACT(Table27[[#This Row],[R2]], Table27[orig]), Table27[R])</f>
        <v>h</v>
      </c>
      <c r="AC49" s="5" t="str" cm="1">
        <f t="array" ref="AC49">_xlfn.XLOOKUP(TRUE, EXACT(_xlfn.XLOOKUP(TRUE, EXACT(Table27[[#This Row],[Y2]], Table27[orig]), Table27[R]), Table27[orig]), Table27[Y2])</f>
        <v>e</v>
      </c>
      <c r="AD49" s="5" t="str" cm="1">
        <f t="array" ref="AD49">_xlfn.XLOOKUP(TRUE, EXACT(Table27[[#This Row],[L]], Table27[orig]), Table27[L])</f>
        <v>f</v>
      </c>
      <c r="AE49" s="5" t="str" cm="1">
        <f t="array" ref="AE49">_xlfn.XLOOKUP(TRUE, EXACT(Table27[[#This Row],[L2]], Table27[orig]), Table27[L])</f>
        <v>g</v>
      </c>
      <c r="AF49" s="5" t="str" cm="1">
        <f t="array" ref="AF49">_xlfn.XLOOKUP(TRUE, EXACT(Table27[[#This Row],[r-lower]], Table27[orig]), Table27[R''])</f>
        <v>h</v>
      </c>
      <c r="AG49" s="5" t="str" cm="1">
        <f t="array" ref="AG49">_xlfn.XLOOKUP(TRUE, EXACT(Table27[[#This Row],[T]], Table27[orig]), Table27[T])</f>
        <v>h</v>
      </c>
      <c r="AH49" s="5" t="str" cm="1">
        <f t="array" ref="AH49">_xlfn.XLOOKUP(TRUE, EXACT(Table27[[#This Row],[T2]], Table27[orig]), Table27[T])</f>
        <v>h</v>
      </c>
      <c r="AI49" s="5" t="str" cm="1">
        <f t="array" ref="AI49">_xlfn.XLOOKUP(TRUE, EXACT(Table27[[#This Row],[X]], Table27[orig]), Table27[L])</f>
        <v>h</v>
      </c>
      <c r="AJ49" s="5" t="str" cm="1">
        <f t="array" ref="AJ49">_xlfn.XLOOKUP(TRUE, EXACT(Table27[[#This Row],[r-lower]], Table27[orig]), Table27[r-lower])</f>
        <v>h</v>
      </c>
      <c r="AK49" s="5" t="str" cm="1">
        <f t="array" ref="AK49">_xlfn.XLOOKUP(TRUE, EXACT(Table27[[#This Row],[r2-lower]], Table27[orig]), Table27[r-lower])</f>
        <v>h</v>
      </c>
      <c r="AL49" s="5" t="str" cm="1">
        <f t="array" ref="AL49">_xlfn.XLOOKUP(TRUE, EXACT(Table27[[#This Row],[X'']], Table27[orig]), Table27[R])</f>
        <v>e</v>
      </c>
      <c r="AM49" s="5" t="str" cm="1">
        <f t="array" ref="AM49">_xlfn.XLOOKUP(TRUE, EXACT(Table27[[#This Row],[l-lower]], Table27[orig]), Table27[l-lower])</f>
        <v>f</v>
      </c>
      <c r="AN49" s="5" t="str" cm="1">
        <f t="array" ref="AN49">_xlfn.XLOOKUP(TRUE, EXACT(Table27[[#This Row],[l2-lower]], Table27[orig]), Table27[l-lower])</f>
        <v>g</v>
      </c>
      <c r="AO49" s="5" t="str" cm="1">
        <f t="array" ref="AO49">_xlfn.XLOOKUP(TRUE, EXACT(Table27[[#This Row],[R]], Table27[orig]), Table27[L''])</f>
        <v>g</v>
      </c>
      <c r="AP49" s="5" t="str" cm="1">
        <f t="array" ref="AP49">_xlfn.XLOOKUP(TRUE, EXACT(Table27[[#This Row],[RL'']], Table27[orig]), Table27[RL''])</f>
        <v>f</v>
      </c>
      <c r="AQ49" s="5" t="str" cm="1">
        <f t="array" ref="AQ49">_xlfn.XLOOKUP(TRUE, EXACT(Table27[[#This Row],[R2L2]], Table27[orig]), Table27[RL''])</f>
        <v>e</v>
      </c>
      <c r="AR49" s="5" t="str">
        <f>Table29[[#This Row],[U]]</f>
        <v>h</v>
      </c>
      <c r="AS49" s="5" t="str" cm="1">
        <f t="array" ref="AS49">_xlfn.XLOOKUP(TRUE, EXACT(Table27[[#This Row],[U]], Table27[orig]), Table27[U])</f>
        <v>h</v>
      </c>
      <c r="AT49" s="5" t="str" cm="1">
        <f t="array" ref="AT49">_xlfn.XLOOKUP(TRUE, EXACT(Table27[[#This Row],[U2]], Table27[orig]), Table27[U])</f>
        <v>h</v>
      </c>
      <c r="AU49" s="5" t="str" cm="1">
        <f t="array" ref="AU49">_xlfn.XLOOKUP(TRUE, EXACT(_xlfn.XLOOKUP(TRUE, EXACT(Table27[[#This Row],[Z2]], Table27[orig]), Table27[U]), Table27[orig]), Table27[Z2])</f>
        <v>h</v>
      </c>
      <c r="AV49" s="5" t="str" cm="1">
        <f t="array" ref="AV49">_xlfn.XLOOKUP(TRUE, EXACT(Table27[[#This Row],[D]], Table27[orig]), Table27[D])</f>
        <v>h</v>
      </c>
      <c r="AW49" s="5" t="str" cm="1">
        <f t="array" ref="AW49">_xlfn.XLOOKUP(TRUE, EXACT(Table27[[#This Row],[D2]], Table27[orig]), Table27[D])</f>
        <v>h</v>
      </c>
      <c r="AX49" s="5" t="str" cm="1">
        <f t="array" ref="AX49">_xlfn.XLOOKUP(TRUE, EXACT(Table27[[#This Row],[u-lower]], Table27[orig]), Table27[U''])</f>
        <v>t</v>
      </c>
      <c r="AY49" s="5" t="str" cm="1">
        <f t="array" ref="AY49">_xlfn.XLOOKUP(TRUE, EXACT(Table27[[#This Row],[H]], Table27[orig]), Table27[H])</f>
        <v>p</v>
      </c>
      <c r="AZ49" s="5" t="str" cm="1">
        <f t="array" ref="AZ49">_xlfn.XLOOKUP(TRUE, EXACT(Table27[[#This Row],[H2]], Table27[orig]), Table27[H])</f>
        <v>l</v>
      </c>
      <c r="BA49" s="5" t="str" cm="1">
        <f t="array" ref="BA49">_xlfn.XLOOKUP(TRUE, EXACT(Table27[[#This Row],[Y]], Table27[orig]), Table27[D])</f>
        <v>t</v>
      </c>
      <c r="BB49" s="5" t="str" cm="1">
        <f t="array" ref="BB49">_xlfn.XLOOKUP(TRUE, EXACT(Table27[[#This Row],[u-lower]], Table27[orig]), Table27[u-lower])</f>
        <v>p</v>
      </c>
      <c r="BC49" s="5" t="str" cm="1">
        <f t="array" ref="BC49">_xlfn.XLOOKUP(TRUE, EXACT(Table27[[#This Row],[u2-lower]], Table27[orig]), Table27[u-lower])</f>
        <v>l</v>
      </c>
      <c r="BD49" s="5" t="str" cm="1">
        <f t="array" ref="BD49">_xlfn.XLOOKUP(TRUE, EXACT(Table27[[#This Row],[Y'']], Table27[orig]), Table27[U])</f>
        <v>l</v>
      </c>
      <c r="BE49" s="5" t="str" cm="1">
        <f t="array" ref="BE49">_xlfn.XLOOKUP(TRUE, EXACT(Table27[[#This Row],[d-lower]], Table27[orig]), Table27[d-lower])</f>
        <v>p</v>
      </c>
      <c r="BF49" s="5" t="str" cm="1">
        <f t="array" ref="BF49">_xlfn.XLOOKUP(TRUE, EXACT(Table27[[#This Row],[d2-lower]], Table27[orig]), Table27[d-lower])</f>
        <v>t</v>
      </c>
      <c r="BG49" s="5" t="str" cm="1">
        <f t="array" ref="BG49">_xlfn.XLOOKUP(TRUE, EXACT(Table27[[#This Row],[U]], Table27[orig]), Table27[D''])</f>
        <v>h</v>
      </c>
      <c r="BH49" s="5" t="str" cm="1">
        <f t="array" ref="BH49">_xlfn.XLOOKUP(TRUE, EXACT(Table27[[#This Row],[UD'']], Table27[orig]), Table27[UD''])</f>
        <v>h</v>
      </c>
      <c r="BI49" s="5" t="str" cm="1">
        <f t="array" ref="BI49">_xlfn.XLOOKUP(TRUE, EXACT(Table27[[#This Row],[U2D2]], Table27[orig]), Table27[UD''])</f>
        <v>h</v>
      </c>
      <c r="BJ49" s="5" t="str">
        <f>Table29[[#This Row],[F]]</f>
        <v>h</v>
      </c>
      <c r="BK49" s="5" t="str" cm="1">
        <f t="array" ref="BK49">_xlfn.XLOOKUP(TRUE, EXACT(Table27[[#This Row],[F]], Table27[orig]), Table27[F])</f>
        <v>h</v>
      </c>
      <c r="BL49" s="5" t="str" cm="1">
        <f t="array" ref="BL49">_xlfn.XLOOKUP(TRUE, EXACT(Table27[[#This Row],[F2]], Table27[orig]), Table27[F])</f>
        <v>h</v>
      </c>
      <c r="BM49" s="5" t="str" cm="1">
        <f t="array" ref="BM49">_xlfn.XLOOKUP(TRUE, EXACT(_xlfn.XLOOKUP(TRUE, EXACT(Table27[[#This Row],[X2]], Table27[orig]), Table27[F]), Table27[orig]), Table27[X2])</f>
        <v>w</v>
      </c>
      <c r="BN49" s="5" t="str" cm="1">
        <f t="array" ref="BN49">_xlfn.XLOOKUP(TRUE, EXACT(Table27[[#This Row],[B]], Table27[orig]), Table27[B])</f>
        <v>n</v>
      </c>
      <c r="BO49" s="5" t="str" cm="1">
        <f t="array" ref="BO49">_xlfn.XLOOKUP(TRUE, EXACT(Table27[[#This Row],[B2]], Table27[orig]), Table27[B])</f>
        <v>a</v>
      </c>
      <c r="BP49" s="5" t="str" cm="1">
        <f t="array" ref="BP49">_xlfn.XLOOKUP(TRUE, EXACT(Table27[[#This Row],[f-lower]], Table27[orig]), Table27[F''])</f>
        <v>h</v>
      </c>
      <c r="BQ49" s="5" t="str" cm="1">
        <f t="array" ref="BQ49">_xlfn.XLOOKUP(TRUE, EXACT(Table27[[#This Row],[S]], Table27[orig]), Table27[S])</f>
        <v>h</v>
      </c>
      <c r="BR49" s="5" t="str" cm="1">
        <f t="array" ref="BR49">_xlfn.XLOOKUP(TRUE, EXACT(Table27[[#This Row],[S2]], Table27[orig]), Table27[S])</f>
        <v>h</v>
      </c>
      <c r="BS49" s="5" t="str" cm="1">
        <f t="array" ref="BS49">_xlfn.XLOOKUP(TRUE, EXACT(Table27[[#This Row],[Z]], Table27[orig]), Table27[B])</f>
        <v>h</v>
      </c>
      <c r="BT49" s="5" t="str" cm="1">
        <f t="array" ref="BT49">_xlfn.XLOOKUP(TRUE, EXACT(Table27[[#This Row],[f-lower]], Table27[orig]), Table27[f-lower])</f>
        <v>h</v>
      </c>
      <c r="BU49" s="5" t="str" cm="1">
        <f t="array" ref="BU49">_xlfn.XLOOKUP(TRUE, EXACT(Table27[[#This Row],[f2-lower]], Table27[orig]), Table27[f-lower])</f>
        <v>h</v>
      </c>
      <c r="BV49" s="5" t="str" cm="1">
        <f t="array" ref="BV49">_xlfn.XLOOKUP(TRUE, EXACT(Table27[[#This Row],[Z'']], Table27[orig]), Table27[F])</f>
        <v>w</v>
      </c>
      <c r="BW49" s="5" t="str" cm="1">
        <f t="array" ref="BW49">_xlfn.XLOOKUP(TRUE, EXACT(Table27[[#This Row],[b-lower]], Table27[orig]), Table27[b-lower])</f>
        <v>n</v>
      </c>
      <c r="BX49" s="5" t="str" cm="1">
        <f t="array" ref="BX49">_xlfn.XLOOKUP(TRUE, EXACT(Table27[[#This Row],[b2-lower]], Table27[orig]), Table27[b-lower])</f>
        <v>a</v>
      </c>
      <c r="BY49" s="5" t="str" cm="1">
        <f t="array" ref="BY49">_xlfn.XLOOKUP(TRUE, EXACT(Table27[[#This Row],[F]], Table27[orig]), Table27[B''])</f>
        <v>a</v>
      </c>
      <c r="BZ49" s="5" t="str" cm="1">
        <f t="array" ref="BZ49">_xlfn.XLOOKUP(TRUE, EXACT(Table27[[#This Row],[FB'']], Table27[orig]), Table27[FB''])</f>
        <v>n</v>
      </c>
      <c r="CA49" s="5" t="str" cm="1">
        <f t="array" ref="CA49">_xlfn.XLOOKUP(TRUE, EXACT(Table27[[#This Row],[F2B2]], Table27[orig]), Table27[FB''])</f>
        <v>w</v>
      </c>
      <c r="CB49"/>
      <c r="CC49"/>
      <c r="CD49" s="5" t="s">
        <v>131</v>
      </c>
      <c r="CE49" s="5" t="str">
        <f>Table28[[#This Row],[orig]]</f>
        <v>h</v>
      </c>
      <c r="CF49" s="5" t="str">
        <f>Table29[[#This Row],[X]]</f>
        <v>g</v>
      </c>
      <c r="CG49" s="5" t="str" cm="1">
        <f t="array" ref="CG49">_xlfn.XLOOKUP(TRUE, EXACT(Table28[[#This Row],[X]], Table28[orig]), Table28[X])</f>
        <v>f</v>
      </c>
      <c r="CH49" s="5" t="str" cm="1">
        <f t="array" ref="CH49">_xlfn.XLOOKUP(TRUE, EXACT(Table28[[#This Row],[X2]], Table28[orig]), Table28[X])</f>
        <v>e</v>
      </c>
      <c r="CI49" s="5" t="str">
        <f>Table29[[#This Row],[Y]]</f>
        <v>t</v>
      </c>
      <c r="CJ49" s="5" t="str" cm="1">
        <f t="array" ref="CJ49">_xlfn.XLOOKUP(TRUE, EXACT(Table28[[#This Row],[Y]], Table28[orig]), Table28[Y])</f>
        <v>p</v>
      </c>
      <c r="CK49" s="5" t="str" cm="1">
        <f t="array" ref="CK49">_xlfn.XLOOKUP(TRUE, EXACT(Table28[[#This Row],[Y2]], Table28[orig]), Table28[Y])</f>
        <v>l</v>
      </c>
      <c r="CL49" s="5" t="str">
        <f>Table29[[#This Row],[Z]]</f>
        <v>a</v>
      </c>
      <c r="CM49" s="5" t="str" cm="1">
        <f t="array" ref="CM49">_xlfn.XLOOKUP(TRUE, EXACT(Table28[[#This Row],[Z]], Table28[orig]), Table28[Z])</f>
        <v>n</v>
      </c>
      <c r="CN49" s="5" t="str" cm="1">
        <f t="array" ref="CN49">_xlfn.XLOOKUP(TRUE, EXACT(Table28[[#This Row],[Z2]], Table28[orig]), Table28[Z])</f>
        <v>w</v>
      </c>
      <c r="CO49" s="5" t="str" cm="1">
        <f t="array" ref="CO49">_xlfn.XLOOKUP(TRUE, EXACT(Table28[[#This Row],[Z]], Table28[orig]), Table28[X])</f>
        <v>s</v>
      </c>
      <c r="CP49" s="5" t="str" cm="1">
        <f t="array" ref="CP49">_xlfn.XLOOKUP(TRUE, EXACT(Table28[[#This Row],[Y'']], Table28[orig]), Table28[X''])</f>
        <v>x</v>
      </c>
      <c r="CQ49" s="5" t="str" cm="1">
        <f t="array" ref="CQ49">_xlfn.XLOOKUP(TRUE, EXACT(Table28[[#This Row],[Y]], Table28[orig]), Table28[X''])</f>
        <v>b</v>
      </c>
      <c r="CR49" s="5" t="str" cm="1">
        <f t="array" ref="CR49">_xlfn.XLOOKUP(TRUE, EXACT(Table28[[#This Row],[Z'']], Table28[orig]), Table28[X])</f>
        <v>k</v>
      </c>
      <c r="CS49" s="5" t="str" cm="1">
        <f t="array" ref="CS49">_xlfn.XLOOKUP(TRUE, EXACT(Table28[[#This Row],[Z'']], Table28[orig]), Table28[X''])</f>
        <v>q</v>
      </c>
      <c r="CT49" s="5" t="str" cm="1">
        <f t="array" ref="CT49">_xlfn.XLOOKUP(TRUE, EXACT(Table28[[#This Row],[Y'']], Table28[orig]), Table28[X])</f>
        <v>d</v>
      </c>
      <c r="CU49" s="5" t="str" cm="1">
        <f t="array" ref="CU49">_xlfn.XLOOKUP(TRUE, EXACT(Table28[[#This Row],[Y]], Table28[orig]), Table28[X])</f>
        <v>v</v>
      </c>
      <c r="CV49" s="5" t="str" cm="1">
        <f t="array" ref="CV49">_xlfn.XLOOKUP(TRUE, EXACT(Table28[[#This Row],[Z]], Table28[orig]), Table28[X''])</f>
        <v>i</v>
      </c>
      <c r="CW49" s="5" t="str" cm="1">
        <f t="array" ref="CW49">_xlfn.XLOOKUP(TRUE, EXACT(Table28[[#This Row],[Y'']], Table28[orig]), Table28[X2])</f>
        <v>r</v>
      </c>
      <c r="CX49" s="5" t="str" cm="1">
        <f t="array" ref="CX49">_xlfn.XLOOKUP(TRUE, EXACT(Table28[[#This Row],[Y]], Table28[orig]), Table28[X2])</f>
        <v>j</v>
      </c>
      <c r="CY49" s="5" t="str" cm="1">
        <f t="array" ref="CY49">_xlfn.XLOOKUP(TRUE, EXACT(Table28[[#This Row],[Z]], Table28[orig]), Table28[X2])</f>
        <v>u</v>
      </c>
      <c r="CZ49" s="5" t="str" cm="1">
        <f t="array" ref="CZ49">_xlfn.XLOOKUP(TRUE, EXACT(Table28[[#This Row],[Z'']], Table28[orig]), Table28[X2])</f>
        <v>c</v>
      </c>
      <c r="DA49" s="5" t="str" cm="1">
        <f t="array" ref="DA49">_xlfn.XLOOKUP(TRUE, EXACT(Table28[[#This Row],[Z2]], Table28[orig]), Table28[X])</f>
        <v>o</v>
      </c>
      <c r="DB49" s="5" t="str" cm="1">
        <f t="array" ref="DB49">_xlfn.XLOOKUP(TRUE, EXACT(Table28[[#This Row],[Z2]], Table28[orig]), Table28[X''])</f>
        <v>m</v>
      </c>
      <c r="DC49"/>
      <c r="DD49"/>
      <c r="DE49" s="8" t="s">
        <v>131</v>
      </c>
      <c r="DF49" s="8" t="str" cm="1">
        <f t="array" ref="DF49">_xlfn.XLOOKUP(TRUE, EXACT(Table28[[#This Row],[I]], Table29[orig]), Table29[T-reflection])</f>
        <v>n</v>
      </c>
      <c r="DG49" s="8" t="str" cm="1">
        <f t="array" ref="DG49">_xlfn.XLOOKUP(TRUE, EXACT(Table28[[#This Row],[X]], Table29[orig]), Table29[T-reflection])</f>
        <v>o</v>
      </c>
      <c r="DH49" s="5" t="str" cm="1">
        <f t="array" ref="DH49">_xlfn.XLOOKUP(TRUE, EXACT(Table28[[#This Row],[X2]], Table29[orig]), Table29[T-reflection])</f>
        <v>p</v>
      </c>
      <c r="DI49" s="5" t="str" cm="1">
        <f t="array" ref="DI49">_xlfn.XLOOKUP(TRUE, EXACT(Table28[[#This Row],[X'']], Table29[orig]), Table29[T-reflection])</f>
        <v>m</v>
      </c>
      <c r="DJ49" s="8" t="str" cm="1">
        <f t="array" ref="DJ49">_xlfn.XLOOKUP(TRUE, EXACT(Table28[[#This Row],[Y]], Table29[orig]), Table29[T-reflection])</f>
        <v>r</v>
      </c>
      <c r="DK49" s="5" t="str" cm="1">
        <f t="array" ref="DK49">_xlfn.XLOOKUP(TRUE, EXACT(Table28[[#This Row],[Y2]], Table29[orig]), Table29[T-reflection])</f>
        <v>f</v>
      </c>
      <c r="DL49" s="5" t="str" cm="1">
        <f t="array" ref="DL49">_xlfn.XLOOKUP(TRUE, EXACT(Table28[[#This Row],[Y'']], Table29[orig]), Table29[T-reflection])</f>
        <v>j</v>
      </c>
      <c r="DM49" s="8" t="str" cm="1">
        <f t="array" ref="DM49">_xlfn.XLOOKUP(TRUE, EXACT(Table28[[#This Row],[Z]], Table29[orig]), Table29[T-reflection])</f>
        <v>a</v>
      </c>
      <c r="DN49" s="5" t="str" cm="1">
        <f t="array" ref="DN49">_xlfn.XLOOKUP(TRUE, EXACT(Table28[[#This Row],[Z2]], Table29[orig]), Table29[T-reflection])</f>
        <v>h</v>
      </c>
      <c r="DO49" s="5" t="str" cm="1">
        <f t="array" ref="DO49">_xlfn.XLOOKUP(TRUE, EXACT(Table28[[#This Row],[Z'']], Table29[orig]), Table29[T-reflection])</f>
        <v>w</v>
      </c>
      <c r="DP49" s="5" t="str" cm="1">
        <f t="array" ref="DP49">_xlfn.XLOOKUP(TRUE, EXACT(Table28[[#This Row],[Z X]], Table29[orig]), Table29[T-reflection])</f>
        <v>s</v>
      </c>
      <c r="DQ49" s="5" t="str" cm="1">
        <f t="array" ref="DQ49">_xlfn.XLOOKUP(TRUE, EXACT(Table28[[#This Row],[Y'' X'']], Table29[orig]), Table29[T-reflection])</f>
        <v>v</v>
      </c>
      <c r="DR49" s="5" t="str" cm="1">
        <f t="array" ref="DR49">_xlfn.XLOOKUP(TRUE, EXACT(Table28[[#This Row],[Y X'']], Table29[orig]), Table29[T-reflection])</f>
        <v>d</v>
      </c>
      <c r="DS49" s="5" t="str" cm="1">
        <f t="array" ref="DS49">_xlfn.XLOOKUP(TRUE, EXACT(Table28[[#This Row],[Z'' X]], Table29[orig]), Table29[T-reflection])</f>
        <v>k</v>
      </c>
      <c r="DT49" s="5" t="str" cm="1">
        <f t="array" ref="DT49">_xlfn.XLOOKUP(TRUE, EXACT(Table28[[#This Row],[Z'' X'']], Table29[orig]), Table29[T-reflection])</f>
        <v>q</v>
      </c>
      <c r="DU49" s="5" t="str" cm="1">
        <f t="array" ref="DU49">_xlfn.XLOOKUP(TRUE, EXACT(Table28[[#This Row],[Y'' X]], Table29[orig]), Table29[T-reflection])</f>
        <v>b</v>
      </c>
      <c r="DV49" s="5" t="str" cm="1">
        <f t="array" ref="DV49">_xlfn.XLOOKUP(TRUE, EXACT(Table28[[#This Row],[Y X]], Table29[orig]), Table29[T-reflection])</f>
        <v>x</v>
      </c>
      <c r="DW49" s="5" t="str" cm="1">
        <f t="array" ref="DW49">_xlfn.XLOOKUP(TRUE, EXACT(Table28[[#This Row],[Z X'']], Table29[orig]), Table29[T-reflection])</f>
        <v>i</v>
      </c>
      <c r="DX49" s="5" t="str" cm="1">
        <f t="array" ref="DX49">_xlfn.XLOOKUP(TRUE, EXACT(Table28[[#This Row],[Y'' X2]], Table29[orig]), Table29[T-reflection])</f>
        <v>t</v>
      </c>
      <c r="DY49" s="5" t="str" cm="1">
        <f t="array" ref="DY49">_xlfn.XLOOKUP(TRUE, EXACT(Table28[[#This Row],[Y X2]], Table29[orig]), Table29[T-reflection])</f>
        <v>l</v>
      </c>
      <c r="DZ49" s="5" t="str" cm="1">
        <f t="array" ref="DZ49">_xlfn.XLOOKUP(TRUE, EXACT(Table28[[#This Row],[Z X2]], Table29[orig]), Table29[T-reflection])</f>
        <v>u</v>
      </c>
      <c r="EA49" s="5" t="str" cm="1">
        <f t="array" ref="EA49">_xlfn.XLOOKUP(TRUE, EXACT(Table28[[#This Row],[Z'' X2]], Table29[orig]), Table29[T-reflection])</f>
        <v>c</v>
      </c>
      <c r="EB49" s="5" t="str" cm="1">
        <f t="array" ref="EB49">_xlfn.XLOOKUP(TRUE, EXACT(Table28[[#This Row],[Z2 X]], Table29[orig]), Table29[T-reflection])</f>
        <v>g</v>
      </c>
      <c r="EC49" s="5" t="str" cm="1">
        <f t="array" ref="EC49">_xlfn.XLOOKUP(TRUE, EXACT(Table28[[#This Row],[Z2 X'']], Table29[orig]), Table29[T-reflection])</f>
        <v>e</v>
      </c>
      <c r="ED49"/>
      <c r="EE49"/>
      <c r="EF49"/>
      <c r="EG49"/>
      <c r="EH49"/>
      <c r="EI49"/>
      <c r="EJ49"/>
      <c r="EK49"/>
      <c r="EL49"/>
      <c r="EM49"/>
      <c r="EN49"/>
      <c r="EO49"/>
      <c r="EP49"/>
      <c r="EQ49"/>
      <c r="ER49"/>
      <c r="ES49"/>
      <c r="ET49"/>
      <c r="EU49"/>
      <c r="EV49"/>
      <c r="EW49"/>
      <c r="EX49"/>
      <c r="EY49"/>
      <c r="EZ49"/>
      <c r="FA49"/>
      <c r="FB49"/>
      <c r="FC49"/>
      <c r="FD49"/>
      <c r="FE49"/>
      <c r="FF49"/>
      <c r="FG49"/>
      <c r="FH49"/>
    </row>
    <row r="50" spans="1:164" ht="16" thickTop="1" x14ac:dyDescent="0.2">
      <c r="B50" t="s">
        <v>132</v>
      </c>
      <c r="C50" t="s">
        <v>132</v>
      </c>
      <c r="D50" t="s">
        <v>33</v>
      </c>
      <c r="E50" t="s">
        <v>130</v>
      </c>
      <c r="F50" t="s">
        <v>67</v>
      </c>
      <c r="G50" t="s">
        <v>132</v>
      </c>
      <c r="H50" t="s">
        <v>86</v>
      </c>
      <c r="I50" t="s">
        <v>46</v>
      </c>
      <c r="J50" t="s">
        <v>132</v>
      </c>
      <c r="K50" t="s">
        <v>130</v>
      </c>
      <c r="L50" t="s">
        <v>67</v>
      </c>
      <c r="O50" t="s">
        <v>132</v>
      </c>
      <c r="P50" t="str">
        <f>Table27[[#This Row],[orig]]</f>
        <v>i</v>
      </c>
      <c r="Q50" t="str">
        <f>Table29[[#This Row],[X]]</f>
        <v>a</v>
      </c>
      <c r="R50" t="str" cm="1">
        <f t="array" ref="R50">_xlfn.XLOOKUP(TRUE, EXACT(Table27[[#This Row],[X]], Table27[orig]), Table27[X])</f>
        <v>s</v>
      </c>
      <c r="S50" t="str" cm="1">
        <f t="array" ref="S50">_xlfn.XLOOKUP(TRUE, EXACT(Table27[[#This Row],[X2]], Table27[orig]), Table27[X])</f>
        <v>u</v>
      </c>
      <c r="T50" t="str">
        <f>Table29[[#This Row],[Y]]</f>
        <v>e</v>
      </c>
      <c r="U50" t="str" cm="1">
        <f t="array" ref="U50">_xlfn.XLOOKUP(TRUE, EXACT(Table27[[#This Row],[Y]], Table27[orig]), Table27[Y])</f>
        <v>q</v>
      </c>
      <c r="V50" t="str" cm="1">
        <f t="array" ref="V50">_xlfn.XLOOKUP(TRUE, EXACT(Table27[[#This Row],[Y2]], Table27[orig]), Table27[Y])</f>
        <v>m</v>
      </c>
      <c r="W50" t="str">
        <f>Table29[[#This Row],[Z]]</f>
        <v>j</v>
      </c>
      <c r="X50" t="str" cm="1">
        <f t="array" ref="X50">_xlfn.XLOOKUP(TRUE, EXACT(Table27[[#This Row],[Z]], Table27[orig]), Table27[Z])</f>
        <v>k</v>
      </c>
      <c r="Y50" t="str" cm="1">
        <f t="array" ref="Y50">_xlfn.XLOOKUP(TRUE, EXACT(Table27[[#This Row],[Z2]], Table27[orig]), Table27[Z])</f>
        <v>l</v>
      </c>
      <c r="Z50" t="str">
        <f>Table29[[#This Row],[R]]</f>
        <v>i</v>
      </c>
      <c r="AA50" t="str" cm="1">
        <f t="array" ref="AA50">_xlfn.XLOOKUP(TRUE, EXACT(Table27[[#This Row],[R]], Table27[orig]), Table27[R])</f>
        <v>i</v>
      </c>
      <c r="AB50" t="str" cm="1">
        <f t="array" ref="AB50">_xlfn.XLOOKUP(TRUE, EXACT(Table27[[#This Row],[R2]], Table27[orig]), Table27[R])</f>
        <v>i</v>
      </c>
      <c r="AC50" t="str" cm="1">
        <f t="array" ref="AC50">_xlfn.XLOOKUP(TRUE, EXACT(_xlfn.XLOOKUP(TRUE, EXACT(Table27[[#This Row],[Y2]], Table27[orig]), Table27[R]), Table27[orig]), Table27[Y2])</f>
        <v>i</v>
      </c>
      <c r="AD50" t="str" cm="1">
        <f t="array" ref="AD50">_xlfn.XLOOKUP(TRUE, EXACT(Table27[[#This Row],[L]], Table27[orig]), Table27[L])</f>
        <v>i</v>
      </c>
      <c r="AE50" t="str" cm="1">
        <f t="array" ref="AE50">_xlfn.XLOOKUP(TRUE, EXACT(Table27[[#This Row],[L2]], Table27[orig]), Table27[L])</f>
        <v>i</v>
      </c>
      <c r="AF50" t="str" cm="1">
        <f t="array" ref="AF50">_xlfn.XLOOKUP(TRUE, EXACT(Table27[[#This Row],[r-lower]], Table27[orig]), Table27[R''])</f>
        <v>a</v>
      </c>
      <c r="AG50" t="str" cm="1">
        <f t="array" ref="AG50">_xlfn.XLOOKUP(TRUE, EXACT(Table27[[#This Row],[T]], Table27[orig]), Table27[T])</f>
        <v>s</v>
      </c>
      <c r="AH50" t="str" cm="1">
        <f t="array" ref="AH50">_xlfn.XLOOKUP(TRUE, EXACT(Table27[[#This Row],[T2]], Table27[orig]), Table27[T])</f>
        <v>u</v>
      </c>
      <c r="AI50" t="str" cm="1">
        <f t="array" ref="AI50">_xlfn.XLOOKUP(TRUE, EXACT(Table27[[#This Row],[X]], Table27[orig]), Table27[L])</f>
        <v>a</v>
      </c>
      <c r="AJ50" t="str" cm="1">
        <f t="array" ref="AJ50">_xlfn.XLOOKUP(TRUE, EXACT(Table27[[#This Row],[r-lower]], Table27[orig]), Table27[r-lower])</f>
        <v>s</v>
      </c>
      <c r="AK50" t="str" cm="1">
        <f t="array" ref="AK50">_xlfn.XLOOKUP(TRUE, EXACT(Table27[[#This Row],[r2-lower]], Table27[orig]), Table27[r-lower])</f>
        <v>u</v>
      </c>
      <c r="AL50" t="str" cm="1">
        <f t="array" ref="AL50">_xlfn.XLOOKUP(TRUE, EXACT(Table27[[#This Row],[X'']], Table27[orig]), Table27[R])</f>
        <v>u</v>
      </c>
      <c r="AM50" t="str" cm="1">
        <f t="array" ref="AM50">_xlfn.XLOOKUP(TRUE, EXACT(Table27[[#This Row],[l-lower]], Table27[orig]), Table27[l-lower])</f>
        <v>s</v>
      </c>
      <c r="AN50" t="str" cm="1">
        <f t="array" ref="AN50">_xlfn.XLOOKUP(TRUE, EXACT(Table27[[#This Row],[l2-lower]], Table27[orig]), Table27[l-lower])</f>
        <v>a</v>
      </c>
      <c r="AO50" t="str" cm="1">
        <f t="array" ref="AO50">_xlfn.XLOOKUP(TRUE, EXACT(Table27[[#This Row],[R]], Table27[orig]), Table27[L''])</f>
        <v>i</v>
      </c>
      <c r="AP50" t="str" cm="1">
        <f t="array" ref="AP50">_xlfn.XLOOKUP(TRUE, EXACT(Table27[[#This Row],[RL'']], Table27[orig]), Table27[RL''])</f>
        <v>i</v>
      </c>
      <c r="AQ50" t="str" cm="1">
        <f t="array" ref="AQ50">_xlfn.XLOOKUP(TRUE, EXACT(Table27[[#This Row],[R2L2]], Table27[orig]), Table27[RL''])</f>
        <v>i</v>
      </c>
      <c r="AR50" t="str">
        <f>Table29[[#This Row],[U]]</f>
        <v>e</v>
      </c>
      <c r="AS50" t="str" cm="1">
        <f t="array" ref="AS50">_xlfn.XLOOKUP(TRUE, EXACT(Table27[[#This Row],[U]], Table27[orig]), Table27[U])</f>
        <v>q</v>
      </c>
      <c r="AT50" t="str" cm="1">
        <f t="array" ref="AT50">_xlfn.XLOOKUP(TRUE, EXACT(Table27[[#This Row],[U2]], Table27[orig]), Table27[U])</f>
        <v>m</v>
      </c>
      <c r="AU50" t="str" cm="1">
        <f t="array" ref="AU50">_xlfn.XLOOKUP(TRUE, EXACT(_xlfn.XLOOKUP(TRUE, EXACT(Table27[[#This Row],[Z2]], Table27[orig]), Table27[U]), Table27[orig]), Table27[Z2])</f>
        <v>i</v>
      </c>
      <c r="AV50" t="str" cm="1">
        <f t="array" ref="AV50">_xlfn.XLOOKUP(TRUE, EXACT(Table27[[#This Row],[D]], Table27[orig]), Table27[D])</f>
        <v>i</v>
      </c>
      <c r="AW50" t="str" cm="1">
        <f t="array" ref="AW50">_xlfn.XLOOKUP(TRUE, EXACT(Table27[[#This Row],[D2]], Table27[orig]), Table27[D])</f>
        <v>i</v>
      </c>
      <c r="AX50" t="str" cm="1">
        <f t="array" ref="AX50">_xlfn.XLOOKUP(TRUE, EXACT(Table27[[#This Row],[u-lower]], Table27[orig]), Table27[U''])</f>
        <v>i</v>
      </c>
      <c r="AY50" t="str" cm="1">
        <f t="array" ref="AY50">_xlfn.XLOOKUP(TRUE, EXACT(Table27[[#This Row],[H]], Table27[orig]), Table27[H])</f>
        <v>i</v>
      </c>
      <c r="AZ50" t="str" cm="1">
        <f t="array" ref="AZ50">_xlfn.XLOOKUP(TRUE, EXACT(Table27[[#This Row],[H2]], Table27[orig]), Table27[H])</f>
        <v>i</v>
      </c>
      <c r="BA50" t="str" cm="1">
        <f t="array" ref="BA50">_xlfn.XLOOKUP(TRUE, EXACT(Table27[[#This Row],[Y]], Table27[orig]), Table27[D])</f>
        <v>e</v>
      </c>
      <c r="BB50" t="str" cm="1">
        <f t="array" ref="BB50">_xlfn.XLOOKUP(TRUE, EXACT(Table27[[#This Row],[u-lower]], Table27[orig]), Table27[u-lower])</f>
        <v>q</v>
      </c>
      <c r="BC50" t="str" cm="1">
        <f t="array" ref="BC50">_xlfn.XLOOKUP(TRUE, EXACT(Table27[[#This Row],[u2-lower]], Table27[orig]), Table27[u-lower])</f>
        <v>m</v>
      </c>
      <c r="BD50" t="str" cm="1">
        <f t="array" ref="BD50">_xlfn.XLOOKUP(TRUE, EXACT(Table27[[#This Row],[Y'']], Table27[orig]), Table27[U])</f>
        <v>i</v>
      </c>
      <c r="BE50" t="str" cm="1">
        <f t="array" ref="BE50">_xlfn.XLOOKUP(TRUE, EXACT(Table27[[#This Row],[d-lower]], Table27[orig]), Table27[d-lower])</f>
        <v>i</v>
      </c>
      <c r="BF50" t="str" cm="1">
        <f t="array" ref="BF50">_xlfn.XLOOKUP(TRUE, EXACT(Table27[[#This Row],[d2-lower]], Table27[orig]), Table27[d-lower])</f>
        <v>i</v>
      </c>
      <c r="BG50" t="str" cm="1">
        <f t="array" ref="BG50">_xlfn.XLOOKUP(TRUE, EXACT(Table27[[#This Row],[U]], Table27[orig]), Table27[D''])</f>
        <v>e</v>
      </c>
      <c r="BH50" t="str" cm="1">
        <f t="array" ref="BH50">_xlfn.XLOOKUP(TRUE, EXACT(Table27[[#This Row],[UD'']], Table27[orig]), Table27[UD''])</f>
        <v>q</v>
      </c>
      <c r="BI50" t="str" cm="1">
        <f t="array" ref="BI50">_xlfn.XLOOKUP(TRUE, EXACT(Table27[[#This Row],[U2D2]], Table27[orig]), Table27[UD''])</f>
        <v>m</v>
      </c>
      <c r="BJ50" t="str">
        <f>Table29[[#This Row],[F]]</f>
        <v>j</v>
      </c>
      <c r="BK50" t="str" cm="1">
        <f t="array" ref="BK50">_xlfn.XLOOKUP(TRUE, EXACT(Table27[[#This Row],[F]], Table27[orig]), Table27[F])</f>
        <v>k</v>
      </c>
      <c r="BL50" t="str" cm="1">
        <f t="array" ref="BL50">_xlfn.XLOOKUP(TRUE, EXACT(Table27[[#This Row],[F2]], Table27[orig]), Table27[F])</f>
        <v>l</v>
      </c>
      <c r="BM50" t="str" cm="1">
        <f t="array" ref="BM50">_xlfn.XLOOKUP(TRUE, EXACT(_xlfn.XLOOKUP(TRUE, EXACT(Table27[[#This Row],[X2]], Table27[orig]), Table27[F]), Table27[orig]), Table27[X2])</f>
        <v>i</v>
      </c>
      <c r="BN50" t="str" cm="1">
        <f t="array" ref="BN50">_xlfn.XLOOKUP(TRUE, EXACT(Table27[[#This Row],[B]], Table27[orig]), Table27[B])</f>
        <v>i</v>
      </c>
      <c r="BO50" t="str" cm="1">
        <f t="array" ref="BO50">_xlfn.XLOOKUP(TRUE, EXACT(Table27[[#This Row],[B2]], Table27[orig]), Table27[B])</f>
        <v>i</v>
      </c>
      <c r="BP50" t="str" cm="1">
        <f t="array" ref="BP50">_xlfn.XLOOKUP(TRUE, EXACT(Table27[[#This Row],[f-lower]], Table27[orig]), Table27[F''])</f>
        <v>i</v>
      </c>
      <c r="BQ50" t="str" cm="1">
        <f t="array" ref="BQ50">_xlfn.XLOOKUP(TRUE, EXACT(Table27[[#This Row],[S]], Table27[orig]), Table27[S])</f>
        <v>i</v>
      </c>
      <c r="BR50" t="str" cm="1">
        <f t="array" ref="BR50">_xlfn.XLOOKUP(TRUE, EXACT(Table27[[#This Row],[S2]], Table27[orig]), Table27[S])</f>
        <v>i</v>
      </c>
      <c r="BS50" t="str" cm="1">
        <f t="array" ref="BS50">_xlfn.XLOOKUP(TRUE, EXACT(Table27[[#This Row],[Z]], Table27[orig]), Table27[B])</f>
        <v>j</v>
      </c>
      <c r="BT50" t="str" cm="1">
        <f t="array" ref="BT50">_xlfn.XLOOKUP(TRUE, EXACT(Table27[[#This Row],[f-lower]], Table27[orig]), Table27[f-lower])</f>
        <v>k</v>
      </c>
      <c r="BU50" t="str" cm="1">
        <f t="array" ref="BU50">_xlfn.XLOOKUP(TRUE, EXACT(Table27[[#This Row],[f2-lower]], Table27[orig]), Table27[f-lower])</f>
        <v>l</v>
      </c>
      <c r="BV50" t="str" cm="1">
        <f t="array" ref="BV50">_xlfn.XLOOKUP(TRUE, EXACT(Table27[[#This Row],[Z'']], Table27[orig]), Table27[F])</f>
        <v>i</v>
      </c>
      <c r="BW50" t="str" cm="1">
        <f t="array" ref="BW50">_xlfn.XLOOKUP(TRUE, EXACT(Table27[[#This Row],[b-lower]], Table27[orig]), Table27[b-lower])</f>
        <v>i</v>
      </c>
      <c r="BX50" t="str" cm="1">
        <f t="array" ref="BX50">_xlfn.XLOOKUP(TRUE, EXACT(Table27[[#This Row],[b2-lower]], Table27[orig]), Table27[b-lower])</f>
        <v>i</v>
      </c>
      <c r="BY50" t="str" cm="1">
        <f t="array" ref="BY50">_xlfn.XLOOKUP(TRUE, EXACT(Table27[[#This Row],[F]], Table27[orig]), Table27[B''])</f>
        <v>j</v>
      </c>
      <c r="BZ50" t="str" cm="1">
        <f t="array" ref="BZ50">_xlfn.XLOOKUP(TRUE, EXACT(Table27[[#This Row],[FB'']], Table27[orig]), Table27[FB''])</f>
        <v>k</v>
      </c>
      <c r="CA50" t="str" cm="1">
        <f t="array" ref="CA50">_xlfn.XLOOKUP(TRUE, EXACT(Table27[[#This Row],[F2B2]], Table27[orig]), Table27[FB''])</f>
        <v>l</v>
      </c>
      <c r="CD50" t="s">
        <v>132</v>
      </c>
      <c r="CE50" t="str">
        <f>Table28[[#This Row],[orig]]</f>
        <v>i</v>
      </c>
      <c r="CF50" t="str">
        <f>Table29[[#This Row],[X]]</f>
        <v>a</v>
      </c>
      <c r="CG50" t="str" cm="1">
        <f t="array" ref="CG50">_xlfn.XLOOKUP(TRUE, EXACT(Table28[[#This Row],[X]], Table28[orig]), Table28[X])</f>
        <v>s</v>
      </c>
      <c r="CH50" t="str" cm="1">
        <f t="array" ref="CH50">_xlfn.XLOOKUP(TRUE, EXACT(Table28[[#This Row],[X2]], Table28[orig]), Table28[X])</f>
        <v>u</v>
      </c>
      <c r="CI50" t="str">
        <f>Table29[[#This Row],[Y]]</f>
        <v>e</v>
      </c>
      <c r="CJ50" t="str" cm="1">
        <f t="array" ref="CJ50">_xlfn.XLOOKUP(TRUE, EXACT(Table28[[#This Row],[Y]], Table28[orig]), Table28[Y])</f>
        <v>q</v>
      </c>
      <c r="CK50" t="str" cm="1">
        <f t="array" ref="CK50">_xlfn.XLOOKUP(TRUE, EXACT(Table28[[#This Row],[Y2]], Table28[orig]), Table28[Y])</f>
        <v>m</v>
      </c>
      <c r="CL50" t="str">
        <f>Table29[[#This Row],[Z]]</f>
        <v>j</v>
      </c>
      <c r="CM50" t="str" cm="1">
        <f t="array" ref="CM50">_xlfn.XLOOKUP(TRUE, EXACT(Table28[[#This Row],[Z]], Table28[orig]), Table28[Z])</f>
        <v>k</v>
      </c>
      <c r="CN50" t="str" cm="1">
        <f t="array" ref="CN50">_xlfn.XLOOKUP(TRUE, EXACT(Table28[[#This Row],[Z2]], Table28[orig]), Table28[Z])</f>
        <v>l</v>
      </c>
      <c r="CO50" t="str" cm="1">
        <f t="array" ref="CO50">_xlfn.XLOOKUP(TRUE, EXACT(Table28[[#This Row],[Z]], Table28[orig]), Table28[X])</f>
        <v>b</v>
      </c>
      <c r="CP50" t="str" cm="1">
        <f t="array" ref="CP50">_xlfn.XLOOKUP(TRUE, EXACT(Table28[[#This Row],[Y'']], Table28[orig]), Table28[X''])</f>
        <v>p</v>
      </c>
      <c r="CQ50" t="str" cm="1">
        <f t="array" ref="CQ50">_xlfn.XLOOKUP(TRUE, EXACT(Table28[[#This Row],[Y]], Table28[orig]), Table28[X''])</f>
        <v>f</v>
      </c>
      <c r="CR50" t="str" cm="1">
        <f t="array" ref="CR50">_xlfn.XLOOKUP(TRUE, EXACT(Table28[[#This Row],[Z'']], Table28[orig]), Table28[X])</f>
        <v>d</v>
      </c>
      <c r="CS50" t="str" cm="1">
        <f t="array" ref="CS50">_xlfn.XLOOKUP(TRUE, EXACT(Table28[[#This Row],[Z'']], Table28[orig]), Table28[X''])</f>
        <v>x</v>
      </c>
      <c r="CT50" t="str" cm="1">
        <f t="array" ref="CT50">_xlfn.XLOOKUP(TRUE, EXACT(Table28[[#This Row],[Y'']], Table28[orig]), Table28[X])</f>
        <v>n</v>
      </c>
      <c r="CU50" t="str" cm="1">
        <f t="array" ref="CU50">_xlfn.XLOOKUP(TRUE, EXACT(Table28[[#This Row],[Y]], Table28[orig]), Table28[X])</f>
        <v>h</v>
      </c>
      <c r="CV50" t="str" cm="1">
        <f t="array" ref="CV50">_xlfn.XLOOKUP(TRUE, EXACT(Table28[[#This Row],[Z]], Table28[orig]), Table28[X''])</f>
        <v>v</v>
      </c>
      <c r="CW50" t="str" cm="1">
        <f t="array" ref="CW50">_xlfn.XLOOKUP(TRUE, EXACT(Table28[[#This Row],[Y'']], Table28[orig]), Table28[X2])</f>
        <v>o</v>
      </c>
      <c r="CX50" t="str" cm="1">
        <f t="array" ref="CX50">_xlfn.XLOOKUP(TRUE, EXACT(Table28[[#This Row],[Y]], Table28[orig]), Table28[X2])</f>
        <v>g</v>
      </c>
      <c r="CY50" t="str" cm="1">
        <f t="array" ref="CY50">_xlfn.XLOOKUP(TRUE, EXACT(Table28[[#This Row],[Z]], Table28[orig]), Table28[X2])</f>
        <v>t</v>
      </c>
      <c r="CZ50" t="str" cm="1">
        <f t="array" ref="CZ50">_xlfn.XLOOKUP(TRUE, EXACT(Table28[[#This Row],[Z'']], Table28[orig]), Table28[X2])</f>
        <v>r</v>
      </c>
      <c r="DA50" t="str" cm="1">
        <f t="array" ref="DA50">_xlfn.XLOOKUP(TRUE, EXACT(Table28[[#This Row],[Z2]], Table28[orig]), Table28[X])</f>
        <v>c</v>
      </c>
      <c r="DB50" t="str" cm="1">
        <f t="array" ref="DB50">_xlfn.XLOOKUP(TRUE, EXACT(Table28[[#This Row],[Z2]], Table28[orig]), Table28[X''])</f>
        <v>w</v>
      </c>
      <c r="DE50" s="6" t="s">
        <v>132</v>
      </c>
      <c r="DF50" s="6" t="str" cm="1">
        <f t="array" ref="DF50">_xlfn.XLOOKUP(TRUE, EXACT(Table28[[#This Row],[I]], Table29[orig]), Table29[T-reflection])</f>
        <v>i</v>
      </c>
      <c r="DG50" s="6" t="str" cm="1">
        <f t="array" ref="DG50">_xlfn.XLOOKUP(TRUE, EXACT(Table28[[#This Row],[X]], Table29[orig]), Table29[T-reflection])</f>
        <v>a</v>
      </c>
      <c r="DH50" t="str" cm="1">
        <f t="array" ref="DH50">_xlfn.XLOOKUP(TRUE, EXACT(Table28[[#This Row],[X2]], Table29[orig]), Table29[T-reflection])</f>
        <v>s</v>
      </c>
      <c r="DI50" t="str" cm="1">
        <f t="array" ref="DI50">_xlfn.XLOOKUP(TRUE, EXACT(Table28[[#This Row],[X'']], Table29[orig]), Table29[T-reflection])</f>
        <v>u</v>
      </c>
      <c r="DJ50" s="6" t="str" cm="1">
        <f t="array" ref="DJ50">_xlfn.XLOOKUP(TRUE, EXACT(Table28[[#This Row],[Y]], Table29[orig]), Table29[T-reflection])</f>
        <v>m</v>
      </c>
      <c r="DK50" t="str" cm="1">
        <f t="array" ref="DK50">_xlfn.XLOOKUP(TRUE, EXACT(Table28[[#This Row],[Y2]], Table29[orig]), Table29[T-reflection])</f>
        <v>q</v>
      </c>
      <c r="DL50" t="str" cm="1">
        <f t="array" ref="DL50">_xlfn.XLOOKUP(TRUE, EXACT(Table28[[#This Row],[Y'']], Table29[orig]), Table29[T-reflection])</f>
        <v>e</v>
      </c>
      <c r="DM50" s="6" t="str" cm="1">
        <f t="array" ref="DM50">_xlfn.XLOOKUP(TRUE, EXACT(Table28[[#This Row],[Z]], Table29[orig]), Table29[T-reflection])</f>
        <v>l</v>
      </c>
      <c r="DN50" t="str" cm="1">
        <f t="array" ref="DN50">_xlfn.XLOOKUP(TRUE, EXACT(Table28[[#This Row],[Z2]], Table29[orig]), Table29[T-reflection])</f>
        <v>k</v>
      </c>
      <c r="DO50" t="str" cm="1">
        <f t="array" ref="DO50">_xlfn.XLOOKUP(TRUE, EXACT(Table28[[#This Row],[Z'']], Table29[orig]), Table29[T-reflection])</f>
        <v>j</v>
      </c>
      <c r="DP50" t="str" cm="1">
        <f t="array" ref="DP50">_xlfn.XLOOKUP(TRUE, EXACT(Table28[[#This Row],[Z X]], Table29[orig]), Table29[T-reflection])</f>
        <v>d</v>
      </c>
      <c r="DQ50" t="str" cm="1">
        <f t="array" ref="DQ50">_xlfn.XLOOKUP(TRUE, EXACT(Table28[[#This Row],[Y'' X'']], Table29[orig]), Table29[T-reflection])</f>
        <v>f</v>
      </c>
      <c r="DR50" t="str" cm="1">
        <f t="array" ref="DR50">_xlfn.XLOOKUP(TRUE, EXACT(Table28[[#This Row],[Y X'']], Table29[orig]), Table29[T-reflection])</f>
        <v>p</v>
      </c>
      <c r="DS50" t="str" cm="1">
        <f t="array" ref="DS50">_xlfn.XLOOKUP(TRUE, EXACT(Table28[[#This Row],[Z'' X]], Table29[orig]), Table29[T-reflection])</f>
        <v>b</v>
      </c>
      <c r="DT50" t="str" cm="1">
        <f t="array" ref="DT50">_xlfn.XLOOKUP(TRUE, EXACT(Table28[[#This Row],[Z'' X'']], Table29[orig]), Table29[T-reflection])</f>
        <v>v</v>
      </c>
      <c r="DU50" t="str" cm="1">
        <f t="array" ref="DU50">_xlfn.XLOOKUP(TRUE, EXACT(Table28[[#This Row],[Y'' X]], Table29[orig]), Table29[T-reflection])</f>
        <v>h</v>
      </c>
      <c r="DV50" t="str" cm="1">
        <f t="array" ref="DV50">_xlfn.XLOOKUP(TRUE, EXACT(Table28[[#This Row],[Y X]], Table29[orig]), Table29[T-reflection])</f>
        <v>n</v>
      </c>
      <c r="DW50" t="str" cm="1">
        <f t="array" ref="DW50">_xlfn.XLOOKUP(TRUE, EXACT(Table28[[#This Row],[Z X'']], Table29[orig]), Table29[T-reflection])</f>
        <v>x</v>
      </c>
      <c r="DX50" t="str" cm="1">
        <f t="array" ref="DX50">_xlfn.XLOOKUP(TRUE, EXACT(Table28[[#This Row],[Y'' X2]], Table29[orig]), Table29[T-reflection])</f>
        <v>g</v>
      </c>
      <c r="DY50" t="str" cm="1">
        <f t="array" ref="DY50">_xlfn.XLOOKUP(TRUE, EXACT(Table28[[#This Row],[Y X2]], Table29[orig]), Table29[T-reflection])</f>
        <v>o</v>
      </c>
      <c r="DZ50" t="str" cm="1">
        <f t="array" ref="DZ50">_xlfn.XLOOKUP(TRUE, EXACT(Table28[[#This Row],[Z X2]], Table29[orig]), Table29[T-reflection])</f>
        <v>r</v>
      </c>
      <c r="EA50" t="str" cm="1">
        <f t="array" ref="EA50">_xlfn.XLOOKUP(TRUE, EXACT(Table28[[#This Row],[Z'' X2]], Table29[orig]), Table29[T-reflection])</f>
        <v>t</v>
      </c>
      <c r="EB50" t="str" cm="1">
        <f t="array" ref="EB50">_xlfn.XLOOKUP(TRUE, EXACT(Table28[[#This Row],[Z2 X]], Table29[orig]), Table29[T-reflection])</f>
        <v>c</v>
      </c>
      <c r="EC50" t="str" cm="1">
        <f t="array" ref="EC50">_xlfn.XLOOKUP(TRUE, EXACT(Table28[[#This Row],[Z2 X'']], Table29[orig]), Table29[T-reflection])</f>
        <v>w</v>
      </c>
    </row>
    <row r="51" spans="1:164" x14ac:dyDescent="0.2">
      <c r="B51" t="s">
        <v>67</v>
      </c>
      <c r="C51" t="s">
        <v>67</v>
      </c>
      <c r="D51" t="s">
        <v>34</v>
      </c>
      <c r="E51" t="s">
        <v>47</v>
      </c>
      <c r="F51" t="s">
        <v>86</v>
      </c>
      <c r="G51" t="s">
        <v>44</v>
      </c>
      <c r="H51" t="s">
        <v>67</v>
      </c>
      <c r="I51" t="s">
        <v>80</v>
      </c>
      <c r="J51" t="s">
        <v>34</v>
      </c>
      <c r="K51" t="s">
        <v>67</v>
      </c>
      <c r="L51" t="s">
        <v>86</v>
      </c>
      <c r="O51" t="s">
        <v>67</v>
      </c>
      <c r="P51" t="str">
        <f>Table27[[#This Row],[orig]]</f>
        <v>j</v>
      </c>
      <c r="Q51" t="str">
        <f>Table29[[#This Row],[X]]</f>
        <v>b</v>
      </c>
      <c r="R51" t="str" cm="1">
        <f t="array" ref="R51">_xlfn.XLOOKUP(TRUE, EXACT(Table27[[#This Row],[X]], Table27[orig]), Table27[X])</f>
        <v>t</v>
      </c>
      <c r="S51" t="str" cm="1">
        <f t="array" ref="S51">_xlfn.XLOOKUP(TRUE, EXACT(Table27[[#This Row],[X2]], Table27[orig]), Table27[X])</f>
        <v>v</v>
      </c>
      <c r="T51" t="str">
        <f>Table29[[#This Row],[Y]]</f>
        <v>f</v>
      </c>
      <c r="U51" t="str" cm="1">
        <f t="array" ref="U51">_xlfn.XLOOKUP(TRUE, EXACT(Table27[[#This Row],[Y]], Table27[orig]), Table27[Y])</f>
        <v>r</v>
      </c>
      <c r="V51" t="str" cm="1">
        <f t="array" ref="V51">_xlfn.XLOOKUP(TRUE, EXACT(Table27[[#This Row],[Y2]], Table27[orig]), Table27[Y])</f>
        <v>n</v>
      </c>
      <c r="W51" t="str">
        <f>Table29[[#This Row],[Z]]</f>
        <v>k</v>
      </c>
      <c r="X51" t="str" cm="1">
        <f t="array" ref="X51">_xlfn.XLOOKUP(TRUE, EXACT(Table27[[#This Row],[Z]], Table27[orig]), Table27[Z])</f>
        <v>l</v>
      </c>
      <c r="Y51" t="str" cm="1">
        <f t="array" ref="Y51">_xlfn.XLOOKUP(TRUE, EXACT(Table27[[#This Row],[Z2]], Table27[orig]), Table27[Z])</f>
        <v>i</v>
      </c>
      <c r="Z51" t="str">
        <f>Table29[[#This Row],[R]]</f>
        <v>b</v>
      </c>
      <c r="AA51" t="str" cm="1">
        <f t="array" ref="AA51">_xlfn.XLOOKUP(TRUE, EXACT(Table27[[#This Row],[R]], Table27[orig]), Table27[R])</f>
        <v>t</v>
      </c>
      <c r="AB51" t="str" cm="1">
        <f t="array" ref="AB51">_xlfn.XLOOKUP(TRUE, EXACT(Table27[[#This Row],[R2]], Table27[orig]), Table27[R])</f>
        <v>v</v>
      </c>
      <c r="AC51" t="str" cm="1">
        <f t="array" ref="AC51">_xlfn.XLOOKUP(TRUE, EXACT(_xlfn.XLOOKUP(TRUE, EXACT(Table27[[#This Row],[Y2]], Table27[orig]), Table27[R]), Table27[orig]), Table27[Y2])</f>
        <v>j</v>
      </c>
      <c r="AD51" t="str" cm="1">
        <f t="array" ref="AD51">_xlfn.XLOOKUP(TRUE, EXACT(Table27[[#This Row],[L]], Table27[orig]), Table27[L])</f>
        <v>j</v>
      </c>
      <c r="AE51" t="str" cm="1">
        <f t="array" ref="AE51">_xlfn.XLOOKUP(TRUE, EXACT(Table27[[#This Row],[L2]], Table27[orig]), Table27[L])</f>
        <v>j</v>
      </c>
      <c r="AF51" t="str" cm="1">
        <f t="array" ref="AF51">_xlfn.XLOOKUP(TRUE, EXACT(Table27[[#This Row],[r-lower]], Table27[orig]), Table27[R''])</f>
        <v>j</v>
      </c>
      <c r="AG51" t="str" cm="1">
        <f t="array" ref="AG51">_xlfn.XLOOKUP(TRUE, EXACT(Table27[[#This Row],[T]], Table27[orig]), Table27[T])</f>
        <v>j</v>
      </c>
      <c r="AH51" t="str" cm="1">
        <f t="array" ref="AH51">_xlfn.XLOOKUP(TRUE, EXACT(Table27[[#This Row],[T2]], Table27[orig]), Table27[T])</f>
        <v>j</v>
      </c>
      <c r="AI51" t="str" cm="1">
        <f t="array" ref="AI51">_xlfn.XLOOKUP(TRUE, EXACT(Table27[[#This Row],[X]], Table27[orig]), Table27[L])</f>
        <v>b</v>
      </c>
      <c r="AJ51" t="str" cm="1">
        <f t="array" ref="AJ51">_xlfn.XLOOKUP(TRUE, EXACT(Table27[[#This Row],[r-lower]], Table27[orig]), Table27[r-lower])</f>
        <v>t</v>
      </c>
      <c r="AK51" t="str" cm="1">
        <f t="array" ref="AK51">_xlfn.XLOOKUP(TRUE, EXACT(Table27[[#This Row],[r2-lower]], Table27[orig]), Table27[r-lower])</f>
        <v>v</v>
      </c>
      <c r="AL51" t="str" cm="1">
        <f t="array" ref="AL51">_xlfn.XLOOKUP(TRUE, EXACT(Table27[[#This Row],[X'']], Table27[orig]), Table27[R])</f>
        <v>j</v>
      </c>
      <c r="AM51" t="str" cm="1">
        <f t="array" ref="AM51">_xlfn.XLOOKUP(TRUE, EXACT(Table27[[#This Row],[l-lower]], Table27[orig]), Table27[l-lower])</f>
        <v>j</v>
      </c>
      <c r="AN51" t="str" cm="1">
        <f t="array" ref="AN51">_xlfn.XLOOKUP(TRUE, EXACT(Table27[[#This Row],[l2-lower]], Table27[orig]), Table27[l-lower])</f>
        <v>j</v>
      </c>
      <c r="AO51" t="str" cm="1">
        <f t="array" ref="AO51">_xlfn.XLOOKUP(TRUE, EXACT(Table27[[#This Row],[R]], Table27[orig]), Table27[L''])</f>
        <v>b</v>
      </c>
      <c r="AP51" t="str" cm="1">
        <f t="array" ref="AP51">_xlfn.XLOOKUP(TRUE, EXACT(Table27[[#This Row],[RL'']], Table27[orig]), Table27[RL''])</f>
        <v>t</v>
      </c>
      <c r="AQ51" t="str" cm="1">
        <f t="array" ref="AQ51">_xlfn.XLOOKUP(TRUE, EXACT(Table27[[#This Row],[R2L2]], Table27[orig]), Table27[RL''])</f>
        <v>v</v>
      </c>
      <c r="AR51" t="str">
        <f>Table29[[#This Row],[U]]</f>
        <v>j</v>
      </c>
      <c r="AS51" t="str" cm="1">
        <f t="array" ref="AS51">_xlfn.XLOOKUP(TRUE, EXACT(Table27[[#This Row],[U]], Table27[orig]), Table27[U])</f>
        <v>j</v>
      </c>
      <c r="AT51" t="str" cm="1">
        <f t="array" ref="AT51">_xlfn.XLOOKUP(TRUE, EXACT(Table27[[#This Row],[U2]], Table27[orig]), Table27[U])</f>
        <v>j</v>
      </c>
      <c r="AU51" t="str" cm="1">
        <f t="array" ref="AU51">_xlfn.XLOOKUP(TRUE, EXACT(_xlfn.XLOOKUP(TRUE, EXACT(Table27[[#This Row],[Z2]], Table27[orig]), Table27[U]), Table27[orig]), Table27[Z2])</f>
        <v>j</v>
      </c>
      <c r="AV51" t="str" cm="1">
        <f t="array" ref="AV51">_xlfn.XLOOKUP(TRUE, EXACT(Table27[[#This Row],[D]], Table27[orig]), Table27[D])</f>
        <v>j</v>
      </c>
      <c r="AW51" t="str" cm="1">
        <f t="array" ref="AW51">_xlfn.XLOOKUP(TRUE, EXACT(Table27[[#This Row],[D2]], Table27[orig]), Table27[D])</f>
        <v>j</v>
      </c>
      <c r="AX51" t="str" cm="1">
        <f t="array" ref="AX51">_xlfn.XLOOKUP(TRUE, EXACT(Table27[[#This Row],[u-lower]], Table27[orig]), Table27[U''])</f>
        <v>f</v>
      </c>
      <c r="AY51" t="str" cm="1">
        <f t="array" ref="AY51">_xlfn.XLOOKUP(TRUE, EXACT(Table27[[#This Row],[H]], Table27[orig]), Table27[H])</f>
        <v>r</v>
      </c>
      <c r="AZ51" t="str" cm="1">
        <f t="array" ref="AZ51">_xlfn.XLOOKUP(TRUE, EXACT(Table27[[#This Row],[H2]], Table27[orig]), Table27[H])</f>
        <v>n</v>
      </c>
      <c r="BA51" t="str" cm="1">
        <f t="array" ref="BA51">_xlfn.XLOOKUP(TRUE, EXACT(Table27[[#This Row],[Y]], Table27[orig]), Table27[D])</f>
        <v>f</v>
      </c>
      <c r="BB51" t="str" cm="1">
        <f t="array" ref="BB51">_xlfn.XLOOKUP(TRUE, EXACT(Table27[[#This Row],[u-lower]], Table27[orig]), Table27[u-lower])</f>
        <v>r</v>
      </c>
      <c r="BC51" t="str" cm="1">
        <f t="array" ref="BC51">_xlfn.XLOOKUP(TRUE, EXACT(Table27[[#This Row],[u2-lower]], Table27[orig]), Table27[u-lower])</f>
        <v>n</v>
      </c>
      <c r="BD51" t="str" cm="1">
        <f t="array" ref="BD51">_xlfn.XLOOKUP(TRUE, EXACT(Table27[[#This Row],[Y'']], Table27[orig]), Table27[U])</f>
        <v>n</v>
      </c>
      <c r="BE51" t="str" cm="1">
        <f t="array" ref="BE51">_xlfn.XLOOKUP(TRUE, EXACT(Table27[[#This Row],[d-lower]], Table27[orig]), Table27[d-lower])</f>
        <v>r</v>
      </c>
      <c r="BF51" t="str" cm="1">
        <f t="array" ref="BF51">_xlfn.XLOOKUP(TRUE, EXACT(Table27[[#This Row],[d2-lower]], Table27[orig]), Table27[d-lower])</f>
        <v>f</v>
      </c>
      <c r="BG51" t="str" cm="1">
        <f t="array" ref="BG51">_xlfn.XLOOKUP(TRUE, EXACT(Table27[[#This Row],[U]], Table27[orig]), Table27[D''])</f>
        <v>j</v>
      </c>
      <c r="BH51" t="str" cm="1">
        <f t="array" ref="BH51">_xlfn.XLOOKUP(TRUE, EXACT(Table27[[#This Row],[UD'']], Table27[orig]), Table27[UD''])</f>
        <v>j</v>
      </c>
      <c r="BI51" t="str" cm="1">
        <f t="array" ref="BI51">_xlfn.XLOOKUP(TRUE, EXACT(Table27[[#This Row],[U2D2]], Table27[orig]), Table27[UD''])</f>
        <v>j</v>
      </c>
      <c r="BJ51" t="str">
        <f>Table29[[#This Row],[F]]</f>
        <v>k</v>
      </c>
      <c r="BK51" t="str" cm="1">
        <f t="array" ref="BK51">_xlfn.XLOOKUP(TRUE, EXACT(Table27[[#This Row],[F]], Table27[orig]), Table27[F])</f>
        <v>l</v>
      </c>
      <c r="BL51" t="str" cm="1">
        <f t="array" ref="BL51">_xlfn.XLOOKUP(TRUE, EXACT(Table27[[#This Row],[F2]], Table27[orig]), Table27[F])</f>
        <v>i</v>
      </c>
      <c r="BM51" t="str" cm="1">
        <f t="array" ref="BM51">_xlfn.XLOOKUP(TRUE, EXACT(_xlfn.XLOOKUP(TRUE, EXACT(Table27[[#This Row],[X2]], Table27[orig]), Table27[F]), Table27[orig]), Table27[X2])</f>
        <v>j</v>
      </c>
      <c r="BN51" t="str" cm="1">
        <f t="array" ref="BN51">_xlfn.XLOOKUP(TRUE, EXACT(Table27[[#This Row],[B]], Table27[orig]), Table27[B])</f>
        <v>j</v>
      </c>
      <c r="BO51" t="str" cm="1">
        <f t="array" ref="BO51">_xlfn.XLOOKUP(TRUE, EXACT(Table27[[#This Row],[B2]], Table27[orig]), Table27[B])</f>
        <v>j</v>
      </c>
      <c r="BP51" t="str" cm="1">
        <f t="array" ref="BP51">_xlfn.XLOOKUP(TRUE, EXACT(Table27[[#This Row],[f-lower]], Table27[orig]), Table27[F''])</f>
        <v>j</v>
      </c>
      <c r="BQ51" t="str" cm="1">
        <f t="array" ref="BQ51">_xlfn.XLOOKUP(TRUE, EXACT(Table27[[#This Row],[S]], Table27[orig]), Table27[S])</f>
        <v>j</v>
      </c>
      <c r="BR51" t="str" cm="1">
        <f t="array" ref="BR51">_xlfn.XLOOKUP(TRUE, EXACT(Table27[[#This Row],[S2]], Table27[orig]), Table27[S])</f>
        <v>j</v>
      </c>
      <c r="BS51" t="str" cm="1">
        <f t="array" ref="BS51">_xlfn.XLOOKUP(TRUE, EXACT(Table27[[#This Row],[Z]], Table27[orig]), Table27[B])</f>
        <v>k</v>
      </c>
      <c r="BT51" t="str" cm="1">
        <f t="array" ref="BT51">_xlfn.XLOOKUP(TRUE, EXACT(Table27[[#This Row],[f-lower]], Table27[orig]), Table27[f-lower])</f>
        <v>l</v>
      </c>
      <c r="BU51" t="str" cm="1">
        <f t="array" ref="BU51">_xlfn.XLOOKUP(TRUE, EXACT(Table27[[#This Row],[f2-lower]], Table27[orig]), Table27[f-lower])</f>
        <v>i</v>
      </c>
      <c r="BV51" t="str" cm="1">
        <f t="array" ref="BV51">_xlfn.XLOOKUP(TRUE, EXACT(Table27[[#This Row],[Z'']], Table27[orig]), Table27[F])</f>
        <v>j</v>
      </c>
      <c r="BW51" t="str" cm="1">
        <f t="array" ref="BW51">_xlfn.XLOOKUP(TRUE, EXACT(Table27[[#This Row],[b-lower]], Table27[orig]), Table27[b-lower])</f>
        <v>j</v>
      </c>
      <c r="BX51" t="str" cm="1">
        <f t="array" ref="BX51">_xlfn.XLOOKUP(TRUE, EXACT(Table27[[#This Row],[b2-lower]], Table27[orig]), Table27[b-lower])</f>
        <v>j</v>
      </c>
      <c r="BY51" t="str" cm="1">
        <f t="array" ref="BY51">_xlfn.XLOOKUP(TRUE, EXACT(Table27[[#This Row],[F]], Table27[orig]), Table27[B''])</f>
        <v>k</v>
      </c>
      <c r="BZ51" t="str" cm="1">
        <f t="array" ref="BZ51">_xlfn.XLOOKUP(TRUE, EXACT(Table27[[#This Row],[FB'']], Table27[orig]), Table27[FB''])</f>
        <v>l</v>
      </c>
      <c r="CA51" t="str" cm="1">
        <f t="array" ref="CA51">_xlfn.XLOOKUP(TRUE, EXACT(Table27[[#This Row],[F2B2]], Table27[orig]), Table27[FB''])</f>
        <v>i</v>
      </c>
      <c r="CD51" t="s">
        <v>67</v>
      </c>
      <c r="CE51" t="str">
        <f>Table28[[#This Row],[orig]]</f>
        <v>j</v>
      </c>
      <c r="CF51" t="str">
        <f>Table29[[#This Row],[X]]</f>
        <v>b</v>
      </c>
      <c r="CG51" t="str" cm="1">
        <f t="array" ref="CG51">_xlfn.XLOOKUP(TRUE, EXACT(Table28[[#This Row],[X]], Table28[orig]), Table28[X])</f>
        <v>t</v>
      </c>
      <c r="CH51" t="str" cm="1">
        <f t="array" ref="CH51">_xlfn.XLOOKUP(TRUE, EXACT(Table28[[#This Row],[X2]], Table28[orig]), Table28[X])</f>
        <v>v</v>
      </c>
      <c r="CI51" t="str">
        <f>Table29[[#This Row],[Y]]</f>
        <v>f</v>
      </c>
      <c r="CJ51" t="str" cm="1">
        <f t="array" ref="CJ51">_xlfn.XLOOKUP(TRUE, EXACT(Table28[[#This Row],[Y]], Table28[orig]), Table28[Y])</f>
        <v>r</v>
      </c>
      <c r="CK51" t="str" cm="1">
        <f t="array" ref="CK51">_xlfn.XLOOKUP(TRUE, EXACT(Table28[[#This Row],[Y2]], Table28[orig]), Table28[Y])</f>
        <v>n</v>
      </c>
      <c r="CL51" t="str">
        <f>Table29[[#This Row],[Z]]</f>
        <v>k</v>
      </c>
      <c r="CM51" t="str" cm="1">
        <f t="array" ref="CM51">_xlfn.XLOOKUP(TRUE, EXACT(Table28[[#This Row],[Z]], Table28[orig]), Table28[Z])</f>
        <v>l</v>
      </c>
      <c r="CN51" t="str" cm="1">
        <f t="array" ref="CN51">_xlfn.XLOOKUP(TRUE, EXACT(Table28[[#This Row],[Z2]], Table28[orig]), Table28[Z])</f>
        <v>i</v>
      </c>
      <c r="CO51" t="str" cm="1">
        <f t="array" ref="CO51">_xlfn.XLOOKUP(TRUE, EXACT(Table28[[#This Row],[Z]], Table28[orig]), Table28[X])</f>
        <v>c</v>
      </c>
      <c r="CP51" t="str" cm="1">
        <f t="array" ref="CP51">_xlfn.XLOOKUP(TRUE, EXACT(Table28[[#This Row],[Y'']], Table28[orig]), Table28[X''])</f>
        <v>m</v>
      </c>
      <c r="CQ51" t="str" cm="1">
        <f t="array" ref="CQ51">_xlfn.XLOOKUP(TRUE, EXACT(Table28[[#This Row],[Y]], Table28[orig]), Table28[X''])</f>
        <v>g</v>
      </c>
      <c r="CR51" t="str" cm="1">
        <f t="array" ref="CR51">_xlfn.XLOOKUP(TRUE, EXACT(Table28[[#This Row],[Z'']], Table28[orig]), Table28[X])</f>
        <v>a</v>
      </c>
      <c r="CS51" t="str" cm="1">
        <f t="array" ref="CS51">_xlfn.XLOOKUP(TRUE, EXACT(Table28[[#This Row],[Z'']], Table28[orig]), Table28[X''])</f>
        <v>u</v>
      </c>
      <c r="CT51" t="str" cm="1">
        <f t="array" ref="CT51">_xlfn.XLOOKUP(TRUE, EXACT(Table28[[#This Row],[Y'']], Table28[orig]), Table28[X])</f>
        <v>o</v>
      </c>
      <c r="CU51" t="str" cm="1">
        <f t="array" ref="CU51">_xlfn.XLOOKUP(TRUE, EXACT(Table28[[#This Row],[Y]], Table28[orig]), Table28[X])</f>
        <v>e</v>
      </c>
      <c r="CV51" t="str" cm="1">
        <f t="array" ref="CV51">_xlfn.XLOOKUP(TRUE, EXACT(Table28[[#This Row],[Z]], Table28[orig]), Table28[X''])</f>
        <v>w</v>
      </c>
      <c r="CW51" t="str" cm="1">
        <f t="array" ref="CW51">_xlfn.XLOOKUP(TRUE, EXACT(Table28[[#This Row],[Y'']], Table28[orig]), Table28[X2])</f>
        <v>p</v>
      </c>
      <c r="CX51" t="str" cm="1">
        <f t="array" ref="CX51">_xlfn.XLOOKUP(TRUE, EXACT(Table28[[#This Row],[Y]], Table28[orig]), Table28[X2])</f>
        <v>h</v>
      </c>
      <c r="CY51" t="str" cm="1">
        <f t="array" ref="CY51">_xlfn.XLOOKUP(TRUE, EXACT(Table28[[#This Row],[Z]], Table28[orig]), Table28[X2])</f>
        <v>q</v>
      </c>
      <c r="CZ51" t="str" cm="1">
        <f t="array" ref="CZ51">_xlfn.XLOOKUP(TRUE, EXACT(Table28[[#This Row],[Z'']], Table28[orig]), Table28[X2])</f>
        <v>s</v>
      </c>
      <c r="DA51" t="str" cm="1">
        <f t="array" ref="DA51">_xlfn.XLOOKUP(TRUE, EXACT(Table28[[#This Row],[Z2]], Table28[orig]), Table28[X])</f>
        <v>d</v>
      </c>
      <c r="DB51" t="str" cm="1">
        <f t="array" ref="DB51">_xlfn.XLOOKUP(TRUE, EXACT(Table28[[#This Row],[Z2]], Table28[orig]), Table28[X''])</f>
        <v>x</v>
      </c>
      <c r="DE51" s="4" t="s">
        <v>67</v>
      </c>
      <c r="DF51" s="4" t="str" cm="1">
        <f t="array" ref="DF51">_xlfn.XLOOKUP(TRUE, EXACT(Table28[[#This Row],[I]], Table29[orig]), Table29[T-reflection])</f>
        <v>l</v>
      </c>
      <c r="DG51" s="4" t="str" cm="1">
        <f t="array" ref="DG51">_xlfn.XLOOKUP(TRUE, EXACT(Table28[[#This Row],[X]], Table29[orig]), Table29[T-reflection])</f>
        <v>d</v>
      </c>
      <c r="DH51" t="str" cm="1">
        <f t="array" ref="DH51">_xlfn.XLOOKUP(TRUE, EXACT(Table28[[#This Row],[X2]], Table29[orig]), Table29[T-reflection])</f>
        <v>r</v>
      </c>
      <c r="DI51" t="str" cm="1">
        <f t="array" ref="DI51">_xlfn.XLOOKUP(TRUE, EXACT(Table28[[#This Row],[X'']], Table29[orig]), Table29[T-reflection])</f>
        <v>x</v>
      </c>
      <c r="DJ51" s="4" t="str" cm="1">
        <f t="array" ref="DJ51">_xlfn.XLOOKUP(TRUE, EXACT(Table28[[#This Row],[Y]], Table29[orig]), Table29[T-reflection])</f>
        <v>p</v>
      </c>
      <c r="DK51" t="str" cm="1">
        <f t="array" ref="DK51">_xlfn.XLOOKUP(TRUE, EXACT(Table28[[#This Row],[Y2]], Table29[orig]), Table29[T-reflection])</f>
        <v>t</v>
      </c>
      <c r="DL51" t="str" cm="1">
        <f t="array" ref="DL51">_xlfn.XLOOKUP(TRUE, EXACT(Table28[[#This Row],[Y'']], Table29[orig]), Table29[T-reflection])</f>
        <v>h</v>
      </c>
      <c r="DM51" s="4" t="str" cm="1">
        <f t="array" ref="DM51">_xlfn.XLOOKUP(TRUE, EXACT(Table28[[#This Row],[Z]], Table29[orig]), Table29[T-reflection])</f>
        <v>k</v>
      </c>
      <c r="DN51" t="str" cm="1">
        <f t="array" ref="DN51">_xlfn.XLOOKUP(TRUE, EXACT(Table28[[#This Row],[Z2]], Table29[orig]), Table29[T-reflection])</f>
        <v>j</v>
      </c>
      <c r="DO51" t="str" cm="1">
        <f t="array" ref="DO51">_xlfn.XLOOKUP(TRUE, EXACT(Table28[[#This Row],[Z'']], Table29[orig]), Table29[T-reflection])</f>
        <v>i</v>
      </c>
      <c r="DP51" t="str" cm="1">
        <f t="array" ref="DP51">_xlfn.XLOOKUP(TRUE, EXACT(Table28[[#This Row],[Z X]], Table29[orig]), Table29[T-reflection])</f>
        <v>c</v>
      </c>
      <c r="DQ51" t="str" cm="1">
        <f t="array" ref="DQ51">_xlfn.XLOOKUP(TRUE, EXACT(Table28[[#This Row],[Y'' X'']], Table29[orig]), Table29[T-reflection])</f>
        <v>e</v>
      </c>
      <c r="DR51" t="str" cm="1">
        <f t="array" ref="DR51">_xlfn.XLOOKUP(TRUE, EXACT(Table28[[#This Row],[Y X'']], Table29[orig]), Table29[T-reflection])</f>
        <v>o</v>
      </c>
      <c r="DS51" t="str" cm="1">
        <f t="array" ref="DS51">_xlfn.XLOOKUP(TRUE, EXACT(Table28[[#This Row],[Z'' X]], Table29[orig]), Table29[T-reflection])</f>
        <v>a</v>
      </c>
      <c r="DT51" t="str" cm="1">
        <f t="array" ref="DT51">_xlfn.XLOOKUP(TRUE, EXACT(Table28[[#This Row],[Z'' X'']], Table29[orig]), Table29[T-reflection])</f>
        <v>u</v>
      </c>
      <c r="DU51" t="str" cm="1">
        <f t="array" ref="DU51">_xlfn.XLOOKUP(TRUE, EXACT(Table28[[#This Row],[Y'' X]], Table29[orig]), Table29[T-reflection])</f>
        <v>g</v>
      </c>
      <c r="DV51" t="str" cm="1">
        <f t="array" ref="DV51">_xlfn.XLOOKUP(TRUE, EXACT(Table28[[#This Row],[Y X]], Table29[orig]), Table29[T-reflection])</f>
        <v>m</v>
      </c>
      <c r="DW51" t="str" cm="1">
        <f t="array" ref="DW51">_xlfn.XLOOKUP(TRUE, EXACT(Table28[[#This Row],[Z X'']], Table29[orig]), Table29[T-reflection])</f>
        <v>w</v>
      </c>
      <c r="DX51" t="str" cm="1">
        <f t="array" ref="DX51">_xlfn.XLOOKUP(TRUE, EXACT(Table28[[#This Row],[Y'' X2]], Table29[orig]), Table29[T-reflection])</f>
        <v>f</v>
      </c>
      <c r="DY51" t="str" cm="1">
        <f t="array" ref="DY51">_xlfn.XLOOKUP(TRUE, EXACT(Table28[[#This Row],[Y X2]], Table29[orig]), Table29[T-reflection])</f>
        <v>n</v>
      </c>
      <c r="DZ51" t="str" cm="1">
        <f t="array" ref="DZ51">_xlfn.XLOOKUP(TRUE, EXACT(Table28[[#This Row],[Z X2]], Table29[orig]), Table29[T-reflection])</f>
        <v>q</v>
      </c>
      <c r="EA51" t="str" cm="1">
        <f t="array" ref="EA51">_xlfn.XLOOKUP(TRUE, EXACT(Table28[[#This Row],[Z'' X2]], Table29[orig]), Table29[T-reflection])</f>
        <v>s</v>
      </c>
      <c r="EB51" t="str" cm="1">
        <f t="array" ref="EB51">_xlfn.XLOOKUP(TRUE, EXACT(Table28[[#This Row],[Z2 X]], Table29[orig]), Table29[T-reflection])</f>
        <v>b</v>
      </c>
      <c r="EC51" t="str" cm="1">
        <f t="array" ref="EC51">_xlfn.XLOOKUP(TRUE, EXACT(Table28[[#This Row],[Z2 X'']], Table29[orig]), Table29[T-reflection])</f>
        <v>v</v>
      </c>
    </row>
    <row r="52" spans="1:164" x14ac:dyDescent="0.2">
      <c r="B52" t="s">
        <v>86</v>
      </c>
      <c r="C52" t="s">
        <v>86</v>
      </c>
      <c r="D52" t="s">
        <v>35</v>
      </c>
      <c r="E52" t="s">
        <v>60</v>
      </c>
      <c r="F52" t="s">
        <v>44</v>
      </c>
      <c r="G52" t="s">
        <v>86</v>
      </c>
      <c r="H52" t="s">
        <v>132</v>
      </c>
      <c r="I52" t="s">
        <v>136</v>
      </c>
      <c r="J52" t="s">
        <v>86</v>
      </c>
      <c r="K52" t="s">
        <v>86</v>
      </c>
      <c r="L52" t="s">
        <v>44</v>
      </c>
      <c r="O52" t="s">
        <v>86</v>
      </c>
      <c r="P52" t="str">
        <f>Table27[[#This Row],[orig]]</f>
        <v>k</v>
      </c>
      <c r="Q52" t="str">
        <f>Table29[[#This Row],[X]]</f>
        <v>c</v>
      </c>
      <c r="R52" t="str" cm="1">
        <f t="array" ref="R52">_xlfn.XLOOKUP(TRUE, EXACT(Table27[[#This Row],[X]], Table27[orig]), Table27[X])</f>
        <v>q</v>
      </c>
      <c r="S52" t="str" cm="1">
        <f t="array" ref="S52">_xlfn.XLOOKUP(TRUE, EXACT(Table27[[#This Row],[X2]], Table27[orig]), Table27[X])</f>
        <v>w</v>
      </c>
      <c r="T52" t="str">
        <f>Table29[[#This Row],[Y]]</f>
        <v>g</v>
      </c>
      <c r="U52" t="str" cm="1">
        <f t="array" ref="U52">_xlfn.XLOOKUP(TRUE, EXACT(Table27[[#This Row],[Y]], Table27[orig]), Table27[Y])</f>
        <v>s</v>
      </c>
      <c r="V52" t="str" cm="1">
        <f t="array" ref="V52">_xlfn.XLOOKUP(TRUE, EXACT(Table27[[#This Row],[Y2]], Table27[orig]), Table27[Y])</f>
        <v>o</v>
      </c>
      <c r="W52" t="str">
        <f>Table29[[#This Row],[Z]]</f>
        <v>l</v>
      </c>
      <c r="X52" t="str" cm="1">
        <f t="array" ref="X52">_xlfn.XLOOKUP(TRUE, EXACT(Table27[[#This Row],[Z]], Table27[orig]), Table27[Z])</f>
        <v>i</v>
      </c>
      <c r="Y52" t="str" cm="1">
        <f t="array" ref="Y52">_xlfn.XLOOKUP(TRUE, EXACT(Table27[[#This Row],[Z2]], Table27[orig]), Table27[Z])</f>
        <v>j</v>
      </c>
      <c r="Z52" t="str">
        <f>Table29[[#This Row],[R]]</f>
        <v>k</v>
      </c>
      <c r="AA52" t="str" cm="1">
        <f t="array" ref="AA52">_xlfn.XLOOKUP(TRUE, EXACT(Table27[[#This Row],[R]], Table27[orig]), Table27[R])</f>
        <v>k</v>
      </c>
      <c r="AB52" t="str" cm="1">
        <f t="array" ref="AB52">_xlfn.XLOOKUP(TRUE, EXACT(Table27[[#This Row],[R2]], Table27[orig]), Table27[R])</f>
        <v>k</v>
      </c>
      <c r="AC52" t="str" cm="1">
        <f t="array" ref="AC52">_xlfn.XLOOKUP(TRUE, EXACT(_xlfn.XLOOKUP(TRUE, EXACT(Table27[[#This Row],[Y2]], Table27[orig]), Table27[R]), Table27[orig]), Table27[Y2])</f>
        <v>k</v>
      </c>
      <c r="AD52" t="str" cm="1">
        <f t="array" ref="AD52">_xlfn.XLOOKUP(TRUE, EXACT(Table27[[#This Row],[L]], Table27[orig]), Table27[L])</f>
        <v>k</v>
      </c>
      <c r="AE52" t="str" cm="1">
        <f t="array" ref="AE52">_xlfn.XLOOKUP(TRUE, EXACT(Table27[[#This Row],[L2]], Table27[orig]), Table27[L])</f>
        <v>k</v>
      </c>
      <c r="AF52" t="str" cm="1">
        <f t="array" ref="AF52">_xlfn.XLOOKUP(TRUE, EXACT(Table27[[#This Row],[r-lower]], Table27[orig]), Table27[R''])</f>
        <v>c</v>
      </c>
      <c r="AG52" t="str" cm="1">
        <f t="array" ref="AG52">_xlfn.XLOOKUP(TRUE, EXACT(Table27[[#This Row],[T]], Table27[orig]), Table27[T])</f>
        <v>q</v>
      </c>
      <c r="AH52" t="str" cm="1">
        <f t="array" ref="AH52">_xlfn.XLOOKUP(TRUE, EXACT(Table27[[#This Row],[T2]], Table27[orig]), Table27[T])</f>
        <v>w</v>
      </c>
      <c r="AI52" t="str" cm="1">
        <f t="array" ref="AI52">_xlfn.XLOOKUP(TRUE, EXACT(Table27[[#This Row],[X]], Table27[orig]), Table27[L])</f>
        <v>c</v>
      </c>
      <c r="AJ52" t="str" cm="1">
        <f t="array" ref="AJ52">_xlfn.XLOOKUP(TRUE, EXACT(Table27[[#This Row],[r-lower]], Table27[orig]), Table27[r-lower])</f>
        <v>q</v>
      </c>
      <c r="AK52" t="str" cm="1">
        <f t="array" ref="AK52">_xlfn.XLOOKUP(TRUE, EXACT(Table27[[#This Row],[r2-lower]], Table27[orig]), Table27[r-lower])</f>
        <v>w</v>
      </c>
      <c r="AL52" t="str" cm="1">
        <f t="array" ref="AL52">_xlfn.XLOOKUP(TRUE, EXACT(Table27[[#This Row],[X'']], Table27[orig]), Table27[R])</f>
        <v>w</v>
      </c>
      <c r="AM52" t="str" cm="1">
        <f t="array" ref="AM52">_xlfn.XLOOKUP(TRUE, EXACT(Table27[[#This Row],[l-lower]], Table27[orig]), Table27[l-lower])</f>
        <v>q</v>
      </c>
      <c r="AN52" t="str" cm="1">
        <f t="array" ref="AN52">_xlfn.XLOOKUP(TRUE, EXACT(Table27[[#This Row],[l2-lower]], Table27[orig]), Table27[l-lower])</f>
        <v>c</v>
      </c>
      <c r="AO52" t="str" cm="1">
        <f t="array" ref="AO52">_xlfn.XLOOKUP(TRUE, EXACT(Table27[[#This Row],[R]], Table27[orig]), Table27[L''])</f>
        <v>k</v>
      </c>
      <c r="AP52" t="str" cm="1">
        <f t="array" ref="AP52">_xlfn.XLOOKUP(TRUE, EXACT(Table27[[#This Row],[RL'']], Table27[orig]), Table27[RL''])</f>
        <v>k</v>
      </c>
      <c r="AQ52" t="str" cm="1">
        <f t="array" ref="AQ52">_xlfn.XLOOKUP(TRUE, EXACT(Table27[[#This Row],[R2L2]], Table27[orig]), Table27[RL''])</f>
        <v>k</v>
      </c>
      <c r="AR52" t="str">
        <f>Table29[[#This Row],[U]]</f>
        <v>k</v>
      </c>
      <c r="AS52" t="str" cm="1">
        <f t="array" ref="AS52">_xlfn.XLOOKUP(TRUE, EXACT(Table27[[#This Row],[U]], Table27[orig]), Table27[U])</f>
        <v>k</v>
      </c>
      <c r="AT52" t="str" cm="1">
        <f t="array" ref="AT52">_xlfn.XLOOKUP(TRUE, EXACT(Table27[[#This Row],[U2]], Table27[orig]), Table27[U])</f>
        <v>k</v>
      </c>
      <c r="AU52" t="str" cm="1">
        <f t="array" ref="AU52">_xlfn.XLOOKUP(TRUE, EXACT(_xlfn.XLOOKUP(TRUE, EXACT(Table27[[#This Row],[Z2]], Table27[orig]), Table27[U]), Table27[orig]), Table27[Z2])</f>
        <v>o</v>
      </c>
      <c r="AV52" t="str" cm="1">
        <f t="array" ref="AV52">_xlfn.XLOOKUP(TRUE, EXACT(Table27[[#This Row],[D]], Table27[orig]), Table27[D])</f>
        <v>s</v>
      </c>
      <c r="AW52" t="str" cm="1">
        <f t="array" ref="AW52">_xlfn.XLOOKUP(TRUE, EXACT(Table27[[#This Row],[D2]], Table27[orig]), Table27[D])</f>
        <v>g</v>
      </c>
      <c r="AX52" t="str" cm="1">
        <f t="array" ref="AX52">_xlfn.XLOOKUP(TRUE, EXACT(Table27[[#This Row],[u-lower]], Table27[orig]), Table27[U''])</f>
        <v>k</v>
      </c>
      <c r="AY52" t="str" cm="1">
        <f t="array" ref="AY52">_xlfn.XLOOKUP(TRUE, EXACT(Table27[[#This Row],[H]], Table27[orig]), Table27[H])</f>
        <v>k</v>
      </c>
      <c r="AZ52" t="str" cm="1">
        <f t="array" ref="AZ52">_xlfn.XLOOKUP(TRUE, EXACT(Table27[[#This Row],[H2]], Table27[orig]), Table27[H])</f>
        <v>k</v>
      </c>
      <c r="BA52" t="str" cm="1">
        <f t="array" ref="BA52">_xlfn.XLOOKUP(TRUE, EXACT(Table27[[#This Row],[Y]], Table27[orig]), Table27[D])</f>
        <v>k</v>
      </c>
      <c r="BB52" t="str" cm="1">
        <f t="array" ref="BB52">_xlfn.XLOOKUP(TRUE, EXACT(Table27[[#This Row],[u-lower]], Table27[orig]), Table27[u-lower])</f>
        <v>k</v>
      </c>
      <c r="BC52" t="str" cm="1">
        <f t="array" ref="BC52">_xlfn.XLOOKUP(TRUE, EXACT(Table27[[#This Row],[u2-lower]], Table27[orig]), Table27[u-lower])</f>
        <v>k</v>
      </c>
      <c r="BD52" t="str" cm="1">
        <f t="array" ref="BD52">_xlfn.XLOOKUP(TRUE, EXACT(Table27[[#This Row],[Y'']], Table27[orig]), Table27[U])</f>
        <v>o</v>
      </c>
      <c r="BE52" t="str" cm="1">
        <f t="array" ref="BE52">_xlfn.XLOOKUP(TRUE, EXACT(Table27[[#This Row],[d-lower]], Table27[orig]), Table27[d-lower])</f>
        <v>s</v>
      </c>
      <c r="BF52" t="str" cm="1">
        <f t="array" ref="BF52">_xlfn.XLOOKUP(TRUE, EXACT(Table27[[#This Row],[d2-lower]], Table27[orig]), Table27[d-lower])</f>
        <v>g</v>
      </c>
      <c r="BG52" t="str" cm="1">
        <f t="array" ref="BG52">_xlfn.XLOOKUP(TRUE, EXACT(Table27[[#This Row],[U]], Table27[orig]), Table27[D''])</f>
        <v>g</v>
      </c>
      <c r="BH52" t="str" cm="1">
        <f t="array" ref="BH52">_xlfn.XLOOKUP(TRUE, EXACT(Table27[[#This Row],[UD'']], Table27[orig]), Table27[UD''])</f>
        <v>s</v>
      </c>
      <c r="BI52" t="str" cm="1">
        <f t="array" ref="BI52">_xlfn.XLOOKUP(TRUE, EXACT(Table27[[#This Row],[U2D2]], Table27[orig]), Table27[UD''])</f>
        <v>o</v>
      </c>
      <c r="BJ52" t="str">
        <f>Table29[[#This Row],[F]]</f>
        <v>l</v>
      </c>
      <c r="BK52" t="str" cm="1">
        <f t="array" ref="BK52">_xlfn.XLOOKUP(TRUE, EXACT(Table27[[#This Row],[F]], Table27[orig]), Table27[F])</f>
        <v>i</v>
      </c>
      <c r="BL52" t="str" cm="1">
        <f t="array" ref="BL52">_xlfn.XLOOKUP(TRUE, EXACT(Table27[[#This Row],[F2]], Table27[orig]), Table27[F])</f>
        <v>j</v>
      </c>
      <c r="BM52" t="str" cm="1">
        <f t="array" ref="BM52">_xlfn.XLOOKUP(TRUE, EXACT(_xlfn.XLOOKUP(TRUE, EXACT(Table27[[#This Row],[X2]], Table27[orig]), Table27[F]), Table27[orig]), Table27[X2])</f>
        <v>k</v>
      </c>
      <c r="BN52" t="str" cm="1">
        <f t="array" ref="BN52">_xlfn.XLOOKUP(TRUE, EXACT(Table27[[#This Row],[B]], Table27[orig]), Table27[B])</f>
        <v>k</v>
      </c>
      <c r="BO52" t="str" cm="1">
        <f t="array" ref="BO52">_xlfn.XLOOKUP(TRUE, EXACT(Table27[[#This Row],[B2]], Table27[orig]), Table27[B])</f>
        <v>k</v>
      </c>
      <c r="BP52" t="str" cm="1">
        <f t="array" ref="BP52">_xlfn.XLOOKUP(TRUE, EXACT(Table27[[#This Row],[f-lower]], Table27[orig]), Table27[F''])</f>
        <v>k</v>
      </c>
      <c r="BQ52" t="str" cm="1">
        <f t="array" ref="BQ52">_xlfn.XLOOKUP(TRUE, EXACT(Table27[[#This Row],[S]], Table27[orig]), Table27[S])</f>
        <v>k</v>
      </c>
      <c r="BR52" t="str" cm="1">
        <f t="array" ref="BR52">_xlfn.XLOOKUP(TRUE, EXACT(Table27[[#This Row],[S2]], Table27[orig]), Table27[S])</f>
        <v>k</v>
      </c>
      <c r="BS52" t="str" cm="1">
        <f t="array" ref="BS52">_xlfn.XLOOKUP(TRUE, EXACT(Table27[[#This Row],[Z]], Table27[orig]), Table27[B])</f>
        <v>l</v>
      </c>
      <c r="BT52" t="str" cm="1">
        <f t="array" ref="BT52">_xlfn.XLOOKUP(TRUE, EXACT(Table27[[#This Row],[f-lower]], Table27[orig]), Table27[f-lower])</f>
        <v>i</v>
      </c>
      <c r="BU52" t="str" cm="1">
        <f t="array" ref="BU52">_xlfn.XLOOKUP(TRUE, EXACT(Table27[[#This Row],[f2-lower]], Table27[orig]), Table27[f-lower])</f>
        <v>j</v>
      </c>
      <c r="BV52" t="str" cm="1">
        <f t="array" ref="BV52">_xlfn.XLOOKUP(TRUE, EXACT(Table27[[#This Row],[Z'']], Table27[orig]), Table27[F])</f>
        <v>k</v>
      </c>
      <c r="BW52" t="str" cm="1">
        <f t="array" ref="BW52">_xlfn.XLOOKUP(TRUE, EXACT(Table27[[#This Row],[b-lower]], Table27[orig]), Table27[b-lower])</f>
        <v>k</v>
      </c>
      <c r="BX52" t="str" cm="1">
        <f t="array" ref="BX52">_xlfn.XLOOKUP(TRUE, EXACT(Table27[[#This Row],[b2-lower]], Table27[orig]), Table27[b-lower])</f>
        <v>k</v>
      </c>
      <c r="BY52" t="str" cm="1">
        <f t="array" ref="BY52">_xlfn.XLOOKUP(TRUE, EXACT(Table27[[#This Row],[F]], Table27[orig]), Table27[B''])</f>
        <v>l</v>
      </c>
      <c r="BZ52" t="str" cm="1">
        <f t="array" ref="BZ52">_xlfn.XLOOKUP(TRUE, EXACT(Table27[[#This Row],[FB'']], Table27[orig]), Table27[FB''])</f>
        <v>i</v>
      </c>
      <c r="CA52" t="str" cm="1">
        <f t="array" ref="CA52">_xlfn.XLOOKUP(TRUE, EXACT(Table27[[#This Row],[F2B2]], Table27[orig]), Table27[FB''])</f>
        <v>j</v>
      </c>
      <c r="CD52" t="s">
        <v>86</v>
      </c>
      <c r="CE52" t="str">
        <f>Table28[[#This Row],[orig]]</f>
        <v>k</v>
      </c>
      <c r="CF52" t="str">
        <f>Table29[[#This Row],[X]]</f>
        <v>c</v>
      </c>
      <c r="CG52" t="str" cm="1">
        <f t="array" ref="CG52">_xlfn.XLOOKUP(TRUE, EXACT(Table28[[#This Row],[X]], Table28[orig]), Table28[X])</f>
        <v>q</v>
      </c>
      <c r="CH52" t="str" cm="1">
        <f t="array" ref="CH52">_xlfn.XLOOKUP(TRUE, EXACT(Table28[[#This Row],[X2]], Table28[orig]), Table28[X])</f>
        <v>w</v>
      </c>
      <c r="CI52" t="str">
        <f>Table29[[#This Row],[Y]]</f>
        <v>g</v>
      </c>
      <c r="CJ52" t="str" cm="1">
        <f t="array" ref="CJ52">_xlfn.XLOOKUP(TRUE, EXACT(Table28[[#This Row],[Y]], Table28[orig]), Table28[Y])</f>
        <v>s</v>
      </c>
      <c r="CK52" t="str" cm="1">
        <f t="array" ref="CK52">_xlfn.XLOOKUP(TRUE, EXACT(Table28[[#This Row],[Y2]], Table28[orig]), Table28[Y])</f>
        <v>o</v>
      </c>
      <c r="CL52" t="str">
        <f>Table29[[#This Row],[Z]]</f>
        <v>l</v>
      </c>
      <c r="CM52" t="str" cm="1">
        <f t="array" ref="CM52">_xlfn.XLOOKUP(TRUE, EXACT(Table28[[#This Row],[Z]], Table28[orig]), Table28[Z])</f>
        <v>i</v>
      </c>
      <c r="CN52" t="str" cm="1">
        <f t="array" ref="CN52">_xlfn.XLOOKUP(TRUE, EXACT(Table28[[#This Row],[Z2]], Table28[orig]), Table28[Z])</f>
        <v>j</v>
      </c>
      <c r="CO52" t="str" cm="1">
        <f t="array" ref="CO52">_xlfn.XLOOKUP(TRUE, EXACT(Table28[[#This Row],[Z]], Table28[orig]), Table28[X])</f>
        <v>d</v>
      </c>
      <c r="CP52" t="str" cm="1">
        <f t="array" ref="CP52">_xlfn.XLOOKUP(TRUE, EXACT(Table28[[#This Row],[Y'']], Table28[orig]), Table28[X''])</f>
        <v>n</v>
      </c>
      <c r="CQ52" t="str" cm="1">
        <f t="array" ref="CQ52">_xlfn.XLOOKUP(TRUE, EXACT(Table28[[#This Row],[Y]], Table28[orig]), Table28[X''])</f>
        <v>h</v>
      </c>
      <c r="CR52" t="str" cm="1">
        <f t="array" ref="CR52">_xlfn.XLOOKUP(TRUE, EXACT(Table28[[#This Row],[Z'']], Table28[orig]), Table28[X])</f>
        <v>b</v>
      </c>
      <c r="CS52" t="str" cm="1">
        <f t="array" ref="CS52">_xlfn.XLOOKUP(TRUE, EXACT(Table28[[#This Row],[Z'']], Table28[orig]), Table28[X''])</f>
        <v>v</v>
      </c>
      <c r="CT52" t="str" cm="1">
        <f t="array" ref="CT52">_xlfn.XLOOKUP(TRUE, EXACT(Table28[[#This Row],[Y'']], Table28[orig]), Table28[X])</f>
        <v>p</v>
      </c>
      <c r="CU52" t="str" cm="1">
        <f t="array" ref="CU52">_xlfn.XLOOKUP(TRUE, EXACT(Table28[[#This Row],[Y]], Table28[orig]), Table28[X])</f>
        <v>f</v>
      </c>
      <c r="CV52" t="str" cm="1">
        <f t="array" ref="CV52">_xlfn.XLOOKUP(TRUE, EXACT(Table28[[#This Row],[Z]], Table28[orig]), Table28[X''])</f>
        <v>x</v>
      </c>
      <c r="CW52" t="str" cm="1">
        <f t="array" ref="CW52">_xlfn.XLOOKUP(TRUE, EXACT(Table28[[#This Row],[Y'']], Table28[orig]), Table28[X2])</f>
        <v>m</v>
      </c>
      <c r="CX52" t="str" cm="1">
        <f t="array" ref="CX52">_xlfn.XLOOKUP(TRUE, EXACT(Table28[[#This Row],[Y]], Table28[orig]), Table28[X2])</f>
        <v>e</v>
      </c>
      <c r="CY52" t="str" cm="1">
        <f t="array" ref="CY52">_xlfn.XLOOKUP(TRUE, EXACT(Table28[[#This Row],[Z]], Table28[orig]), Table28[X2])</f>
        <v>r</v>
      </c>
      <c r="CZ52" t="str" cm="1">
        <f t="array" ref="CZ52">_xlfn.XLOOKUP(TRUE, EXACT(Table28[[#This Row],[Z'']], Table28[orig]), Table28[X2])</f>
        <v>t</v>
      </c>
      <c r="DA52" t="str" cm="1">
        <f t="array" ref="DA52">_xlfn.XLOOKUP(TRUE, EXACT(Table28[[#This Row],[Z2]], Table28[orig]), Table28[X])</f>
        <v>a</v>
      </c>
      <c r="DB52" t="str" cm="1">
        <f t="array" ref="DB52">_xlfn.XLOOKUP(TRUE, EXACT(Table28[[#This Row],[Z2]], Table28[orig]), Table28[X''])</f>
        <v>u</v>
      </c>
      <c r="DE52" s="6" t="s">
        <v>86</v>
      </c>
      <c r="DF52" s="6" t="str" cm="1">
        <f t="array" ref="DF52">_xlfn.XLOOKUP(TRUE, EXACT(Table28[[#This Row],[I]], Table29[orig]), Table29[T-reflection])</f>
        <v>k</v>
      </c>
      <c r="DG52" s="6" t="str" cm="1">
        <f t="array" ref="DG52">_xlfn.XLOOKUP(TRUE, EXACT(Table28[[#This Row],[X]], Table29[orig]), Table29[T-reflection])</f>
        <v>c</v>
      </c>
      <c r="DH52" t="str" cm="1">
        <f t="array" ref="DH52">_xlfn.XLOOKUP(TRUE, EXACT(Table28[[#This Row],[X2]], Table29[orig]), Table29[T-reflection])</f>
        <v>q</v>
      </c>
      <c r="DI52" t="str" cm="1">
        <f t="array" ref="DI52">_xlfn.XLOOKUP(TRUE, EXACT(Table28[[#This Row],[X'']], Table29[orig]), Table29[T-reflection])</f>
        <v>w</v>
      </c>
      <c r="DJ52" s="6" t="str" cm="1">
        <f t="array" ref="DJ52">_xlfn.XLOOKUP(TRUE, EXACT(Table28[[#This Row],[Y]], Table29[orig]), Table29[T-reflection])</f>
        <v>o</v>
      </c>
      <c r="DK52" t="str" cm="1">
        <f t="array" ref="DK52">_xlfn.XLOOKUP(TRUE, EXACT(Table28[[#This Row],[Y2]], Table29[orig]), Table29[T-reflection])</f>
        <v>s</v>
      </c>
      <c r="DL52" t="str" cm="1">
        <f t="array" ref="DL52">_xlfn.XLOOKUP(TRUE, EXACT(Table28[[#This Row],[Y'']], Table29[orig]), Table29[T-reflection])</f>
        <v>g</v>
      </c>
      <c r="DM52" s="6" t="str" cm="1">
        <f t="array" ref="DM52">_xlfn.XLOOKUP(TRUE, EXACT(Table28[[#This Row],[Z]], Table29[orig]), Table29[T-reflection])</f>
        <v>j</v>
      </c>
      <c r="DN52" t="str" cm="1">
        <f t="array" ref="DN52">_xlfn.XLOOKUP(TRUE, EXACT(Table28[[#This Row],[Z2]], Table29[orig]), Table29[T-reflection])</f>
        <v>i</v>
      </c>
      <c r="DO52" t="str" cm="1">
        <f t="array" ref="DO52">_xlfn.XLOOKUP(TRUE, EXACT(Table28[[#This Row],[Z'']], Table29[orig]), Table29[T-reflection])</f>
        <v>l</v>
      </c>
      <c r="DP52" t="str" cm="1">
        <f t="array" ref="DP52">_xlfn.XLOOKUP(TRUE, EXACT(Table28[[#This Row],[Z X]], Table29[orig]), Table29[T-reflection])</f>
        <v>b</v>
      </c>
      <c r="DQ52" t="str" cm="1">
        <f t="array" ref="DQ52">_xlfn.XLOOKUP(TRUE, EXACT(Table28[[#This Row],[Y'' X'']], Table29[orig]), Table29[T-reflection])</f>
        <v>h</v>
      </c>
      <c r="DR52" t="str" cm="1">
        <f t="array" ref="DR52">_xlfn.XLOOKUP(TRUE, EXACT(Table28[[#This Row],[Y X'']], Table29[orig]), Table29[T-reflection])</f>
        <v>n</v>
      </c>
      <c r="DS52" t="str" cm="1">
        <f t="array" ref="DS52">_xlfn.XLOOKUP(TRUE, EXACT(Table28[[#This Row],[Z'' X]], Table29[orig]), Table29[T-reflection])</f>
        <v>d</v>
      </c>
      <c r="DT52" t="str" cm="1">
        <f t="array" ref="DT52">_xlfn.XLOOKUP(TRUE, EXACT(Table28[[#This Row],[Z'' X'']], Table29[orig]), Table29[T-reflection])</f>
        <v>x</v>
      </c>
      <c r="DU52" t="str" cm="1">
        <f t="array" ref="DU52">_xlfn.XLOOKUP(TRUE, EXACT(Table28[[#This Row],[Y'' X]], Table29[orig]), Table29[T-reflection])</f>
        <v>f</v>
      </c>
      <c r="DV52" t="str" cm="1">
        <f t="array" ref="DV52">_xlfn.XLOOKUP(TRUE, EXACT(Table28[[#This Row],[Y X]], Table29[orig]), Table29[T-reflection])</f>
        <v>p</v>
      </c>
      <c r="DW52" t="str" cm="1">
        <f t="array" ref="DW52">_xlfn.XLOOKUP(TRUE, EXACT(Table28[[#This Row],[Z X'']], Table29[orig]), Table29[T-reflection])</f>
        <v>v</v>
      </c>
      <c r="DX52" t="str" cm="1">
        <f t="array" ref="DX52">_xlfn.XLOOKUP(TRUE, EXACT(Table28[[#This Row],[Y'' X2]], Table29[orig]), Table29[T-reflection])</f>
        <v>e</v>
      </c>
      <c r="DY52" t="str" cm="1">
        <f t="array" ref="DY52">_xlfn.XLOOKUP(TRUE, EXACT(Table28[[#This Row],[Y X2]], Table29[orig]), Table29[T-reflection])</f>
        <v>m</v>
      </c>
      <c r="DZ52" t="str" cm="1">
        <f t="array" ref="DZ52">_xlfn.XLOOKUP(TRUE, EXACT(Table28[[#This Row],[Z X2]], Table29[orig]), Table29[T-reflection])</f>
        <v>t</v>
      </c>
      <c r="EA52" t="str" cm="1">
        <f t="array" ref="EA52">_xlfn.XLOOKUP(TRUE, EXACT(Table28[[#This Row],[Z'' X2]], Table29[orig]), Table29[T-reflection])</f>
        <v>r</v>
      </c>
      <c r="EB52" t="str" cm="1">
        <f t="array" ref="EB52">_xlfn.XLOOKUP(TRUE, EXACT(Table28[[#This Row],[Z2 X]], Table29[orig]), Table29[T-reflection])</f>
        <v>a</v>
      </c>
      <c r="EC52" t="str" cm="1">
        <f t="array" ref="EC52">_xlfn.XLOOKUP(TRUE, EXACT(Table28[[#This Row],[Z2 X'']], Table29[orig]), Table29[T-reflection])</f>
        <v>u</v>
      </c>
    </row>
    <row r="53" spans="1:164" s="5" customFormat="1" ht="16" thickBot="1" x14ac:dyDescent="0.25">
      <c r="A53"/>
      <c r="B53" s="5" t="s">
        <v>44</v>
      </c>
      <c r="C53" s="5" t="s">
        <v>44</v>
      </c>
      <c r="D53" s="5" t="s">
        <v>36</v>
      </c>
      <c r="E53" s="5" t="s">
        <v>131</v>
      </c>
      <c r="F53" s="5" t="s">
        <v>132</v>
      </c>
      <c r="G53" s="5" t="s">
        <v>67</v>
      </c>
      <c r="H53" s="5" t="s">
        <v>44</v>
      </c>
      <c r="I53" s="5" t="s">
        <v>135</v>
      </c>
      <c r="J53" s="5" t="s">
        <v>44</v>
      </c>
      <c r="K53" s="5" t="s">
        <v>44</v>
      </c>
      <c r="L53" s="5" t="s">
        <v>132</v>
      </c>
      <c r="M53"/>
      <c r="N53"/>
      <c r="O53" s="5" t="s">
        <v>44</v>
      </c>
      <c r="P53" s="5" t="str">
        <f>Table27[[#This Row],[orig]]</f>
        <v>l</v>
      </c>
      <c r="Q53" s="5" t="str">
        <f>Table29[[#This Row],[X]]</f>
        <v>d</v>
      </c>
      <c r="R53" s="5" t="str" cm="1">
        <f t="array" ref="R53">_xlfn.XLOOKUP(TRUE, EXACT(Table27[[#This Row],[X]], Table27[orig]), Table27[X])</f>
        <v>r</v>
      </c>
      <c r="S53" s="5" t="str" cm="1">
        <f t="array" ref="S53">_xlfn.XLOOKUP(TRUE, EXACT(Table27[[#This Row],[X2]], Table27[orig]), Table27[X])</f>
        <v>x</v>
      </c>
      <c r="T53" s="5" t="str">
        <f>Table29[[#This Row],[Y]]</f>
        <v>h</v>
      </c>
      <c r="U53" s="5" t="str" cm="1">
        <f t="array" ref="U53">_xlfn.XLOOKUP(TRUE, EXACT(Table27[[#This Row],[Y]], Table27[orig]), Table27[Y])</f>
        <v>t</v>
      </c>
      <c r="V53" s="5" t="str" cm="1">
        <f t="array" ref="V53">_xlfn.XLOOKUP(TRUE, EXACT(Table27[[#This Row],[Y2]], Table27[orig]), Table27[Y])</f>
        <v>p</v>
      </c>
      <c r="W53" s="5" t="str">
        <f>Table29[[#This Row],[Z]]</f>
        <v>i</v>
      </c>
      <c r="X53" s="5" t="str" cm="1">
        <f t="array" ref="X53">_xlfn.XLOOKUP(TRUE, EXACT(Table27[[#This Row],[Z]], Table27[orig]), Table27[Z])</f>
        <v>j</v>
      </c>
      <c r="Y53" s="5" t="str" cm="1">
        <f t="array" ref="Y53">_xlfn.XLOOKUP(TRUE, EXACT(Table27[[#This Row],[Z2]], Table27[orig]), Table27[Z])</f>
        <v>k</v>
      </c>
      <c r="Z53" s="5" t="str">
        <f>Table29[[#This Row],[R]]</f>
        <v>l</v>
      </c>
      <c r="AA53" s="5" t="str" cm="1">
        <f t="array" ref="AA53">_xlfn.XLOOKUP(TRUE, EXACT(Table27[[#This Row],[R]], Table27[orig]), Table27[R])</f>
        <v>l</v>
      </c>
      <c r="AB53" s="5" t="str" cm="1">
        <f t="array" ref="AB53">_xlfn.XLOOKUP(TRUE, EXACT(Table27[[#This Row],[R2]], Table27[orig]), Table27[R])</f>
        <v>l</v>
      </c>
      <c r="AC53" s="5" t="str" cm="1">
        <f t="array" ref="AC53">_xlfn.XLOOKUP(TRUE, EXACT(_xlfn.XLOOKUP(TRUE, EXACT(Table27[[#This Row],[Y2]], Table27[orig]), Table27[R]), Table27[orig]), Table27[Y2])</f>
        <v>x</v>
      </c>
      <c r="AD53" s="5" t="str" cm="1">
        <f t="array" ref="AD53">_xlfn.XLOOKUP(TRUE, EXACT(Table27[[#This Row],[L]], Table27[orig]), Table27[L])</f>
        <v>r</v>
      </c>
      <c r="AE53" s="5" t="str" cm="1">
        <f t="array" ref="AE53">_xlfn.XLOOKUP(TRUE, EXACT(Table27[[#This Row],[L2]], Table27[orig]), Table27[L])</f>
        <v>d</v>
      </c>
      <c r="AF53" s="5" t="str" cm="1">
        <f t="array" ref="AF53">_xlfn.XLOOKUP(TRUE, EXACT(Table27[[#This Row],[r-lower]], Table27[orig]), Table27[R''])</f>
        <v>l</v>
      </c>
      <c r="AG53" s="5" t="str" cm="1">
        <f t="array" ref="AG53">_xlfn.XLOOKUP(TRUE, EXACT(Table27[[#This Row],[T]], Table27[orig]), Table27[T])</f>
        <v>l</v>
      </c>
      <c r="AH53" s="5" t="str" cm="1">
        <f t="array" ref="AH53">_xlfn.XLOOKUP(TRUE, EXACT(Table27[[#This Row],[T2]], Table27[orig]), Table27[T])</f>
        <v>l</v>
      </c>
      <c r="AI53" s="5" t="str" cm="1">
        <f t="array" ref="AI53">_xlfn.XLOOKUP(TRUE, EXACT(Table27[[#This Row],[X]], Table27[orig]), Table27[L])</f>
        <v>l</v>
      </c>
      <c r="AJ53" s="5" t="str" cm="1">
        <f t="array" ref="AJ53">_xlfn.XLOOKUP(TRUE, EXACT(Table27[[#This Row],[r-lower]], Table27[orig]), Table27[r-lower])</f>
        <v>l</v>
      </c>
      <c r="AK53" s="5" t="str" cm="1">
        <f t="array" ref="AK53">_xlfn.XLOOKUP(TRUE, EXACT(Table27[[#This Row],[r2-lower]], Table27[orig]), Table27[r-lower])</f>
        <v>l</v>
      </c>
      <c r="AL53" s="5" t="str" cm="1">
        <f t="array" ref="AL53">_xlfn.XLOOKUP(TRUE, EXACT(Table27[[#This Row],[X'']], Table27[orig]), Table27[R])</f>
        <v>x</v>
      </c>
      <c r="AM53" s="5" t="str" cm="1">
        <f t="array" ref="AM53">_xlfn.XLOOKUP(TRUE, EXACT(Table27[[#This Row],[l-lower]], Table27[orig]), Table27[l-lower])</f>
        <v>r</v>
      </c>
      <c r="AN53" s="5" t="str" cm="1">
        <f t="array" ref="AN53">_xlfn.XLOOKUP(TRUE, EXACT(Table27[[#This Row],[l2-lower]], Table27[orig]), Table27[l-lower])</f>
        <v>d</v>
      </c>
      <c r="AO53" s="5" t="str" cm="1">
        <f t="array" ref="AO53">_xlfn.XLOOKUP(TRUE, EXACT(Table27[[#This Row],[R]], Table27[orig]), Table27[L''])</f>
        <v>d</v>
      </c>
      <c r="AP53" s="5" t="str" cm="1">
        <f t="array" ref="AP53">_xlfn.XLOOKUP(TRUE, EXACT(Table27[[#This Row],[RL'']], Table27[orig]), Table27[RL''])</f>
        <v>r</v>
      </c>
      <c r="AQ53" s="5" t="str" cm="1">
        <f t="array" ref="AQ53">_xlfn.XLOOKUP(TRUE, EXACT(Table27[[#This Row],[R2L2]], Table27[orig]), Table27[RL''])</f>
        <v>x</v>
      </c>
      <c r="AR53" s="5" t="str">
        <f>Table29[[#This Row],[U]]</f>
        <v>l</v>
      </c>
      <c r="AS53" s="5" t="str" cm="1">
        <f t="array" ref="AS53">_xlfn.XLOOKUP(TRUE, EXACT(Table27[[#This Row],[U]], Table27[orig]), Table27[U])</f>
        <v>l</v>
      </c>
      <c r="AT53" s="5" t="str" cm="1">
        <f t="array" ref="AT53">_xlfn.XLOOKUP(TRUE, EXACT(Table27[[#This Row],[U2]], Table27[orig]), Table27[U])</f>
        <v>l</v>
      </c>
      <c r="AU53" s="5" t="str" cm="1">
        <f t="array" ref="AU53">_xlfn.XLOOKUP(TRUE, EXACT(_xlfn.XLOOKUP(TRUE, EXACT(Table27[[#This Row],[Z2]], Table27[orig]), Table27[U]), Table27[orig]), Table27[Z2])</f>
        <v>l</v>
      </c>
      <c r="AV53" s="5" t="str" cm="1">
        <f t="array" ref="AV53">_xlfn.XLOOKUP(TRUE, EXACT(Table27[[#This Row],[D]], Table27[orig]), Table27[D])</f>
        <v>l</v>
      </c>
      <c r="AW53" s="5" t="str" cm="1">
        <f t="array" ref="AW53">_xlfn.XLOOKUP(TRUE, EXACT(Table27[[#This Row],[D2]], Table27[orig]), Table27[D])</f>
        <v>l</v>
      </c>
      <c r="AX53" s="5" t="str" cm="1">
        <f t="array" ref="AX53">_xlfn.XLOOKUP(TRUE, EXACT(Table27[[#This Row],[u-lower]], Table27[orig]), Table27[U''])</f>
        <v>h</v>
      </c>
      <c r="AY53" s="5" t="str" cm="1">
        <f t="array" ref="AY53">_xlfn.XLOOKUP(TRUE, EXACT(Table27[[#This Row],[H]], Table27[orig]), Table27[H])</f>
        <v>t</v>
      </c>
      <c r="AZ53" s="5" t="str" cm="1">
        <f t="array" ref="AZ53">_xlfn.XLOOKUP(TRUE, EXACT(Table27[[#This Row],[H2]], Table27[orig]), Table27[H])</f>
        <v>p</v>
      </c>
      <c r="BA53" s="5" t="str" cm="1">
        <f t="array" ref="BA53">_xlfn.XLOOKUP(TRUE, EXACT(Table27[[#This Row],[Y]], Table27[orig]), Table27[D])</f>
        <v>h</v>
      </c>
      <c r="BB53" s="5" t="str" cm="1">
        <f t="array" ref="BB53">_xlfn.XLOOKUP(TRUE, EXACT(Table27[[#This Row],[u-lower]], Table27[orig]), Table27[u-lower])</f>
        <v>t</v>
      </c>
      <c r="BC53" s="5" t="str" cm="1">
        <f t="array" ref="BC53">_xlfn.XLOOKUP(TRUE, EXACT(Table27[[#This Row],[u2-lower]], Table27[orig]), Table27[u-lower])</f>
        <v>p</v>
      </c>
      <c r="BD53" s="5" t="str" cm="1">
        <f t="array" ref="BD53">_xlfn.XLOOKUP(TRUE, EXACT(Table27[[#This Row],[Y'']], Table27[orig]), Table27[U])</f>
        <v>p</v>
      </c>
      <c r="BE53" s="5" t="str" cm="1">
        <f t="array" ref="BE53">_xlfn.XLOOKUP(TRUE, EXACT(Table27[[#This Row],[d-lower]], Table27[orig]), Table27[d-lower])</f>
        <v>t</v>
      </c>
      <c r="BF53" s="5" t="str" cm="1">
        <f t="array" ref="BF53">_xlfn.XLOOKUP(TRUE, EXACT(Table27[[#This Row],[d2-lower]], Table27[orig]), Table27[d-lower])</f>
        <v>h</v>
      </c>
      <c r="BG53" s="5" t="str" cm="1">
        <f t="array" ref="BG53">_xlfn.XLOOKUP(TRUE, EXACT(Table27[[#This Row],[U]], Table27[orig]), Table27[D''])</f>
        <v>l</v>
      </c>
      <c r="BH53" s="5" t="str" cm="1">
        <f t="array" ref="BH53">_xlfn.XLOOKUP(TRUE, EXACT(Table27[[#This Row],[UD'']], Table27[orig]), Table27[UD''])</f>
        <v>l</v>
      </c>
      <c r="BI53" s="5" t="str" cm="1">
        <f t="array" ref="BI53">_xlfn.XLOOKUP(TRUE, EXACT(Table27[[#This Row],[U2D2]], Table27[orig]), Table27[UD''])</f>
        <v>l</v>
      </c>
      <c r="BJ53" s="5" t="str">
        <f>Table29[[#This Row],[F]]</f>
        <v>i</v>
      </c>
      <c r="BK53" s="5" t="str" cm="1">
        <f t="array" ref="BK53">_xlfn.XLOOKUP(TRUE, EXACT(Table27[[#This Row],[F]], Table27[orig]), Table27[F])</f>
        <v>j</v>
      </c>
      <c r="BL53" s="5" t="str" cm="1">
        <f t="array" ref="BL53">_xlfn.XLOOKUP(TRUE, EXACT(Table27[[#This Row],[F2]], Table27[orig]), Table27[F])</f>
        <v>k</v>
      </c>
      <c r="BM53" s="5" t="str" cm="1">
        <f t="array" ref="BM53">_xlfn.XLOOKUP(TRUE, EXACT(_xlfn.XLOOKUP(TRUE, EXACT(Table27[[#This Row],[X2]], Table27[orig]), Table27[F]), Table27[orig]), Table27[X2])</f>
        <v>l</v>
      </c>
      <c r="BN53" s="5" t="str" cm="1">
        <f t="array" ref="BN53">_xlfn.XLOOKUP(TRUE, EXACT(Table27[[#This Row],[B]], Table27[orig]), Table27[B])</f>
        <v>l</v>
      </c>
      <c r="BO53" s="5" t="str" cm="1">
        <f t="array" ref="BO53">_xlfn.XLOOKUP(TRUE, EXACT(Table27[[#This Row],[B2]], Table27[orig]), Table27[B])</f>
        <v>l</v>
      </c>
      <c r="BP53" s="5" t="str" cm="1">
        <f t="array" ref="BP53">_xlfn.XLOOKUP(TRUE, EXACT(Table27[[#This Row],[f-lower]], Table27[orig]), Table27[F''])</f>
        <v>l</v>
      </c>
      <c r="BQ53" s="5" t="str" cm="1">
        <f t="array" ref="BQ53">_xlfn.XLOOKUP(TRUE, EXACT(Table27[[#This Row],[S]], Table27[orig]), Table27[S])</f>
        <v>l</v>
      </c>
      <c r="BR53" s="5" t="str" cm="1">
        <f t="array" ref="BR53">_xlfn.XLOOKUP(TRUE, EXACT(Table27[[#This Row],[S2]], Table27[orig]), Table27[S])</f>
        <v>l</v>
      </c>
      <c r="BS53" s="5" t="str" cm="1">
        <f t="array" ref="BS53">_xlfn.XLOOKUP(TRUE, EXACT(Table27[[#This Row],[Z]], Table27[orig]), Table27[B])</f>
        <v>i</v>
      </c>
      <c r="BT53" s="5" t="str" cm="1">
        <f t="array" ref="BT53">_xlfn.XLOOKUP(TRUE, EXACT(Table27[[#This Row],[f-lower]], Table27[orig]), Table27[f-lower])</f>
        <v>j</v>
      </c>
      <c r="BU53" s="5" t="str" cm="1">
        <f t="array" ref="BU53">_xlfn.XLOOKUP(TRUE, EXACT(Table27[[#This Row],[f2-lower]], Table27[orig]), Table27[f-lower])</f>
        <v>k</v>
      </c>
      <c r="BV53" s="5" t="str" cm="1">
        <f t="array" ref="BV53">_xlfn.XLOOKUP(TRUE, EXACT(Table27[[#This Row],[Z'']], Table27[orig]), Table27[F])</f>
        <v>l</v>
      </c>
      <c r="BW53" s="5" t="str" cm="1">
        <f t="array" ref="BW53">_xlfn.XLOOKUP(TRUE, EXACT(Table27[[#This Row],[b-lower]], Table27[orig]), Table27[b-lower])</f>
        <v>l</v>
      </c>
      <c r="BX53" s="5" t="str" cm="1">
        <f t="array" ref="BX53">_xlfn.XLOOKUP(TRUE, EXACT(Table27[[#This Row],[b2-lower]], Table27[orig]), Table27[b-lower])</f>
        <v>l</v>
      </c>
      <c r="BY53" s="5" t="str" cm="1">
        <f t="array" ref="BY53">_xlfn.XLOOKUP(TRUE, EXACT(Table27[[#This Row],[F]], Table27[orig]), Table27[B''])</f>
        <v>i</v>
      </c>
      <c r="BZ53" s="5" t="str" cm="1">
        <f t="array" ref="BZ53">_xlfn.XLOOKUP(TRUE, EXACT(Table27[[#This Row],[FB'']], Table27[orig]), Table27[FB''])</f>
        <v>j</v>
      </c>
      <c r="CA53" s="5" t="str" cm="1">
        <f t="array" ref="CA53">_xlfn.XLOOKUP(TRUE, EXACT(Table27[[#This Row],[F2B2]], Table27[orig]), Table27[FB''])</f>
        <v>k</v>
      </c>
      <c r="CB53"/>
      <c r="CC53"/>
      <c r="CD53" s="5" t="s">
        <v>44</v>
      </c>
      <c r="CE53" s="5" t="str">
        <f>Table28[[#This Row],[orig]]</f>
        <v>l</v>
      </c>
      <c r="CF53" s="5" t="str">
        <f>Table29[[#This Row],[X]]</f>
        <v>d</v>
      </c>
      <c r="CG53" s="5" t="str" cm="1">
        <f t="array" ref="CG53">_xlfn.XLOOKUP(TRUE, EXACT(Table28[[#This Row],[X]], Table28[orig]), Table28[X])</f>
        <v>r</v>
      </c>
      <c r="CH53" s="5" t="str" cm="1">
        <f t="array" ref="CH53">_xlfn.XLOOKUP(TRUE, EXACT(Table28[[#This Row],[X2]], Table28[orig]), Table28[X])</f>
        <v>x</v>
      </c>
      <c r="CI53" s="5" t="str">
        <f>Table29[[#This Row],[Y]]</f>
        <v>h</v>
      </c>
      <c r="CJ53" s="5" t="str" cm="1">
        <f t="array" ref="CJ53">_xlfn.XLOOKUP(TRUE, EXACT(Table28[[#This Row],[Y]], Table28[orig]), Table28[Y])</f>
        <v>t</v>
      </c>
      <c r="CK53" s="5" t="str" cm="1">
        <f t="array" ref="CK53">_xlfn.XLOOKUP(TRUE, EXACT(Table28[[#This Row],[Y2]], Table28[orig]), Table28[Y])</f>
        <v>p</v>
      </c>
      <c r="CL53" s="5" t="str">
        <f>Table29[[#This Row],[Z]]</f>
        <v>i</v>
      </c>
      <c r="CM53" s="5" t="str" cm="1">
        <f t="array" ref="CM53">_xlfn.XLOOKUP(TRUE, EXACT(Table28[[#This Row],[Z]], Table28[orig]), Table28[Z])</f>
        <v>j</v>
      </c>
      <c r="CN53" s="5" t="str" cm="1">
        <f t="array" ref="CN53">_xlfn.XLOOKUP(TRUE, EXACT(Table28[[#This Row],[Z2]], Table28[orig]), Table28[Z])</f>
        <v>k</v>
      </c>
      <c r="CO53" s="5" t="str" cm="1">
        <f t="array" ref="CO53">_xlfn.XLOOKUP(TRUE, EXACT(Table28[[#This Row],[Z]], Table28[orig]), Table28[X])</f>
        <v>a</v>
      </c>
      <c r="CP53" s="5" t="str" cm="1">
        <f t="array" ref="CP53">_xlfn.XLOOKUP(TRUE, EXACT(Table28[[#This Row],[Y'']], Table28[orig]), Table28[X''])</f>
        <v>o</v>
      </c>
      <c r="CQ53" s="5" t="str" cm="1">
        <f t="array" ref="CQ53">_xlfn.XLOOKUP(TRUE, EXACT(Table28[[#This Row],[Y]], Table28[orig]), Table28[X''])</f>
        <v>e</v>
      </c>
      <c r="CR53" s="5" t="str" cm="1">
        <f t="array" ref="CR53">_xlfn.XLOOKUP(TRUE, EXACT(Table28[[#This Row],[Z'']], Table28[orig]), Table28[X])</f>
        <v>c</v>
      </c>
      <c r="CS53" s="5" t="str" cm="1">
        <f t="array" ref="CS53">_xlfn.XLOOKUP(TRUE, EXACT(Table28[[#This Row],[Z'']], Table28[orig]), Table28[X''])</f>
        <v>w</v>
      </c>
      <c r="CT53" s="5" t="str" cm="1">
        <f t="array" ref="CT53">_xlfn.XLOOKUP(TRUE, EXACT(Table28[[#This Row],[Y'']], Table28[orig]), Table28[X])</f>
        <v>m</v>
      </c>
      <c r="CU53" s="5" t="str" cm="1">
        <f t="array" ref="CU53">_xlfn.XLOOKUP(TRUE, EXACT(Table28[[#This Row],[Y]], Table28[orig]), Table28[X])</f>
        <v>g</v>
      </c>
      <c r="CV53" s="5" t="str" cm="1">
        <f t="array" ref="CV53">_xlfn.XLOOKUP(TRUE, EXACT(Table28[[#This Row],[Z]], Table28[orig]), Table28[X''])</f>
        <v>u</v>
      </c>
      <c r="CW53" s="5" t="str" cm="1">
        <f t="array" ref="CW53">_xlfn.XLOOKUP(TRUE, EXACT(Table28[[#This Row],[Y'']], Table28[orig]), Table28[X2])</f>
        <v>n</v>
      </c>
      <c r="CX53" s="5" t="str" cm="1">
        <f t="array" ref="CX53">_xlfn.XLOOKUP(TRUE, EXACT(Table28[[#This Row],[Y]], Table28[orig]), Table28[X2])</f>
        <v>f</v>
      </c>
      <c r="CY53" s="5" t="str" cm="1">
        <f t="array" ref="CY53">_xlfn.XLOOKUP(TRUE, EXACT(Table28[[#This Row],[Z]], Table28[orig]), Table28[X2])</f>
        <v>s</v>
      </c>
      <c r="CZ53" s="5" t="str" cm="1">
        <f t="array" ref="CZ53">_xlfn.XLOOKUP(TRUE, EXACT(Table28[[#This Row],[Z'']], Table28[orig]), Table28[X2])</f>
        <v>q</v>
      </c>
      <c r="DA53" s="5" t="str" cm="1">
        <f t="array" ref="DA53">_xlfn.XLOOKUP(TRUE, EXACT(Table28[[#This Row],[Z2]], Table28[orig]), Table28[X])</f>
        <v>b</v>
      </c>
      <c r="DB53" s="5" t="str" cm="1">
        <f t="array" ref="DB53">_xlfn.XLOOKUP(TRUE, EXACT(Table28[[#This Row],[Z2]], Table28[orig]), Table28[X''])</f>
        <v>v</v>
      </c>
      <c r="DC53"/>
      <c r="DD53"/>
      <c r="DE53" s="8" t="s">
        <v>44</v>
      </c>
      <c r="DF53" s="8" t="str" cm="1">
        <f t="array" ref="DF53">_xlfn.XLOOKUP(TRUE, EXACT(Table28[[#This Row],[I]], Table29[orig]), Table29[T-reflection])</f>
        <v>j</v>
      </c>
      <c r="DG53" s="8" t="str" cm="1">
        <f t="array" ref="DG53">_xlfn.XLOOKUP(TRUE, EXACT(Table28[[#This Row],[X]], Table29[orig]), Table29[T-reflection])</f>
        <v>b</v>
      </c>
      <c r="DH53" s="5" t="str" cm="1">
        <f t="array" ref="DH53">_xlfn.XLOOKUP(TRUE, EXACT(Table28[[#This Row],[X2]], Table29[orig]), Table29[T-reflection])</f>
        <v>t</v>
      </c>
      <c r="DI53" s="5" t="str" cm="1">
        <f t="array" ref="DI53">_xlfn.XLOOKUP(TRUE, EXACT(Table28[[#This Row],[X'']], Table29[orig]), Table29[T-reflection])</f>
        <v>v</v>
      </c>
      <c r="DJ53" s="8" t="str" cm="1">
        <f t="array" ref="DJ53">_xlfn.XLOOKUP(TRUE, EXACT(Table28[[#This Row],[Y]], Table29[orig]), Table29[T-reflection])</f>
        <v>n</v>
      </c>
      <c r="DK53" s="5" t="str" cm="1">
        <f t="array" ref="DK53">_xlfn.XLOOKUP(TRUE, EXACT(Table28[[#This Row],[Y2]], Table29[orig]), Table29[T-reflection])</f>
        <v>r</v>
      </c>
      <c r="DL53" s="5" t="str" cm="1">
        <f t="array" ref="DL53">_xlfn.XLOOKUP(TRUE, EXACT(Table28[[#This Row],[Y'']], Table29[orig]), Table29[T-reflection])</f>
        <v>f</v>
      </c>
      <c r="DM53" s="8" t="str" cm="1">
        <f t="array" ref="DM53">_xlfn.XLOOKUP(TRUE, EXACT(Table28[[#This Row],[Z]], Table29[orig]), Table29[T-reflection])</f>
        <v>i</v>
      </c>
      <c r="DN53" s="5" t="str" cm="1">
        <f t="array" ref="DN53">_xlfn.XLOOKUP(TRUE, EXACT(Table28[[#This Row],[Z2]], Table29[orig]), Table29[T-reflection])</f>
        <v>l</v>
      </c>
      <c r="DO53" s="5" t="str" cm="1">
        <f t="array" ref="DO53">_xlfn.XLOOKUP(TRUE, EXACT(Table28[[#This Row],[Z'']], Table29[orig]), Table29[T-reflection])</f>
        <v>k</v>
      </c>
      <c r="DP53" s="5" t="str" cm="1">
        <f t="array" ref="DP53">_xlfn.XLOOKUP(TRUE, EXACT(Table28[[#This Row],[Z X]], Table29[orig]), Table29[T-reflection])</f>
        <v>a</v>
      </c>
      <c r="DQ53" s="5" t="str" cm="1">
        <f t="array" ref="DQ53">_xlfn.XLOOKUP(TRUE, EXACT(Table28[[#This Row],[Y'' X'']], Table29[orig]), Table29[T-reflection])</f>
        <v>g</v>
      </c>
      <c r="DR53" s="5" t="str" cm="1">
        <f t="array" ref="DR53">_xlfn.XLOOKUP(TRUE, EXACT(Table28[[#This Row],[Y X'']], Table29[orig]), Table29[T-reflection])</f>
        <v>m</v>
      </c>
      <c r="DS53" s="5" t="str" cm="1">
        <f t="array" ref="DS53">_xlfn.XLOOKUP(TRUE, EXACT(Table28[[#This Row],[Z'' X]], Table29[orig]), Table29[T-reflection])</f>
        <v>c</v>
      </c>
      <c r="DT53" s="5" t="str" cm="1">
        <f t="array" ref="DT53">_xlfn.XLOOKUP(TRUE, EXACT(Table28[[#This Row],[Z'' X'']], Table29[orig]), Table29[T-reflection])</f>
        <v>w</v>
      </c>
      <c r="DU53" s="5" t="str" cm="1">
        <f t="array" ref="DU53">_xlfn.XLOOKUP(TRUE, EXACT(Table28[[#This Row],[Y'' X]], Table29[orig]), Table29[T-reflection])</f>
        <v>e</v>
      </c>
      <c r="DV53" s="5" t="str" cm="1">
        <f t="array" ref="DV53">_xlfn.XLOOKUP(TRUE, EXACT(Table28[[#This Row],[Y X]], Table29[orig]), Table29[T-reflection])</f>
        <v>o</v>
      </c>
      <c r="DW53" s="5" t="str" cm="1">
        <f t="array" ref="DW53">_xlfn.XLOOKUP(TRUE, EXACT(Table28[[#This Row],[Z X'']], Table29[orig]), Table29[T-reflection])</f>
        <v>u</v>
      </c>
      <c r="DX53" s="5" t="str" cm="1">
        <f t="array" ref="DX53">_xlfn.XLOOKUP(TRUE, EXACT(Table28[[#This Row],[Y'' X2]], Table29[orig]), Table29[T-reflection])</f>
        <v>h</v>
      </c>
      <c r="DY53" s="5" t="str" cm="1">
        <f t="array" ref="DY53">_xlfn.XLOOKUP(TRUE, EXACT(Table28[[#This Row],[Y X2]], Table29[orig]), Table29[T-reflection])</f>
        <v>p</v>
      </c>
      <c r="DZ53" s="5" t="str" cm="1">
        <f t="array" ref="DZ53">_xlfn.XLOOKUP(TRUE, EXACT(Table28[[#This Row],[Z X2]], Table29[orig]), Table29[T-reflection])</f>
        <v>s</v>
      </c>
      <c r="EA53" s="5" t="str" cm="1">
        <f t="array" ref="EA53">_xlfn.XLOOKUP(TRUE, EXACT(Table28[[#This Row],[Z'' X2]], Table29[orig]), Table29[T-reflection])</f>
        <v>q</v>
      </c>
      <c r="EB53" s="5" t="str" cm="1">
        <f t="array" ref="EB53">_xlfn.XLOOKUP(TRUE, EXACT(Table28[[#This Row],[Z2 X]], Table29[orig]), Table29[T-reflection])</f>
        <v>d</v>
      </c>
      <c r="EC53" s="5" t="str" cm="1">
        <f t="array" ref="EC53">_xlfn.XLOOKUP(TRUE, EXACT(Table28[[#This Row],[Z2 X'']], Table29[orig]), Table29[T-reflection])</f>
        <v>x</v>
      </c>
      <c r="ED53"/>
      <c r="EE53"/>
      <c r="EF53"/>
      <c r="EG53"/>
      <c r="EH53"/>
      <c r="EI53"/>
      <c r="EJ53"/>
      <c r="EK53"/>
      <c r="EL53"/>
      <c r="EM53"/>
      <c r="EN53"/>
      <c r="EO53"/>
      <c r="EP53"/>
      <c r="EQ53"/>
      <c r="ER53"/>
      <c r="ES53"/>
      <c r="ET53"/>
      <c r="EU53"/>
      <c r="EV53"/>
      <c r="EW53"/>
      <c r="EX53"/>
      <c r="EY53"/>
      <c r="EZ53"/>
      <c r="FA53"/>
      <c r="FB53"/>
      <c r="FC53"/>
      <c r="FD53"/>
      <c r="FE53"/>
      <c r="FF53"/>
      <c r="FG53"/>
      <c r="FH53"/>
    </row>
    <row r="54" spans="1:164" ht="16" thickTop="1" x14ac:dyDescent="0.2">
      <c r="B54" t="s">
        <v>133</v>
      </c>
      <c r="C54" t="s">
        <v>133</v>
      </c>
      <c r="D54" t="s">
        <v>73</v>
      </c>
      <c r="E54" t="s">
        <v>132</v>
      </c>
      <c r="F54" t="s">
        <v>88</v>
      </c>
      <c r="G54" t="s">
        <v>130</v>
      </c>
      <c r="H54" t="s">
        <v>134</v>
      </c>
      <c r="I54" t="s">
        <v>133</v>
      </c>
      <c r="J54" t="s">
        <v>73</v>
      </c>
      <c r="K54" t="s">
        <v>132</v>
      </c>
      <c r="L54" t="s">
        <v>133</v>
      </c>
      <c r="O54" t="s">
        <v>133</v>
      </c>
      <c r="P54" t="str">
        <f>Table27[[#This Row],[orig]]</f>
        <v>m</v>
      </c>
      <c r="Q54" t="str">
        <f>Table29[[#This Row],[X]]</f>
        <v>n</v>
      </c>
      <c r="R54" t="str" cm="1">
        <f t="array" ref="R54">_xlfn.XLOOKUP(TRUE, EXACT(Table27[[#This Row],[X]], Table27[orig]), Table27[X])</f>
        <v>o</v>
      </c>
      <c r="S54" t="str" cm="1">
        <f t="array" ref="S54">_xlfn.XLOOKUP(TRUE, EXACT(Table27[[#This Row],[X2]], Table27[orig]), Table27[X])</f>
        <v>p</v>
      </c>
      <c r="T54" t="str">
        <f>Table29[[#This Row],[Y]]</f>
        <v>i</v>
      </c>
      <c r="U54" t="str" cm="1">
        <f t="array" ref="U54">_xlfn.XLOOKUP(TRUE, EXACT(Table27[[#This Row],[Y]], Table27[orig]), Table27[Y])</f>
        <v>e</v>
      </c>
      <c r="V54" t="str" cm="1">
        <f t="array" ref="V54">_xlfn.XLOOKUP(TRUE, EXACT(Table27[[#This Row],[Y2]], Table27[orig]), Table27[Y])</f>
        <v>q</v>
      </c>
      <c r="W54" t="str">
        <f>Table29[[#This Row],[Z]]</f>
        <v>v</v>
      </c>
      <c r="X54" t="str" cm="1">
        <f t="array" ref="X54">_xlfn.XLOOKUP(TRUE, EXACT(Table27[[#This Row],[Z]], Table27[orig]), Table27[Z])</f>
        <v>g</v>
      </c>
      <c r="Y54" t="str" cm="1">
        <f t="array" ref="Y54">_xlfn.XLOOKUP(TRUE, EXACT(Table27[[#This Row],[Z2]], Table27[orig]), Table27[Z])</f>
        <v>d</v>
      </c>
      <c r="Z54" t="str">
        <f>Table29[[#This Row],[R]]</f>
        <v>n</v>
      </c>
      <c r="AA54" t="str" cm="1">
        <f t="array" ref="AA54">_xlfn.XLOOKUP(TRUE, EXACT(Table27[[#This Row],[R]], Table27[orig]), Table27[R])</f>
        <v>o</v>
      </c>
      <c r="AB54" t="str" cm="1">
        <f t="array" ref="AB54">_xlfn.XLOOKUP(TRUE, EXACT(Table27[[#This Row],[R2]], Table27[orig]), Table27[R])</f>
        <v>p</v>
      </c>
      <c r="AC54" t="str" cm="1">
        <f t="array" ref="AC54">_xlfn.XLOOKUP(TRUE, EXACT(_xlfn.XLOOKUP(TRUE, EXACT(Table27[[#This Row],[Y2]], Table27[orig]), Table27[R]), Table27[orig]), Table27[Y2])</f>
        <v>m</v>
      </c>
      <c r="AD54" t="str" cm="1">
        <f t="array" ref="AD54">_xlfn.XLOOKUP(TRUE, EXACT(Table27[[#This Row],[L]], Table27[orig]), Table27[L])</f>
        <v>m</v>
      </c>
      <c r="AE54" t="str" cm="1">
        <f t="array" ref="AE54">_xlfn.XLOOKUP(TRUE, EXACT(Table27[[#This Row],[L2]], Table27[orig]), Table27[L])</f>
        <v>m</v>
      </c>
      <c r="AF54" t="str" cm="1">
        <f t="array" ref="AF54">_xlfn.XLOOKUP(TRUE, EXACT(Table27[[#This Row],[r-lower]], Table27[orig]), Table27[R''])</f>
        <v>m</v>
      </c>
      <c r="AG54" t="str" cm="1">
        <f t="array" ref="AG54">_xlfn.XLOOKUP(TRUE, EXACT(Table27[[#This Row],[T]], Table27[orig]), Table27[T])</f>
        <v>m</v>
      </c>
      <c r="AH54" t="str" cm="1">
        <f t="array" ref="AH54">_xlfn.XLOOKUP(TRUE, EXACT(Table27[[#This Row],[T2]], Table27[orig]), Table27[T])</f>
        <v>m</v>
      </c>
      <c r="AI54" t="str" cm="1">
        <f t="array" ref="AI54">_xlfn.XLOOKUP(TRUE, EXACT(Table27[[#This Row],[X]], Table27[orig]), Table27[L])</f>
        <v>n</v>
      </c>
      <c r="AJ54" t="str" cm="1">
        <f t="array" ref="AJ54">_xlfn.XLOOKUP(TRUE, EXACT(Table27[[#This Row],[r-lower]], Table27[orig]), Table27[r-lower])</f>
        <v>o</v>
      </c>
      <c r="AK54" t="str" cm="1">
        <f t="array" ref="AK54">_xlfn.XLOOKUP(TRUE, EXACT(Table27[[#This Row],[r2-lower]], Table27[orig]), Table27[r-lower])</f>
        <v>p</v>
      </c>
      <c r="AL54" t="str" cm="1">
        <f t="array" ref="AL54">_xlfn.XLOOKUP(TRUE, EXACT(Table27[[#This Row],[X'']], Table27[orig]), Table27[R])</f>
        <v>m</v>
      </c>
      <c r="AM54" t="str" cm="1">
        <f t="array" ref="AM54">_xlfn.XLOOKUP(TRUE, EXACT(Table27[[#This Row],[l-lower]], Table27[orig]), Table27[l-lower])</f>
        <v>m</v>
      </c>
      <c r="AN54" t="str" cm="1">
        <f t="array" ref="AN54">_xlfn.XLOOKUP(TRUE, EXACT(Table27[[#This Row],[l2-lower]], Table27[orig]), Table27[l-lower])</f>
        <v>m</v>
      </c>
      <c r="AO54" t="str" cm="1">
        <f t="array" ref="AO54">_xlfn.XLOOKUP(TRUE, EXACT(Table27[[#This Row],[R]], Table27[orig]), Table27[L''])</f>
        <v>n</v>
      </c>
      <c r="AP54" t="str" cm="1">
        <f t="array" ref="AP54">_xlfn.XLOOKUP(TRUE, EXACT(Table27[[#This Row],[RL'']], Table27[orig]), Table27[RL''])</f>
        <v>o</v>
      </c>
      <c r="AQ54" t="str" cm="1">
        <f t="array" ref="AQ54">_xlfn.XLOOKUP(TRUE, EXACT(Table27[[#This Row],[R2L2]], Table27[orig]), Table27[RL''])</f>
        <v>p</v>
      </c>
      <c r="AR54" t="str">
        <f>Table29[[#This Row],[U]]</f>
        <v>i</v>
      </c>
      <c r="AS54" t="str" cm="1">
        <f t="array" ref="AS54">_xlfn.XLOOKUP(TRUE, EXACT(Table27[[#This Row],[U]], Table27[orig]), Table27[U])</f>
        <v>e</v>
      </c>
      <c r="AT54" t="str" cm="1">
        <f t="array" ref="AT54">_xlfn.XLOOKUP(TRUE, EXACT(Table27[[#This Row],[U2]], Table27[orig]), Table27[U])</f>
        <v>q</v>
      </c>
      <c r="AU54" t="str" cm="1">
        <f t="array" ref="AU54">_xlfn.XLOOKUP(TRUE, EXACT(_xlfn.XLOOKUP(TRUE, EXACT(Table27[[#This Row],[Z2]], Table27[orig]), Table27[U]), Table27[orig]), Table27[Z2])</f>
        <v>m</v>
      </c>
      <c r="AV54" t="str" cm="1">
        <f t="array" ref="AV54">_xlfn.XLOOKUP(TRUE, EXACT(Table27[[#This Row],[D]], Table27[orig]), Table27[D])</f>
        <v>m</v>
      </c>
      <c r="AW54" t="str" cm="1">
        <f t="array" ref="AW54">_xlfn.XLOOKUP(TRUE, EXACT(Table27[[#This Row],[D2]], Table27[orig]), Table27[D])</f>
        <v>m</v>
      </c>
      <c r="AX54" t="str" cm="1">
        <f t="array" ref="AX54">_xlfn.XLOOKUP(TRUE, EXACT(Table27[[#This Row],[u-lower]], Table27[orig]), Table27[U''])</f>
        <v>m</v>
      </c>
      <c r="AY54" t="str" cm="1">
        <f t="array" ref="AY54">_xlfn.XLOOKUP(TRUE, EXACT(Table27[[#This Row],[H]], Table27[orig]), Table27[H])</f>
        <v>m</v>
      </c>
      <c r="AZ54" t="str" cm="1">
        <f t="array" ref="AZ54">_xlfn.XLOOKUP(TRUE, EXACT(Table27[[#This Row],[H2]], Table27[orig]), Table27[H])</f>
        <v>m</v>
      </c>
      <c r="BA54" t="str" cm="1">
        <f t="array" ref="BA54">_xlfn.XLOOKUP(TRUE, EXACT(Table27[[#This Row],[Y]], Table27[orig]), Table27[D])</f>
        <v>i</v>
      </c>
      <c r="BB54" t="str" cm="1">
        <f t="array" ref="BB54">_xlfn.XLOOKUP(TRUE, EXACT(Table27[[#This Row],[u-lower]], Table27[orig]), Table27[u-lower])</f>
        <v>e</v>
      </c>
      <c r="BC54" t="str" cm="1">
        <f t="array" ref="BC54">_xlfn.XLOOKUP(TRUE, EXACT(Table27[[#This Row],[u2-lower]], Table27[orig]), Table27[u-lower])</f>
        <v>q</v>
      </c>
      <c r="BD54" t="str" cm="1">
        <f t="array" ref="BD54">_xlfn.XLOOKUP(TRUE, EXACT(Table27[[#This Row],[Y'']], Table27[orig]), Table27[U])</f>
        <v>m</v>
      </c>
      <c r="BE54" t="str" cm="1">
        <f t="array" ref="BE54">_xlfn.XLOOKUP(TRUE, EXACT(Table27[[#This Row],[d-lower]], Table27[orig]), Table27[d-lower])</f>
        <v>m</v>
      </c>
      <c r="BF54" t="str" cm="1">
        <f t="array" ref="BF54">_xlfn.XLOOKUP(TRUE, EXACT(Table27[[#This Row],[d2-lower]], Table27[orig]), Table27[d-lower])</f>
        <v>m</v>
      </c>
      <c r="BG54" t="str" cm="1">
        <f t="array" ref="BG54">_xlfn.XLOOKUP(TRUE, EXACT(Table27[[#This Row],[U]], Table27[orig]), Table27[D''])</f>
        <v>i</v>
      </c>
      <c r="BH54" t="str" cm="1">
        <f t="array" ref="BH54">_xlfn.XLOOKUP(TRUE, EXACT(Table27[[#This Row],[UD'']], Table27[orig]), Table27[UD''])</f>
        <v>e</v>
      </c>
      <c r="BI54" t="str" cm="1">
        <f t="array" ref="BI54">_xlfn.XLOOKUP(TRUE, EXACT(Table27[[#This Row],[U2D2]], Table27[orig]), Table27[UD''])</f>
        <v>q</v>
      </c>
      <c r="BJ54" t="str">
        <f>Table29[[#This Row],[F]]</f>
        <v>m</v>
      </c>
      <c r="BK54" t="str" cm="1">
        <f t="array" ref="BK54">_xlfn.XLOOKUP(TRUE, EXACT(Table27[[#This Row],[F]], Table27[orig]), Table27[F])</f>
        <v>m</v>
      </c>
      <c r="BL54" t="str" cm="1">
        <f t="array" ref="BL54">_xlfn.XLOOKUP(TRUE, EXACT(Table27[[#This Row],[F2]], Table27[orig]), Table27[F])</f>
        <v>m</v>
      </c>
      <c r="BM54" t="str" cm="1">
        <f t="array" ref="BM54">_xlfn.XLOOKUP(TRUE, EXACT(_xlfn.XLOOKUP(TRUE, EXACT(Table27[[#This Row],[X2]], Table27[orig]), Table27[F]), Table27[orig]), Table27[X2])</f>
        <v>m</v>
      </c>
      <c r="BN54" t="str" cm="1">
        <f t="array" ref="BN54">_xlfn.XLOOKUP(TRUE, EXACT(Table27[[#This Row],[B]], Table27[orig]), Table27[B])</f>
        <v>m</v>
      </c>
      <c r="BO54" t="str" cm="1">
        <f t="array" ref="BO54">_xlfn.XLOOKUP(TRUE, EXACT(Table27[[#This Row],[B2]], Table27[orig]), Table27[B])</f>
        <v>m</v>
      </c>
      <c r="BP54" t="str" cm="1">
        <f t="array" ref="BP54">_xlfn.XLOOKUP(TRUE, EXACT(Table27[[#This Row],[f-lower]], Table27[orig]), Table27[F''])</f>
        <v>v</v>
      </c>
      <c r="BQ54" t="str" cm="1">
        <f t="array" ref="BQ54">_xlfn.XLOOKUP(TRUE, EXACT(Table27[[#This Row],[S]], Table27[orig]), Table27[S])</f>
        <v>g</v>
      </c>
      <c r="BR54" t="str" cm="1">
        <f t="array" ref="BR54">_xlfn.XLOOKUP(TRUE, EXACT(Table27[[#This Row],[S2]], Table27[orig]), Table27[S])</f>
        <v>d</v>
      </c>
      <c r="BS54" t="str" cm="1">
        <f t="array" ref="BS54">_xlfn.XLOOKUP(TRUE, EXACT(Table27[[#This Row],[Z]], Table27[orig]), Table27[B])</f>
        <v>v</v>
      </c>
      <c r="BT54" t="str" cm="1">
        <f t="array" ref="BT54">_xlfn.XLOOKUP(TRUE, EXACT(Table27[[#This Row],[f-lower]], Table27[orig]), Table27[f-lower])</f>
        <v>g</v>
      </c>
      <c r="BU54" t="str" cm="1">
        <f t="array" ref="BU54">_xlfn.XLOOKUP(TRUE, EXACT(Table27[[#This Row],[f2-lower]], Table27[orig]), Table27[f-lower])</f>
        <v>d</v>
      </c>
      <c r="BV54" t="str" cm="1">
        <f t="array" ref="BV54">_xlfn.XLOOKUP(TRUE, EXACT(Table27[[#This Row],[Z'']], Table27[orig]), Table27[F])</f>
        <v>d</v>
      </c>
      <c r="BW54" t="str" cm="1">
        <f t="array" ref="BW54">_xlfn.XLOOKUP(TRUE, EXACT(Table27[[#This Row],[b-lower]], Table27[orig]), Table27[b-lower])</f>
        <v>g</v>
      </c>
      <c r="BX54" t="str" cm="1">
        <f t="array" ref="BX54">_xlfn.XLOOKUP(TRUE, EXACT(Table27[[#This Row],[b2-lower]], Table27[orig]), Table27[b-lower])</f>
        <v>v</v>
      </c>
      <c r="BY54" t="str" cm="1">
        <f t="array" ref="BY54">_xlfn.XLOOKUP(TRUE, EXACT(Table27[[#This Row],[F]], Table27[orig]), Table27[B''])</f>
        <v>m</v>
      </c>
      <c r="BZ54" t="str" cm="1">
        <f t="array" ref="BZ54">_xlfn.XLOOKUP(TRUE, EXACT(Table27[[#This Row],[FB'']], Table27[orig]), Table27[FB''])</f>
        <v>m</v>
      </c>
      <c r="CA54" t="str" cm="1">
        <f t="array" ref="CA54">_xlfn.XLOOKUP(TRUE, EXACT(Table27[[#This Row],[F2B2]], Table27[orig]), Table27[FB''])</f>
        <v>m</v>
      </c>
      <c r="CD54" t="s">
        <v>133</v>
      </c>
      <c r="CE54" t="str">
        <f>Table28[[#This Row],[orig]]</f>
        <v>m</v>
      </c>
      <c r="CF54" t="str">
        <f>Table29[[#This Row],[X]]</f>
        <v>n</v>
      </c>
      <c r="CG54" t="str" cm="1">
        <f t="array" ref="CG54">_xlfn.XLOOKUP(TRUE, EXACT(Table28[[#This Row],[X]], Table28[orig]), Table28[X])</f>
        <v>o</v>
      </c>
      <c r="CH54" t="str" cm="1">
        <f t="array" ref="CH54">_xlfn.XLOOKUP(TRUE, EXACT(Table28[[#This Row],[X2]], Table28[orig]), Table28[X])</f>
        <v>p</v>
      </c>
      <c r="CI54" t="str">
        <f>Table29[[#This Row],[Y]]</f>
        <v>i</v>
      </c>
      <c r="CJ54" t="str" cm="1">
        <f t="array" ref="CJ54">_xlfn.XLOOKUP(TRUE, EXACT(Table28[[#This Row],[Y]], Table28[orig]), Table28[Y])</f>
        <v>e</v>
      </c>
      <c r="CK54" t="str" cm="1">
        <f t="array" ref="CK54">_xlfn.XLOOKUP(TRUE, EXACT(Table28[[#This Row],[Y2]], Table28[orig]), Table28[Y])</f>
        <v>q</v>
      </c>
      <c r="CL54" t="str">
        <f>Table29[[#This Row],[Z]]</f>
        <v>v</v>
      </c>
      <c r="CM54" t="str" cm="1">
        <f t="array" ref="CM54">_xlfn.XLOOKUP(TRUE, EXACT(Table28[[#This Row],[Z]], Table28[orig]), Table28[Z])</f>
        <v>g</v>
      </c>
      <c r="CN54" t="str" cm="1">
        <f t="array" ref="CN54">_xlfn.XLOOKUP(TRUE, EXACT(Table28[[#This Row],[Z2]], Table28[orig]), Table28[Z])</f>
        <v>d</v>
      </c>
      <c r="CO54" t="str" cm="1">
        <f t="array" ref="CO54">_xlfn.XLOOKUP(TRUE, EXACT(Table28[[#This Row],[Z]], Table28[orig]), Table28[X])</f>
        <v>j</v>
      </c>
      <c r="CP54" t="str" cm="1">
        <f t="array" ref="CP54">_xlfn.XLOOKUP(TRUE, EXACT(Table28[[#This Row],[Y'']], Table28[orig]), Table28[X''])</f>
        <v>c</v>
      </c>
      <c r="CQ54" t="str" cm="1">
        <f t="array" ref="CQ54">_xlfn.XLOOKUP(TRUE, EXACT(Table28[[#This Row],[Y]], Table28[orig]), Table28[X''])</f>
        <v>u</v>
      </c>
      <c r="CR54" t="str" cm="1">
        <f t="array" ref="CR54">_xlfn.XLOOKUP(TRUE, EXACT(Table28[[#This Row],[Z'']], Table28[orig]), Table28[X])</f>
        <v>r</v>
      </c>
      <c r="CS54" t="str" cm="1">
        <f t="array" ref="CS54">_xlfn.XLOOKUP(TRUE, EXACT(Table28[[#This Row],[Z'']], Table28[orig]), Table28[X''])</f>
        <v>l</v>
      </c>
      <c r="CT54" t="str" cm="1">
        <f t="array" ref="CT54">_xlfn.XLOOKUP(TRUE, EXACT(Table28[[#This Row],[Y'']], Table28[orig]), Table28[X])</f>
        <v>w</v>
      </c>
      <c r="CU54" t="str" cm="1">
        <f t="array" ref="CU54">_xlfn.XLOOKUP(TRUE, EXACT(Table28[[#This Row],[Y]], Table28[orig]), Table28[X])</f>
        <v>a</v>
      </c>
      <c r="CV54" t="str" cm="1">
        <f t="array" ref="CV54">_xlfn.XLOOKUP(TRUE, EXACT(Table28[[#This Row],[Z]], Table28[orig]), Table28[X''])</f>
        <v>t</v>
      </c>
      <c r="CW54" t="str" cm="1">
        <f t="array" ref="CW54">_xlfn.XLOOKUP(TRUE, EXACT(Table28[[#This Row],[Y'']], Table28[orig]), Table28[X2])</f>
        <v>k</v>
      </c>
      <c r="CX54" t="str" cm="1">
        <f t="array" ref="CX54">_xlfn.XLOOKUP(TRUE, EXACT(Table28[[#This Row],[Y]], Table28[orig]), Table28[X2])</f>
        <v>s</v>
      </c>
      <c r="CY54" t="str" cm="1">
        <f t="array" ref="CY54">_xlfn.XLOOKUP(TRUE, EXACT(Table28[[#This Row],[Z]], Table28[orig]), Table28[X2])</f>
        <v>b</v>
      </c>
      <c r="CZ54" t="str" cm="1">
        <f t="array" ref="CZ54">_xlfn.XLOOKUP(TRUE, EXACT(Table28[[#This Row],[Z'']], Table28[orig]), Table28[X2])</f>
        <v>x</v>
      </c>
      <c r="DA54" t="str" cm="1">
        <f t="array" ref="DA54">_xlfn.XLOOKUP(TRUE, EXACT(Table28[[#This Row],[Z2]], Table28[orig]), Table28[X])</f>
        <v>f</v>
      </c>
      <c r="DB54" t="str" cm="1">
        <f t="array" ref="DB54">_xlfn.XLOOKUP(TRUE, EXACT(Table28[[#This Row],[Z2]], Table28[orig]), Table28[X''])</f>
        <v>h</v>
      </c>
      <c r="DE54" s="6" t="s">
        <v>133</v>
      </c>
      <c r="DF54" s="6" t="str" cm="1">
        <f t="array" ref="DF54">_xlfn.XLOOKUP(TRUE, EXACT(Table28[[#This Row],[I]], Table29[orig]), Table29[T-reflection])</f>
        <v>e</v>
      </c>
      <c r="DG54" s="6" t="str" cm="1">
        <f t="array" ref="DG54">_xlfn.XLOOKUP(TRUE, EXACT(Table28[[#This Row],[X]], Table29[orig]), Table29[T-reflection])</f>
        <v>h</v>
      </c>
      <c r="DH54" t="str" cm="1">
        <f t="array" ref="DH54">_xlfn.XLOOKUP(TRUE, EXACT(Table28[[#This Row],[X2]], Table29[orig]), Table29[T-reflection])</f>
        <v>g</v>
      </c>
      <c r="DI54" t="str" cm="1">
        <f t="array" ref="DI54">_xlfn.XLOOKUP(TRUE, EXACT(Table28[[#This Row],[X'']], Table29[orig]), Table29[T-reflection])</f>
        <v>f</v>
      </c>
      <c r="DJ54" s="6" t="str" cm="1">
        <f t="array" ref="DJ54">_xlfn.XLOOKUP(TRUE, EXACT(Table28[[#This Row],[Y]], Table29[orig]), Table29[T-reflection])</f>
        <v>i</v>
      </c>
      <c r="DK54" t="str" cm="1">
        <f t="array" ref="DK54">_xlfn.XLOOKUP(TRUE, EXACT(Table28[[#This Row],[Y2]], Table29[orig]), Table29[T-reflection])</f>
        <v>m</v>
      </c>
      <c r="DL54" t="str" cm="1">
        <f t="array" ref="DL54">_xlfn.XLOOKUP(TRUE, EXACT(Table28[[#This Row],[Y'']], Table29[orig]), Table29[T-reflection])</f>
        <v>q</v>
      </c>
      <c r="DM54" s="6" t="str" cm="1">
        <f t="array" ref="DM54">_xlfn.XLOOKUP(TRUE, EXACT(Table28[[#This Row],[Z]], Table29[orig]), Table29[T-reflection])</f>
        <v>x</v>
      </c>
      <c r="DN54" t="str" cm="1">
        <f t="array" ref="DN54">_xlfn.XLOOKUP(TRUE, EXACT(Table28[[#This Row],[Z2]], Table29[orig]), Table29[T-reflection])</f>
        <v>o</v>
      </c>
      <c r="DO54" t="str" cm="1">
        <f t="array" ref="DO54">_xlfn.XLOOKUP(TRUE, EXACT(Table28[[#This Row],[Z'']], Table29[orig]), Table29[T-reflection])</f>
        <v>b</v>
      </c>
      <c r="DP54" t="str" cm="1">
        <f t="array" ref="DP54">_xlfn.XLOOKUP(TRUE, EXACT(Table28[[#This Row],[Z X]], Table29[orig]), Table29[T-reflection])</f>
        <v>l</v>
      </c>
      <c r="DQ54" t="str" cm="1">
        <f t="array" ref="DQ54">_xlfn.XLOOKUP(TRUE, EXACT(Table28[[#This Row],[Y'' X'']], Table29[orig]), Table29[T-reflection])</f>
        <v>c</v>
      </c>
      <c r="DR54" t="str" cm="1">
        <f t="array" ref="DR54">_xlfn.XLOOKUP(TRUE, EXACT(Table28[[#This Row],[Y X'']], Table29[orig]), Table29[T-reflection])</f>
        <v>u</v>
      </c>
      <c r="DS54" t="str" cm="1">
        <f t="array" ref="DS54">_xlfn.XLOOKUP(TRUE, EXACT(Table28[[#This Row],[Z'' X]], Table29[orig]), Table29[T-reflection])</f>
        <v>t</v>
      </c>
      <c r="DT54" t="str" cm="1">
        <f t="array" ref="DT54">_xlfn.XLOOKUP(TRUE, EXACT(Table28[[#This Row],[Z'' X'']], Table29[orig]), Table29[T-reflection])</f>
        <v>j</v>
      </c>
      <c r="DU54" t="str" cm="1">
        <f t="array" ref="DU54">_xlfn.XLOOKUP(TRUE, EXACT(Table28[[#This Row],[Y'' X]], Table29[orig]), Table29[T-reflection])</f>
        <v>w</v>
      </c>
      <c r="DV54" t="str" cm="1">
        <f t="array" ref="DV54">_xlfn.XLOOKUP(TRUE, EXACT(Table28[[#This Row],[Y X]], Table29[orig]), Table29[T-reflection])</f>
        <v>a</v>
      </c>
      <c r="DW54" t="str" cm="1">
        <f t="array" ref="DW54">_xlfn.XLOOKUP(TRUE, EXACT(Table28[[#This Row],[Z X'']], Table29[orig]), Table29[T-reflection])</f>
        <v>r</v>
      </c>
      <c r="DX54" t="str" cm="1">
        <f t="array" ref="DX54">_xlfn.XLOOKUP(TRUE, EXACT(Table28[[#This Row],[Y'' X2]], Table29[orig]), Table29[T-reflection])</f>
        <v>k</v>
      </c>
      <c r="DY54" t="str" cm="1">
        <f t="array" ref="DY54">_xlfn.XLOOKUP(TRUE, EXACT(Table28[[#This Row],[Y X2]], Table29[orig]), Table29[T-reflection])</f>
        <v>s</v>
      </c>
      <c r="DZ54" t="str" cm="1">
        <f t="array" ref="DZ54">_xlfn.XLOOKUP(TRUE, EXACT(Table28[[#This Row],[Z X2]], Table29[orig]), Table29[T-reflection])</f>
        <v>d</v>
      </c>
      <c r="EA54" t="str" cm="1">
        <f t="array" ref="EA54">_xlfn.XLOOKUP(TRUE, EXACT(Table28[[#This Row],[Z'' X2]], Table29[orig]), Table29[T-reflection])</f>
        <v>v</v>
      </c>
      <c r="EB54" t="str" cm="1">
        <f t="array" ref="EB54">_xlfn.XLOOKUP(TRUE, EXACT(Table28[[#This Row],[Z2 X]], Table29[orig]), Table29[T-reflection])</f>
        <v>p</v>
      </c>
      <c r="EC54" t="str" cm="1">
        <f t="array" ref="EC54">_xlfn.XLOOKUP(TRUE, EXACT(Table28[[#This Row],[Z2 X'']], Table29[orig]), Table29[T-reflection])</f>
        <v>n</v>
      </c>
    </row>
    <row r="55" spans="1:164" x14ac:dyDescent="0.2">
      <c r="B55" t="s">
        <v>73</v>
      </c>
      <c r="C55" t="s">
        <v>73</v>
      </c>
      <c r="D55" t="s">
        <v>134</v>
      </c>
      <c r="E55" t="s">
        <v>67</v>
      </c>
      <c r="F55" t="s">
        <v>137</v>
      </c>
      <c r="G55" t="s">
        <v>131</v>
      </c>
      <c r="H55" t="s">
        <v>73</v>
      </c>
      <c r="I55" t="s">
        <v>87</v>
      </c>
      <c r="J55" t="s">
        <v>134</v>
      </c>
      <c r="K55" t="s">
        <v>73</v>
      </c>
      <c r="L55" t="s">
        <v>73</v>
      </c>
      <c r="O55" t="s">
        <v>73</v>
      </c>
      <c r="P55" t="str">
        <f>Table27[[#This Row],[orig]]</f>
        <v>n</v>
      </c>
      <c r="Q55" t="str">
        <f>Table29[[#This Row],[X]]</f>
        <v>o</v>
      </c>
      <c r="R55" t="str" cm="1">
        <f t="array" ref="R55">_xlfn.XLOOKUP(TRUE, EXACT(Table27[[#This Row],[X]], Table27[orig]), Table27[X])</f>
        <v>p</v>
      </c>
      <c r="S55" t="str" cm="1">
        <f t="array" ref="S55">_xlfn.XLOOKUP(TRUE, EXACT(Table27[[#This Row],[X2]], Table27[orig]), Table27[X])</f>
        <v>m</v>
      </c>
      <c r="T55" t="str">
        <f>Table29[[#This Row],[Y]]</f>
        <v>j</v>
      </c>
      <c r="U55" t="str" cm="1">
        <f t="array" ref="U55">_xlfn.XLOOKUP(TRUE, EXACT(Table27[[#This Row],[Y]], Table27[orig]), Table27[Y])</f>
        <v>f</v>
      </c>
      <c r="V55" t="str" cm="1">
        <f t="array" ref="V55">_xlfn.XLOOKUP(TRUE, EXACT(Table27[[#This Row],[Y2]], Table27[orig]), Table27[Y])</f>
        <v>r</v>
      </c>
      <c r="W55" t="str">
        <f>Table29[[#This Row],[Z]]</f>
        <v>w</v>
      </c>
      <c r="X55" t="str" cm="1">
        <f t="array" ref="X55">_xlfn.XLOOKUP(TRUE, EXACT(Table27[[#This Row],[Z]], Table27[orig]), Table27[Z])</f>
        <v>h</v>
      </c>
      <c r="Y55" t="str" cm="1">
        <f t="array" ref="Y55">_xlfn.XLOOKUP(TRUE, EXACT(Table27[[#This Row],[Z2]], Table27[orig]), Table27[Z])</f>
        <v>a</v>
      </c>
      <c r="Z55" t="str">
        <f>Table29[[#This Row],[R]]</f>
        <v>o</v>
      </c>
      <c r="AA55" t="str" cm="1">
        <f t="array" ref="AA55">_xlfn.XLOOKUP(TRUE, EXACT(Table27[[#This Row],[R]], Table27[orig]), Table27[R])</f>
        <v>p</v>
      </c>
      <c r="AB55" t="str" cm="1">
        <f t="array" ref="AB55">_xlfn.XLOOKUP(TRUE, EXACT(Table27[[#This Row],[R2]], Table27[orig]), Table27[R])</f>
        <v>m</v>
      </c>
      <c r="AC55" t="str" cm="1">
        <f t="array" ref="AC55">_xlfn.XLOOKUP(TRUE, EXACT(_xlfn.XLOOKUP(TRUE, EXACT(Table27[[#This Row],[Y2]], Table27[orig]), Table27[R]), Table27[orig]), Table27[Y2])</f>
        <v>n</v>
      </c>
      <c r="AD55" t="str" cm="1">
        <f t="array" ref="AD55">_xlfn.XLOOKUP(TRUE, EXACT(Table27[[#This Row],[L]], Table27[orig]), Table27[L])</f>
        <v>n</v>
      </c>
      <c r="AE55" t="str" cm="1">
        <f t="array" ref="AE55">_xlfn.XLOOKUP(TRUE, EXACT(Table27[[#This Row],[L2]], Table27[orig]), Table27[L])</f>
        <v>n</v>
      </c>
      <c r="AF55" t="str" cm="1">
        <f t="array" ref="AF55">_xlfn.XLOOKUP(TRUE, EXACT(Table27[[#This Row],[r-lower]], Table27[orig]), Table27[R''])</f>
        <v>n</v>
      </c>
      <c r="AG55" t="str" cm="1">
        <f t="array" ref="AG55">_xlfn.XLOOKUP(TRUE, EXACT(Table27[[#This Row],[T]], Table27[orig]), Table27[T])</f>
        <v>n</v>
      </c>
      <c r="AH55" t="str" cm="1">
        <f t="array" ref="AH55">_xlfn.XLOOKUP(TRUE, EXACT(Table27[[#This Row],[T2]], Table27[orig]), Table27[T])</f>
        <v>n</v>
      </c>
      <c r="AI55" t="str" cm="1">
        <f t="array" ref="AI55">_xlfn.XLOOKUP(TRUE, EXACT(Table27[[#This Row],[X]], Table27[orig]), Table27[L])</f>
        <v>o</v>
      </c>
      <c r="AJ55" t="str" cm="1">
        <f t="array" ref="AJ55">_xlfn.XLOOKUP(TRUE, EXACT(Table27[[#This Row],[r-lower]], Table27[orig]), Table27[r-lower])</f>
        <v>p</v>
      </c>
      <c r="AK55" t="str" cm="1">
        <f t="array" ref="AK55">_xlfn.XLOOKUP(TRUE, EXACT(Table27[[#This Row],[r2-lower]], Table27[orig]), Table27[r-lower])</f>
        <v>m</v>
      </c>
      <c r="AL55" t="str" cm="1">
        <f t="array" ref="AL55">_xlfn.XLOOKUP(TRUE, EXACT(Table27[[#This Row],[X'']], Table27[orig]), Table27[R])</f>
        <v>n</v>
      </c>
      <c r="AM55" t="str" cm="1">
        <f t="array" ref="AM55">_xlfn.XLOOKUP(TRUE, EXACT(Table27[[#This Row],[l-lower]], Table27[orig]), Table27[l-lower])</f>
        <v>n</v>
      </c>
      <c r="AN55" t="str" cm="1">
        <f t="array" ref="AN55">_xlfn.XLOOKUP(TRUE, EXACT(Table27[[#This Row],[l2-lower]], Table27[orig]), Table27[l-lower])</f>
        <v>n</v>
      </c>
      <c r="AO55" t="str" cm="1">
        <f t="array" ref="AO55">_xlfn.XLOOKUP(TRUE, EXACT(Table27[[#This Row],[R]], Table27[orig]), Table27[L''])</f>
        <v>o</v>
      </c>
      <c r="AP55" t="str" cm="1">
        <f t="array" ref="AP55">_xlfn.XLOOKUP(TRUE, EXACT(Table27[[#This Row],[RL'']], Table27[orig]), Table27[RL''])</f>
        <v>p</v>
      </c>
      <c r="AQ55" t="str" cm="1">
        <f t="array" ref="AQ55">_xlfn.XLOOKUP(TRUE, EXACT(Table27[[#This Row],[R2L2]], Table27[orig]), Table27[RL''])</f>
        <v>m</v>
      </c>
      <c r="AR55" t="str">
        <f>Table29[[#This Row],[U]]</f>
        <v>n</v>
      </c>
      <c r="AS55" t="str" cm="1">
        <f t="array" ref="AS55">_xlfn.XLOOKUP(TRUE, EXACT(Table27[[#This Row],[U]], Table27[orig]), Table27[U])</f>
        <v>n</v>
      </c>
      <c r="AT55" t="str" cm="1">
        <f t="array" ref="AT55">_xlfn.XLOOKUP(TRUE, EXACT(Table27[[#This Row],[U2]], Table27[orig]), Table27[U])</f>
        <v>n</v>
      </c>
      <c r="AU55" t="str" cm="1">
        <f t="array" ref="AU55">_xlfn.XLOOKUP(TRUE, EXACT(_xlfn.XLOOKUP(TRUE, EXACT(Table27[[#This Row],[Z2]], Table27[orig]), Table27[U]), Table27[orig]), Table27[Z2])</f>
        <v>n</v>
      </c>
      <c r="AV55" t="str" cm="1">
        <f t="array" ref="AV55">_xlfn.XLOOKUP(TRUE, EXACT(Table27[[#This Row],[D]], Table27[orig]), Table27[D])</f>
        <v>n</v>
      </c>
      <c r="AW55" t="str" cm="1">
        <f t="array" ref="AW55">_xlfn.XLOOKUP(TRUE, EXACT(Table27[[#This Row],[D2]], Table27[orig]), Table27[D])</f>
        <v>n</v>
      </c>
      <c r="AX55" t="str" cm="1">
        <f t="array" ref="AX55">_xlfn.XLOOKUP(TRUE, EXACT(Table27[[#This Row],[u-lower]], Table27[orig]), Table27[U''])</f>
        <v>j</v>
      </c>
      <c r="AY55" t="str" cm="1">
        <f t="array" ref="AY55">_xlfn.XLOOKUP(TRUE, EXACT(Table27[[#This Row],[H]], Table27[orig]), Table27[H])</f>
        <v>f</v>
      </c>
      <c r="AZ55" t="str" cm="1">
        <f t="array" ref="AZ55">_xlfn.XLOOKUP(TRUE, EXACT(Table27[[#This Row],[H2]], Table27[orig]), Table27[H])</f>
        <v>r</v>
      </c>
      <c r="BA55" t="str" cm="1">
        <f t="array" ref="BA55">_xlfn.XLOOKUP(TRUE, EXACT(Table27[[#This Row],[Y]], Table27[orig]), Table27[D])</f>
        <v>j</v>
      </c>
      <c r="BB55" t="str" cm="1">
        <f t="array" ref="BB55">_xlfn.XLOOKUP(TRUE, EXACT(Table27[[#This Row],[u-lower]], Table27[orig]), Table27[u-lower])</f>
        <v>f</v>
      </c>
      <c r="BC55" t="str" cm="1">
        <f t="array" ref="BC55">_xlfn.XLOOKUP(TRUE, EXACT(Table27[[#This Row],[u2-lower]], Table27[orig]), Table27[u-lower])</f>
        <v>r</v>
      </c>
      <c r="BD55" t="str" cm="1">
        <f t="array" ref="BD55">_xlfn.XLOOKUP(TRUE, EXACT(Table27[[#This Row],[Y'']], Table27[orig]), Table27[U])</f>
        <v>r</v>
      </c>
      <c r="BE55" t="str" cm="1">
        <f t="array" ref="BE55">_xlfn.XLOOKUP(TRUE, EXACT(Table27[[#This Row],[d-lower]], Table27[orig]), Table27[d-lower])</f>
        <v>f</v>
      </c>
      <c r="BF55" t="str" cm="1">
        <f t="array" ref="BF55">_xlfn.XLOOKUP(TRUE, EXACT(Table27[[#This Row],[d2-lower]], Table27[orig]), Table27[d-lower])</f>
        <v>j</v>
      </c>
      <c r="BG55" t="str" cm="1">
        <f t="array" ref="BG55">_xlfn.XLOOKUP(TRUE, EXACT(Table27[[#This Row],[U]], Table27[orig]), Table27[D''])</f>
        <v>n</v>
      </c>
      <c r="BH55" t="str" cm="1">
        <f t="array" ref="BH55">_xlfn.XLOOKUP(TRUE, EXACT(Table27[[#This Row],[UD'']], Table27[orig]), Table27[UD''])</f>
        <v>n</v>
      </c>
      <c r="BI55" t="str" cm="1">
        <f t="array" ref="BI55">_xlfn.XLOOKUP(TRUE, EXACT(Table27[[#This Row],[U2D2]], Table27[orig]), Table27[UD''])</f>
        <v>n</v>
      </c>
      <c r="BJ55" t="str">
        <f>Table29[[#This Row],[F]]</f>
        <v>n</v>
      </c>
      <c r="BK55" t="str" cm="1">
        <f t="array" ref="BK55">_xlfn.XLOOKUP(TRUE, EXACT(Table27[[#This Row],[F]], Table27[orig]), Table27[F])</f>
        <v>n</v>
      </c>
      <c r="BL55" t="str" cm="1">
        <f t="array" ref="BL55">_xlfn.XLOOKUP(TRUE, EXACT(Table27[[#This Row],[F2]], Table27[orig]), Table27[F])</f>
        <v>n</v>
      </c>
      <c r="BM55" t="str" cm="1">
        <f t="array" ref="BM55">_xlfn.XLOOKUP(TRUE, EXACT(_xlfn.XLOOKUP(TRUE, EXACT(Table27[[#This Row],[X2]], Table27[orig]), Table27[F]), Table27[orig]), Table27[X2])</f>
        <v>a</v>
      </c>
      <c r="BN55" t="str" cm="1">
        <f t="array" ref="BN55">_xlfn.XLOOKUP(TRUE, EXACT(Table27[[#This Row],[B]], Table27[orig]), Table27[B])</f>
        <v>h</v>
      </c>
      <c r="BO55" t="str" cm="1">
        <f t="array" ref="BO55">_xlfn.XLOOKUP(TRUE, EXACT(Table27[[#This Row],[B2]], Table27[orig]), Table27[B])</f>
        <v>w</v>
      </c>
      <c r="BP55" t="str" cm="1">
        <f t="array" ref="BP55">_xlfn.XLOOKUP(TRUE, EXACT(Table27[[#This Row],[f-lower]], Table27[orig]), Table27[F''])</f>
        <v>n</v>
      </c>
      <c r="BQ55" t="str" cm="1">
        <f t="array" ref="BQ55">_xlfn.XLOOKUP(TRUE, EXACT(Table27[[#This Row],[S]], Table27[orig]), Table27[S])</f>
        <v>n</v>
      </c>
      <c r="BR55" t="str" cm="1">
        <f t="array" ref="BR55">_xlfn.XLOOKUP(TRUE, EXACT(Table27[[#This Row],[S2]], Table27[orig]), Table27[S])</f>
        <v>n</v>
      </c>
      <c r="BS55" t="str" cm="1">
        <f t="array" ref="BS55">_xlfn.XLOOKUP(TRUE, EXACT(Table27[[#This Row],[Z]], Table27[orig]), Table27[B])</f>
        <v>n</v>
      </c>
      <c r="BT55" t="str" cm="1">
        <f t="array" ref="BT55">_xlfn.XLOOKUP(TRUE, EXACT(Table27[[#This Row],[f-lower]], Table27[orig]), Table27[f-lower])</f>
        <v>n</v>
      </c>
      <c r="BU55" t="str" cm="1">
        <f t="array" ref="BU55">_xlfn.XLOOKUP(TRUE, EXACT(Table27[[#This Row],[f2-lower]], Table27[orig]), Table27[f-lower])</f>
        <v>n</v>
      </c>
      <c r="BV55" t="str" cm="1">
        <f t="array" ref="BV55">_xlfn.XLOOKUP(TRUE, EXACT(Table27[[#This Row],[Z'']], Table27[orig]), Table27[F])</f>
        <v>a</v>
      </c>
      <c r="BW55" t="str" cm="1">
        <f t="array" ref="BW55">_xlfn.XLOOKUP(TRUE, EXACT(Table27[[#This Row],[b-lower]], Table27[orig]), Table27[b-lower])</f>
        <v>h</v>
      </c>
      <c r="BX55" t="str" cm="1">
        <f t="array" ref="BX55">_xlfn.XLOOKUP(TRUE, EXACT(Table27[[#This Row],[b2-lower]], Table27[orig]), Table27[b-lower])</f>
        <v>w</v>
      </c>
      <c r="BY55" t="str" cm="1">
        <f t="array" ref="BY55">_xlfn.XLOOKUP(TRUE, EXACT(Table27[[#This Row],[F]], Table27[orig]), Table27[B''])</f>
        <v>w</v>
      </c>
      <c r="BZ55" t="str" cm="1">
        <f t="array" ref="BZ55">_xlfn.XLOOKUP(TRUE, EXACT(Table27[[#This Row],[FB'']], Table27[orig]), Table27[FB''])</f>
        <v>h</v>
      </c>
      <c r="CA55" t="str" cm="1">
        <f t="array" ref="CA55">_xlfn.XLOOKUP(TRUE, EXACT(Table27[[#This Row],[F2B2]], Table27[orig]), Table27[FB''])</f>
        <v>a</v>
      </c>
      <c r="CD55" t="s">
        <v>73</v>
      </c>
      <c r="CE55" t="str">
        <f>Table28[[#This Row],[orig]]</f>
        <v>n</v>
      </c>
      <c r="CF55" t="str">
        <f>Table29[[#This Row],[X]]</f>
        <v>o</v>
      </c>
      <c r="CG55" t="str" cm="1">
        <f t="array" ref="CG55">_xlfn.XLOOKUP(TRUE, EXACT(Table28[[#This Row],[X]], Table28[orig]), Table28[X])</f>
        <v>p</v>
      </c>
      <c r="CH55" t="str" cm="1">
        <f t="array" ref="CH55">_xlfn.XLOOKUP(TRUE, EXACT(Table28[[#This Row],[X2]], Table28[orig]), Table28[X])</f>
        <v>m</v>
      </c>
      <c r="CI55" t="str">
        <f>Table29[[#This Row],[Y]]</f>
        <v>j</v>
      </c>
      <c r="CJ55" t="str" cm="1">
        <f t="array" ref="CJ55">_xlfn.XLOOKUP(TRUE, EXACT(Table28[[#This Row],[Y]], Table28[orig]), Table28[Y])</f>
        <v>f</v>
      </c>
      <c r="CK55" t="str" cm="1">
        <f t="array" ref="CK55">_xlfn.XLOOKUP(TRUE, EXACT(Table28[[#This Row],[Y2]], Table28[orig]), Table28[Y])</f>
        <v>r</v>
      </c>
      <c r="CL55" t="str">
        <f>Table29[[#This Row],[Z]]</f>
        <v>w</v>
      </c>
      <c r="CM55" t="str" cm="1">
        <f t="array" ref="CM55">_xlfn.XLOOKUP(TRUE, EXACT(Table28[[#This Row],[Z]], Table28[orig]), Table28[Z])</f>
        <v>h</v>
      </c>
      <c r="CN55" t="str" cm="1">
        <f t="array" ref="CN55">_xlfn.XLOOKUP(TRUE, EXACT(Table28[[#This Row],[Z2]], Table28[orig]), Table28[Z])</f>
        <v>a</v>
      </c>
      <c r="CO55" t="str" cm="1">
        <f t="array" ref="CO55">_xlfn.XLOOKUP(TRUE, EXACT(Table28[[#This Row],[Z]], Table28[orig]), Table28[X])</f>
        <v>k</v>
      </c>
      <c r="CP55" t="str" cm="1">
        <f t="array" ref="CP55">_xlfn.XLOOKUP(TRUE, EXACT(Table28[[#This Row],[Y'']], Table28[orig]), Table28[X''])</f>
        <v>d</v>
      </c>
      <c r="CQ55" t="str" cm="1">
        <f t="array" ref="CQ55">_xlfn.XLOOKUP(TRUE, EXACT(Table28[[#This Row],[Y]], Table28[orig]), Table28[X''])</f>
        <v>v</v>
      </c>
      <c r="CR55" t="str" cm="1">
        <f t="array" ref="CR55">_xlfn.XLOOKUP(TRUE, EXACT(Table28[[#This Row],[Z'']], Table28[orig]), Table28[X])</f>
        <v>s</v>
      </c>
      <c r="CS55" t="str" cm="1">
        <f t="array" ref="CS55">_xlfn.XLOOKUP(TRUE, EXACT(Table28[[#This Row],[Z'']], Table28[orig]), Table28[X''])</f>
        <v>i</v>
      </c>
      <c r="CT55" t="str" cm="1">
        <f t="array" ref="CT55">_xlfn.XLOOKUP(TRUE, EXACT(Table28[[#This Row],[Y'']], Table28[orig]), Table28[X])</f>
        <v>x</v>
      </c>
      <c r="CU55" t="str" cm="1">
        <f t="array" ref="CU55">_xlfn.XLOOKUP(TRUE, EXACT(Table28[[#This Row],[Y]], Table28[orig]), Table28[X])</f>
        <v>b</v>
      </c>
      <c r="CV55" t="str" cm="1">
        <f t="array" ref="CV55">_xlfn.XLOOKUP(TRUE, EXACT(Table28[[#This Row],[Z]], Table28[orig]), Table28[X''])</f>
        <v>q</v>
      </c>
      <c r="CW55" t="str" cm="1">
        <f t="array" ref="CW55">_xlfn.XLOOKUP(TRUE, EXACT(Table28[[#This Row],[Y'']], Table28[orig]), Table28[X2])</f>
        <v>l</v>
      </c>
      <c r="CX55" t="str" cm="1">
        <f t="array" ref="CX55">_xlfn.XLOOKUP(TRUE, EXACT(Table28[[#This Row],[Y]], Table28[orig]), Table28[X2])</f>
        <v>t</v>
      </c>
      <c r="CY55" t="str" cm="1">
        <f t="array" ref="CY55">_xlfn.XLOOKUP(TRUE, EXACT(Table28[[#This Row],[Z]], Table28[orig]), Table28[X2])</f>
        <v>c</v>
      </c>
      <c r="CZ55" t="str" cm="1">
        <f t="array" ref="CZ55">_xlfn.XLOOKUP(TRUE, EXACT(Table28[[#This Row],[Z'']], Table28[orig]), Table28[X2])</f>
        <v>u</v>
      </c>
      <c r="DA55" t="str" cm="1">
        <f t="array" ref="DA55">_xlfn.XLOOKUP(TRUE, EXACT(Table28[[#This Row],[Z2]], Table28[orig]), Table28[X])</f>
        <v>g</v>
      </c>
      <c r="DB55" t="str" cm="1">
        <f t="array" ref="DB55">_xlfn.XLOOKUP(TRUE, EXACT(Table28[[#This Row],[Z2]], Table28[orig]), Table28[X''])</f>
        <v>e</v>
      </c>
      <c r="DE55" s="4" t="s">
        <v>73</v>
      </c>
      <c r="DF55" s="4" t="str" cm="1">
        <f t="array" ref="DF55">_xlfn.XLOOKUP(TRUE, EXACT(Table28[[#This Row],[I]], Table29[orig]), Table29[T-reflection])</f>
        <v>h</v>
      </c>
      <c r="DG55" s="4" t="str" cm="1">
        <f t="array" ref="DG55">_xlfn.XLOOKUP(TRUE, EXACT(Table28[[#This Row],[X]], Table29[orig]), Table29[T-reflection])</f>
        <v>g</v>
      </c>
      <c r="DH55" t="str" cm="1">
        <f t="array" ref="DH55">_xlfn.XLOOKUP(TRUE, EXACT(Table28[[#This Row],[X2]], Table29[orig]), Table29[T-reflection])</f>
        <v>f</v>
      </c>
      <c r="DI55" t="str" cm="1">
        <f t="array" ref="DI55">_xlfn.XLOOKUP(TRUE, EXACT(Table28[[#This Row],[X'']], Table29[orig]), Table29[T-reflection])</f>
        <v>e</v>
      </c>
      <c r="DJ55" s="4" t="str" cm="1">
        <f t="array" ref="DJ55">_xlfn.XLOOKUP(TRUE, EXACT(Table28[[#This Row],[Y]], Table29[orig]), Table29[T-reflection])</f>
        <v>l</v>
      </c>
      <c r="DK55" t="str" cm="1">
        <f t="array" ref="DK55">_xlfn.XLOOKUP(TRUE, EXACT(Table28[[#This Row],[Y2]], Table29[orig]), Table29[T-reflection])</f>
        <v>p</v>
      </c>
      <c r="DL55" t="str" cm="1">
        <f t="array" ref="DL55">_xlfn.XLOOKUP(TRUE, EXACT(Table28[[#This Row],[Y'']], Table29[orig]), Table29[T-reflection])</f>
        <v>t</v>
      </c>
      <c r="DM55" s="4" t="str" cm="1">
        <f t="array" ref="DM55">_xlfn.XLOOKUP(TRUE, EXACT(Table28[[#This Row],[Z]], Table29[orig]), Table29[T-reflection])</f>
        <v>w</v>
      </c>
      <c r="DN55" t="str" cm="1">
        <f t="array" ref="DN55">_xlfn.XLOOKUP(TRUE, EXACT(Table28[[#This Row],[Z2]], Table29[orig]), Table29[T-reflection])</f>
        <v>n</v>
      </c>
      <c r="DO55" t="str" cm="1">
        <f t="array" ref="DO55">_xlfn.XLOOKUP(TRUE, EXACT(Table28[[#This Row],[Z'']], Table29[orig]), Table29[T-reflection])</f>
        <v>a</v>
      </c>
      <c r="DP55" t="str" cm="1">
        <f t="array" ref="DP55">_xlfn.XLOOKUP(TRUE, EXACT(Table28[[#This Row],[Z X]], Table29[orig]), Table29[T-reflection])</f>
        <v>k</v>
      </c>
      <c r="DQ55" t="str" cm="1">
        <f t="array" ref="DQ55">_xlfn.XLOOKUP(TRUE, EXACT(Table28[[#This Row],[Y'' X'']], Table29[orig]), Table29[T-reflection])</f>
        <v>b</v>
      </c>
      <c r="DR55" t="str" cm="1">
        <f t="array" ref="DR55">_xlfn.XLOOKUP(TRUE, EXACT(Table28[[#This Row],[Y X'']], Table29[orig]), Table29[T-reflection])</f>
        <v>x</v>
      </c>
      <c r="DS55" t="str" cm="1">
        <f t="array" ref="DS55">_xlfn.XLOOKUP(TRUE, EXACT(Table28[[#This Row],[Z'' X]], Table29[orig]), Table29[T-reflection])</f>
        <v>s</v>
      </c>
      <c r="DT55" t="str" cm="1">
        <f t="array" ref="DT55">_xlfn.XLOOKUP(TRUE, EXACT(Table28[[#This Row],[Z'' X'']], Table29[orig]), Table29[T-reflection])</f>
        <v>i</v>
      </c>
      <c r="DU55" t="str" cm="1">
        <f t="array" ref="DU55">_xlfn.XLOOKUP(TRUE, EXACT(Table28[[#This Row],[Y'' X]], Table29[orig]), Table29[T-reflection])</f>
        <v>v</v>
      </c>
      <c r="DV55" t="str" cm="1">
        <f t="array" ref="DV55">_xlfn.XLOOKUP(TRUE, EXACT(Table28[[#This Row],[Y X]], Table29[orig]), Table29[T-reflection])</f>
        <v>d</v>
      </c>
      <c r="DW55" t="str" cm="1">
        <f t="array" ref="DW55">_xlfn.XLOOKUP(TRUE, EXACT(Table28[[#This Row],[Z X'']], Table29[orig]), Table29[T-reflection])</f>
        <v>q</v>
      </c>
      <c r="DX55" t="str" cm="1">
        <f t="array" ref="DX55">_xlfn.XLOOKUP(TRUE, EXACT(Table28[[#This Row],[Y'' X2]], Table29[orig]), Table29[T-reflection])</f>
        <v>j</v>
      </c>
      <c r="DY55" t="str" cm="1">
        <f t="array" ref="DY55">_xlfn.XLOOKUP(TRUE, EXACT(Table28[[#This Row],[Y X2]], Table29[orig]), Table29[T-reflection])</f>
        <v>r</v>
      </c>
      <c r="DZ55" t="str" cm="1">
        <f t="array" ref="DZ55">_xlfn.XLOOKUP(TRUE, EXACT(Table28[[#This Row],[Z X2]], Table29[orig]), Table29[T-reflection])</f>
        <v>c</v>
      </c>
      <c r="EA55" t="str" cm="1">
        <f t="array" ref="EA55">_xlfn.XLOOKUP(TRUE, EXACT(Table28[[#This Row],[Z'' X2]], Table29[orig]), Table29[T-reflection])</f>
        <v>u</v>
      </c>
      <c r="EB55" t="str" cm="1">
        <f t="array" ref="EB55">_xlfn.XLOOKUP(TRUE, EXACT(Table28[[#This Row],[Z2 X]], Table29[orig]), Table29[T-reflection])</f>
        <v>o</v>
      </c>
      <c r="EC55" t="str" cm="1">
        <f t="array" ref="EC55">_xlfn.XLOOKUP(TRUE, EXACT(Table28[[#This Row],[Z2 X'']], Table29[orig]), Table29[T-reflection])</f>
        <v>m</v>
      </c>
    </row>
    <row r="56" spans="1:164" x14ac:dyDescent="0.2">
      <c r="B56" t="s">
        <v>134</v>
      </c>
      <c r="C56" t="s">
        <v>134</v>
      </c>
      <c r="D56" t="s">
        <v>87</v>
      </c>
      <c r="E56" t="s">
        <v>86</v>
      </c>
      <c r="F56" t="s">
        <v>138</v>
      </c>
      <c r="G56" t="s">
        <v>60</v>
      </c>
      <c r="H56" t="s">
        <v>133</v>
      </c>
      <c r="I56" t="s">
        <v>136</v>
      </c>
      <c r="J56" t="s">
        <v>87</v>
      </c>
      <c r="K56" t="s">
        <v>134</v>
      </c>
      <c r="L56" t="s">
        <v>134</v>
      </c>
      <c r="O56" t="s">
        <v>134</v>
      </c>
      <c r="P56" t="str">
        <f>Table27[[#This Row],[orig]]</f>
        <v>o</v>
      </c>
      <c r="Q56" t="str">
        <f>Table29[[#This Row],[X]]</f>
        <v>p</v>
      </c>
      <c r="R56" t="str" cm="1">
        <f t="array" ref="R56">_xlfn.XLOOKUP(TRUE, EXACT(Table27[[#This Row],[X]], Table27[orig]), Table27[X])</f>
        <v>m</v>
      </c>
      <c r="S56" t="str" cm="1">
        <f t="array" ref="S56">_xlfn.XLOOKUP(TRUE, EXACT(Table27[[#This Row],[X2]], Table27[orig]), Table27[X])</f>
        <v>n</v>
      </c>
      <c r="T56" t="str">
        <f>Table29[[#This Row],[Y]]</f>
        <v>k</v>
      </c>
      <c r="U56" t="str" cm="1">
        <f t="array" ref="U56">_xlfn.XLOOKUP(TRUE, EXACT(Table27[[#This Row],[Y]], Table27[orig]), Table27[Y])</f>
        <v>g</v>
      </c>
      <c r="V56" t="str" cm="1">
        <f t="array" ref="V56">_xlfn.XLOOKUP(TRUE, EXACT(Table27[[#This Row],[Y2]], Table27[orig]), Table27[Y])</f>
        <v>s</v>
      </c>
      <c r="W56" t="str">
        <f>Table29[[#This Row],[Z]]</f>
        <v>x</v>
      </c>
      <c r="X56" t="str" cm="1">
        <f t="array" ref="X56">_xlfn.XLOOKUP(TRUE, EXACT(Table27[[#This Row],[Z]], Table27[orig]), Table27[Z])</f>
        <v>e</v>
      </c>
      <c r="Y56" t="str" cm="1">
        <f t="array" ref="Y56">_xlfn.XLOOKUP(TRUE, EXACT(Table27[[#This Row],[Z2]], Table27[orig]), Table27[Z])</f>
        <v>b</v>
      </c>
      <c r="Z56" t="str">
        <f>Table29[[#This Row],[R]]</f>
        <v>p</v>
      </c>
      <c r="AA56" t="str" cm="1">
        <f t="array" ref="AA56">_xlfn.XLOOKUP(TRUE, EXACT(Table27[[#This Row],[R]], Table27[orig]), Table27[R])</f>
        <v>m</v>
      </c>
      <c r="AB56" t="str" cm="1">
        <f t="array" ref="AB56">_xlfn.XLOOKUP(TRUE, EXACT(Table27[[#This Row],[R2]], Table27[orig]), Table27[R])</f>
        <v>n</v>
      </c>
      <c r="AC56" t="str" cm="1">
        <f t="array" ref="AC56">_xlfn.XLOOKUP(TRUE, EXACT(_xlfn.XLOOKUP(TRUE, EXACT(Table27[[#This Row],[Y2]], Table27[orig]), Table27[R]), Table27[orig]), Table27[Y2])</f>
        <v>o</v>
      </c>
      <c r="AD56" t="str" cm="1">
        <f t="array" ref="AD56">_xlfn.XLOOKUP(TRUE, EXACT(Table27[[#This Row],[L]], Table27[orig]), Table27[L])</f>
        <v>o</v>
      </c>
      <c r="AE56" t="str" cm="1">
        <f t="array" ref="AE56">_xlfn.XLOOKUP(TRUE, EXACT(Table27[[#This Row],[L2]], Table27[orig]), Table27[L])</f>
        <v>o</v>
      </c>
      <c r="AF56" t="str" cm="1">
        <f t="array" ref="AF56">_xlfn.XLOOKUP(TRUE, EXACT(Table27[[#This Row],[r-lower]], Table27[orig]), Table27[R''])</f>
        <v>o</v>
      </c>
      <c r="AG56" t="str" cm="1">
        <f t="array" ref="AG56">_xlfn.XLOOKUP(TRUE, EXACT(Table27[[#This Row],[T]], Table27[orig]), Table27[T])</f>
        <v>o</v>
      </c>
      <c r="AH56" t="str" cm="1">
        <f t="array" ref="AH56">_xlfn.XLOOKUP(TRUE, EXACT(Table27[[#This Row],[T2]], Table27[orig]), Table27[T])</f>
        <v>o</v>
      </c>
      <c r="AI56" t="str" cm="1">
        <f t="array" ref="AI56">_xlfn.XLOOKUP(TRUE, EXACT(Table27[[#This Row],[X]], Table27[orig]), Table27[L])</f>
        <v>p</v>
      </c>
      <c r="AJ56" t="str" cm="1">
        <f t="array" ref="AJ56">_xlfn.XLOOKUP(TRUE, EXACT(Table27[[#This Row],[r-lower]], Table27[orig]), Table27[r-lower])</f>
        <v>m</v>
      </c>
      <c r="AK56" t="str" cm="1">
        <f t="array" ref="AK56">_xlfn.XLOOKUP(TRUE, EXACT(Table27[[#This Row],[r2-lower]], Table27[orig]), Table27[r-lower])</f>
        <v>n</v>
      </c>
      <c r="AL56" t="str" cm="1">
        <f t="array" ref="AL56">_xlfn.XLOOKUP(TRUE, EXACT(Table27[[#This Row],[X'']], Table27[orig]), Table27[R])</f>
        <v>o</v>
      </c>
      <c r="AM56" t="str" cm="1">
        <f t="array" ref="AM56">_xlfn.XLOOKUP(TRUE, EXACT(Table27[[#This Row],[l-lower]], Table27[orig]), Table27[l-lower])</f>
        <v>o</v>
      </c>
      <c r="AN56" t="str" cm="1">
        <f t="array" ref="AN56">_xlfn.XLOOKUP(TRUE, EXACT(Table27[[#This Row],[l2-lower]], Table27[orig]), Table27[l-lower])</f>
        <v>o</v>
      </c>
      <c r="AO56" t="str" cm="1">
        <f t="array" ref="AO56">_xlfn.XLOOKUP(TRUE, EXACT(Table27[[#This Row],[R]], Table27[orig]), Table27[L''])</f>
        <v>p</v>
      </c>
      <c r="AP56" t="str" cm="1">
        <f t="array" ref="AP56">_xlfn.XLOOKUP(TRUE, EXACT(Table27[[#This Row],[RL'']], Table27[orig]), Table27[RL''])</f>
        <v>m</v>
      </c>
      <c r="AQ56" t="str" cm="1">
        <f t="array" ref="AQ56">_xlfn.XLOOKUP(TRUE, EXACT(Table27[[#This Row],[R2L2]], Table27[orig]), Table27[RL''])</f>
        <v>n</v>
      </c>
      <c r="AR56" t="str">
        <f>Table29[[#This Row],[U]]</f>
        <v>o</v>
      </c>
      <c r="AS56" t="str" cm="1">
        <f t="array" ref="AS56">_xlfn.XLOOKUP(TRUE, EXACT(Table27[[#This Row],[U]], Table27[orig]), Table27[U])</f>
        <v>o</v>
      </c>
      <c r="AT56" t="str" cm="1">
        <f t="array" ref="AT56">_xlfn.XLOOKUP(TRUE, EXACT(Table27[[#This Row],[U2]], Table27[orig]), Table27[U])</f>
        <v>o</v>
      </c>
      <c r="AU56" t="str" cm="1">
        <f t="array" ref="AU56">_xlfn.XLOOKUP(TRUE, EXACT(_xlfn.XLOOKUP(TRUE, EXACT(Table27[[#This Row],[Z2]], Table27[orig]), Table27[U]), Table27[orig]), Table27[Z2])</f>
        <v>s</v>
      </c>
      <c r="AV56" t="str" cm="1">
        <f t="array" ref="AV56">_xlfn.XLOOKUP(TRUE, EXACT(Table27[[#This Row],[D]], Table27[orig]), Table27[D])</f>
        <v>g</v>
      </c>
      <c r="AW56" t="str" cm="1">
        <f t="array" ref="AW56">_xlfn.XLOOKUP(TRUE, EXACT(Table27[[#This Row],[D2]], Table27[orig]), Table27[D])</f>
        <v>k</v>
      </c>
      <c r="AX56" t="str" cm="1">
        <f t="array" ref="AX56">_xlfn.XLOOKUP(TRUE, EXACT(Table27[[#This Row],[u-lower]], Table27[orig]), Table27[U''])</f>
        <v>o</v>
      </c>
      <c r="AY56" t="str" cm="1">
        <f t="array" ref="AY56">_xlfn.XLOOKUP(TRUE, EXACT(Table27[[#This Row],[H]], Table27[orig]), Table27[H])</f>
        <v>o</v>
      </c>
      <c r="AZ56" t="str" cm="1">
        <f t="array" ref="AZ56">_xlfn.XLOOKUP(TRUE, EXACT(Table27[[#This Row],[H2]], Table27[orig]), Table27[H])</f>
        <v>o</v>
      </c>
      <c r="BA56" t="str" cm="1">
        <f t="array" ref="BA56">_xlfn.XLOOKUP(TRUE, EXACT(Table27[[#This Row],[Y]], Table27[orig]), Table27[D])</f>
        <v>o</v>
      </c>
      <c r="BB56" t="str" cm="1">
        <f t="array" ref="BB56">_xlfn.XLOOKUP(TRUE, EXACT(Table27[[#This Row],[u-lower]], Table27[orig]), Table27[u-lower])</f>
        <v>o</v>
      </c>
      <c r="BC56" t="str" cm="1">
        <f t="array" ref="BC56">_xlfn.XLOOKUP(TRUE, EXACT(Table27[[#This Row],[u2-lower]], Table27[orig]), Table27[u-lower])</f>
        <v>o</v>
      </c>
      <c r="BD56" t="str" cm="1">
        <f t="array" ref="BD56">_xlfn.XLOOKUP(TRUE, EXACT(Table27[[#This Row],[Y'']], Table27[orig]), Table27[U])</f>
        <v>s</v>
      </c>
      <c r="BE56" t="str" cm="1">
        <f t="array" ref="BE56">_xlfn.XLOOKUP(TRUE, EXACT(Table27[[#This Row],[d-lower]], Table27[orig]), Table27[d-lower])</f>
        <v>g</v>
      </c>
      <c r="BF56" t="str" cm="1">
        <f t="array" ref="BF56">_xlfn.XLOOKUP(TRUE, EXACT(Table27[[#This Row],[d2-lower]], Table27[orig]), Table27[d-lower])</f>
        <v>k</v>
      </c>
      <c r="BG56" t="str" cm="1">
        <f t="array" ref="BG56">_xlfn.XLOOKUP(TRUE, EXACT(Table27[[#This Row],[U]], Table27[orig]), Table27[D''])</f>
        <v>k</v>
      </c>
      <c r="BH56" t="str" cm="1">
        <f t="array" ref="BH56">_xlfn.XLOOKUP(TRUE, EXACT(Table27[[#This Row],[UD'']], Table27[orig]), Table27[UD''])</f>
        <v>g</v>
      </c>
      <c r="BI56" t="str" cm="1">
        <f t="array" ref="BI56">_xlfn.XLOOKUP(TRUE, EXACT(Table27[[#This Row],[U2D2]], Table27[orig]), Table27[UD''])</f>
        <v>s</v>
      </c>
      <c r="BJ56" t="str">
        <f>Table29[[#This Row],[F]]</f>
        <v>o</v>
      </c>
      <c r="BK56" t="str" cm="1">
        <f t="array" ref="BK56">_xlfn.XLOOKUP(TRUE, EXACT(Table27[[#This Row],[F]], Table27[orig]), Table27[F])</f>
        <v>o</v>
      </c>
      <c r="BL56" t="str" cm="1">
        <f t="array" ref="BL56">_xlfn.XLOOKUP(TRUE, EXACT(Table27[[#This Row],[F2]], Table27[orig]), Table27[F])</f>
        <v>o</v>
      </c>
      <c r="BM56" t="str" cm="1">
        <f t="array" ref="BM56">_xlfn.XLOOKUP(TRUE, EXACT(_xlfn.XLOOKUP(TRUE, EXACT(Table27[[#This Row],[X2]], Table27[orig]), Table27[F]), Table27[orig]), Table27[X2])</f>
        <v>o</v>
      </c>
      <c r="BN56" t="str" cm="1">
        <f t="array" ref="BN56">_xlfn.XLOOKUP(TRUE, EXACT(Table27[[#This Row],[B]], Table27[orig]), Table27[B])</f>
        <v>o</v>
      </c>
      <c r="BO56" t="str" cm="1">
        <f t="array" ref="BO56">_xlfn.XLOOKUP(TRUE, EXACT(Table27[[#This Row],[B2]], Table27[orig]), Table27[B])</f>
        <v>o</v>
      </c>
      <c r="BP56" t="str" cm="1">
        <f t="array" ref="BP56">_xlfn.XLOOKUP(TRUE, EXACT(Table27[[#This Row],[f-lower]], Table27[orig]), Table27[F''])</f>
        <v>x</v>
      </c>
      <c r="BQ56" t="str" cm="1">
        <f t="array" ref="BQ56">_xlfn.XLOOKUP(TRUE, EXACT(Table27[[#This Row],[S]], Table27[orig]), Table27[S])</f>
        <v>e</v>
      </c>
      <c r="BR56" t="str" cm="1">
        <f t="array" ref="BR56">_xlfn.XLOOKUP(TRUE, EXACT(Table27[[#This Row],[S2]], Table27[orig]), Table27[S])</f>
        <v>b</v>
      </c>
      <c r="BS56" t="str" cm="1">
        <f t="array" ref="BS56">_xlfn.XLOOKUP(TRUE, EXACT(Table27[[#This Row],[Z]], Table27[orig]), Table27[B])</f>
        <v>x</v>
      </c>
      <c r="BT56" t="str" cm="1">
        <f t="array" ref="BT56">_xlfn.XLOOKUP(TRUE, EXACT(Table27[[#This Row],[f-lower]], Table27[orig]), Table27[f-lower])</f>
        <v>e</v>
      </c>
      <c r="BU56" t="str" cm="1">
        <f t="array" ref="BU56">_xlfn.XLOOKUP(TRUE, EXACT(Table27[[#This Row],[f2-lower]], Table27[orig]), Table27[f-lower])</f>
        <v>b</v>
      </c>
      <c r="BV56" t="str" cm="1">
        <f t="array" ref="BV56">_xlfn.XLOOKUP(TRUE, EXACT(Table27[[#This Row],[Z'']], Table27[orig]), Table27[F])</f>
        <v>b</v>
      </c>
      <c r="BW56" t="str" cm="1">
        <f t="array" ref="BW56">_xlfn.XLOOKUP(TRUE, EXACT(Table27[[#This Row],[b-lower]], Table27[orig]), Table27[b-lower])</f>
        <v>e</v>
      </c>
      <c r="BX56" t="str" cm="1">
        <f t="array" ref="BX56">_xlfn.XLOOKUP(TRUE, EXACT(Table27[[#This Row],[b2-lower]], Table27[orig]), Table27[b-lower])</f>
        <v>x</v>
      </c>
      <c r="BY56" t="str" cm="1">
        <f t="array" ref="BY56">_xlfn.XLOOKUP(TRUE, EXACT(Table27[[#This Row],[F]], Table27[orig]), Table27[B''])</f>
        <v>o</v>
      </c>
      <c r="BZ56" t="str" cm="1">
        <f t="array" ref="BZ56">_xlfn.XLOOKUP(TRUE, EXACT(Table27[[#This Row],[FB'']], Table27[orig]), Table27[FB''])</f>
        <v>o</v>
      </c>
      <c r="CA56" t="str" cm="1">
        <f t="array" ref="CA56">_xlfn.XLOOKUP(TRUE, EXACT(Table27[[#This Row],[F2B2]], Table27[orig]), Table27[FB''])</f>
        <v>o</v>
      </c>
      <c r="CD56" t="s">
        <v>134</v>
      </c>
      <c r="CE56" t="str">
        <f>Table28[[#This Row],[orig]]</f>
        <v>o</v>
      </c>
      <c r="CF56" t="str">
        <f>Table29[[#This Row],[X]]</f>
        <v>p</v>
      </c>
      <c r="CG56" t="str" cm="1">
        <f t="array" ref="CG56">_xlfn.XLOOKUP(TRUE, EXACT(Table28[[#This Row],[X]], Table28[orig]), Table28[X])</f>
        <v>m</v>
      </c>
      <c r="CH56" t="str" cm="1">
        <f t="array" ref="CH56">_xlfn.XLOOKUP(TRUE, EXACT(Table28[[#This Row],[X2]], Table28[orig]), Table28[X])</f>
        <v>n</v>
      </c>
      <c r="CI56" t="str">
        <f>Table29[[#This Row],[Y]]</f>
        <v>k</v>
      </c>
      <c r="CJ56" t="str" cm="1">
        <f t="array" ref="CJ56">_xlfn.XLOOKUP(TRUE, EXACT(Table28[[#This Row],[Y]], Table28[orig]), Table28[Y])</f>
        <v>g</v>
      </c>
      <c r="CK56" t="str" cm="1">
        <f t="array" ref="CK56">_xlfn.XLOOKUP(TRUE, EXACT(Table28[[#This Row],[Y2]], Table28[orig]), Table28[Y])</f>
        <v>s</v>
      </c>
      <c r="CL56" t="str">
        <f>Table29[[#This Row],[Z]]</f>
        <v>x</v>
      </c>
      <c r="CM56" t="str" cm="1">
        <f t="array" ref="CM56">_xlfn.XLOOKUP(TRUE, EXACT(Table28[[#This Row],[Z]], Table28[orig]), Table28[Z])</f>
        <v>e</v>
      </c>
      <c r="CN56" t="str" cm="1">
        <f t="array" ref="CN56">_xlfn.XLOOKUP(TRUE, EXACT(Table28[[#This Row],[Z2]], Table28[orig]), Table28[Z])</f>
        <v>b</v>
      </c>
      <c r="CO56" t="str" cm="1">
        <f t="array" ref="CO56">_xlfn.XLOOKUP(TRUE, EXACT(Table28[[#This Row],[Z]], Table28[orig]), Table28[X])</f>
        <v>l</v>
      </c>
      <c r="CP56" t="str" cm="1">
        <f t="array" ref="CP56">_xlfn.XLOOKUP(TRUE, EXACT(Table28[[#This Row],[Y'']], Table28[orig]), Table28[X''])</f>
        <v>a</v>
      </c>
      <c r="CQ56" t="str" cm="1">
        <f t="array" ref="CQ56">_xlfn.XLOOKUP(TRUE, EXACT(Table28[[#This Row],[Y]], Table28[orig]), Table28[X''])</f>
        <v>w</v>
      </c>
      <c r="CR56" t="str" cm="1">
        <f t="array" ref="CR56">_xlfn.XLOOKUP(TRUE, EXACT(Table28[[#This Row],[Z'']], Table28[orig]), Table28[X])</f>
        <v>t</v>
      </c>
      <c r="CS56" t="str" cm="1">
        <f t="array" ref="CS56">_xlfn.XLOOKUP(TRUE, EXACT(Table28[[#This Row],[Z'']], Table28[orig]), Table28[X''])</f>
        <v>j</v>
      </c>
      <c r="CT56" t="str" cm="1">
        <f t="array" ref="CT56">_xlfn.XLOOKUP(TRUE, EXACT(Table28[[#This Row],[Y'']], Table28[orig]), Table28[X])</f>
        <v>u</v>
      </c>
      <c r="CU56" t="str" cm="1">
        <f t="array" ref="CU56">_xlfn.XLOOKUP(TRUE, EXACT(Table28[[#This Row],[Y]], Table28[orig]), Table28[X])</f>
        <v>c</v>
      </c>
      <c r="CV56" t="str" cm="1">
        <f t="array" ref="CV56">_xlfn.XLOOKUP(TRUE, EXACT(Table28[[#This Row],[Z]], Table28[orig]), Table28[X''])</f>
        <v>r</v>
      </c>
      <c r="CW56" t="str" cm="1">
        <f t="array" ref="CW56">_xlfn.XLOOKUP(TRUE, EXACT(Table28[[#This Row],[Y'']], Table28[orig]), Table28[X2])</f>
        <v>i</v>
      </c>
      <c r="CX56" t="str" cm="1">
        <f t="array" ref="CX56">_xlfn.XLOOKUP(TRUE, EXACT(Table28[[#This Row],[Y]], Table28[orig]), Table28[X2])</f>
        <v>q</v>
      </c>
      <c r="CY56" t="str" cm="1">
        <f t="array" ref="CY56">_xlfn.XLOOKUP(TRUE, EXACT(Table28[[#This Row],[Z]], Table28[orig]), Table28[X2])</f>
        <v>d</v>
      </c>
      <c r="CZ56" t="str" cm="1">
        <f t="array" ref="CZ56">_xlfn.XLOOKUP(TRUE, EXACT(Table28[[#This Row],[Z'']], Table28[orig]), Table28[X2])</f>
        <v>v</v>
      </c>
      <c r="DA56" t="str" cm="1">
        <f t="array" ref="DA56">_xlfn.XLOOKUP(TRUE, EXACT(Table28[[#This Row],[Z2]], Table28[orig]), Table28[X])</f>
        <v>h</v>
      </c>
      <c r="DB56" t="str" cm="1">
        <f t="array" ref="DB56">_xlfn.XLOOKUP(TRUE, EXACT(Table28[[#This Row],[Z2]], Table28[orig]), Table28[X''])</f>
        <v>f</v>
      </c>
      <c r="DE56" s="6" t="s">
        <v>134</v>
      </c>
      <c r="DF56" s="6" t="str" cm="1">
        <f t="array" ref="DF56">_xlfn.XLOOKUP(TRUE, EXACT(Table28[[#This Row],[I]], Table29[orig]), Table29[T-reflection])</f>
        <v>g</v>
      </c>
      <c r="DG56" s="6" t="str" cm="1">
        <f t="array" ref="DG56">_xlfn.XLOOKUP(TRUE, EXACT(Table28[[#This Row],[X]], Table29[orig]), Table29[T-reflection])</f>
        <v>f</v>
      </c>
      <c r="DH56" t="str" cm="1">
        <f t="array" ref="DH56">_xlfn.XLOOKUP(TRUE, EXACT(Table28[[#This Row],[X2]], Table29[orig]), Table29[T-reflection])</f>
        <v>e</v>
      </c>
      <c r="DI56" t="str" cm="1">
        <f t="array" ref="DI56">_xlfn.XLOOKUP(TRUE, EXACT(Table28[[#This Row],[X'']], Table29[orig]), Table29[T-reflection])</f>
        <v>h</v>
      </c>
      <c r="DJ56" s="6" t="str" cm="1">
        <f t="array" ref="DJ56">_xlfn.XLOOKUP(TRUE, EXACT(Table28[[#This Row],[Y]], Table29[orig]), Table29[T-reflection])</f>
        <v>k</v>
      </c>
      <c r="DK56" t="str" cm="1">
        <f t="array" ref="DK56">_xlfn.XLOOKUP(TRUE, EXACT(Table28[[#This Row],[Y2]], Table29[orig]), Table29[T-reflection])</f>
        <v>o</v>
      </c>
      <c r="DL56" t="str" cm="1">
        <f t="array" ref="DL56">_xlfn.XLOOKUP(TRUE, EXACT(Table28[[#This Row],[Y'']], Table29[orig]), Table29[T-reflection])</f>
        <v>s</v>
      </c>
      <c r="DM56" s="6" t="str" cm="1">
        <f t="array" ref="DM56">_xlfn.XLOOKUP(TRUE, EXACT(Table28[[#This Row],[Z]], Table29[orig]), Table29[T-reflection])</f>
        <v>v</v>
      </c>
      <c r="DN56" t="str" cm="1">
        <f t="array" ref="DN56">_xlfn.XLOOKUP(TRUE, EXACT(Table28[[#This Row],[Z2]], Table29[orig]), Table29[T-reflection])</f>
        <v>m</v>
      </c>
      <c r="DO56" t="str" cm="1">
        <f t="array" ref="DO56">_xlfn.XLOOKUP(TRUE, EXACT(Table28[[#This Row],[Z'']], Table29[orig]), Table29[T-reflection])</f>
        <v>d</v>
      </c>
      <c r="DP56" t="str" cm="1">
        <f t="array" ref="DP56">_xlfn.XLOOKUP(TRUE, EXACT(Table28[[#This Row],[Z X]], Table29[orig]), Table29[T-reflection])</f>
        <v>j</v>
      </c>
      <c r="DQ56" t="str" cm="1">
        <f t="array" ref="DQ56">_xlfn.XLOOKUP(TRUE, EXACT(Table28[[#This Row],[Y'' X'']], Table29[orig]), Table29[T-reflection])</f>
        <v>a</v>
      </c>
      <c r="DR56" t="str" cm="1">
        <f t="array" ref="DR56">_xlfn.XLOOKUP(TRUE, EXACT(Table28[[#This Row],[Y X'']], Table29[orig]), Table29[T-reflection])</f>
        <v>w</v>
      </c>
      <c r="DS56" t="str" cm="1">
        <f t="array" ref="DS56">_xlfn.XLOOKUP(TRUE, EXACT(Table28[[#This Row],[Z'' X]], Table29[orig]), Table29[T-reflection])</f>
        <v>r</v>
      </c>
      <c r="DT56" t="str" cm="1">
        <f t="array" ref="DT56">_xlfn.XLOOKUP(TRUE, EXACT(Table28[[#This Row],[Z'' X'']], Table29[orig]), Table29[T-reflection])</f>
        <v>l</v>
      </c>
      <c r="DU56" t="str" cm="1">
        <f t="array" ref="DU56">_xlfn.XLOOKUP(TRUE, EXACT(Table28[[#This Row],[Y'' X]], Table29[orig]), Table29[T-reflection])</f>
        <v>u</v>
      </c>
      <c r="DV56" t="str" cm="1">
        <f t="array" ref="DV56">_xlfn.XLOOKUP(TRUE, EXACT(Table28[[#This Row],[Y X]], Table29[orig]), Table29[T-reflection])</f>
        <v>c</v>
      </c>
      <c r="DW56" t="str" cm="1">
        <f t="array" ref="DW56">_xlfn.XLOOKUP(TRUE, EXACT(Table28[[#This Row],[Z X'']], Table29[orig]), Table29[T-reflection])</f>
        <v>t</v>
      </c>
      <c r="DX56" t="str" cm="1">
        <f t="array" ref="DX56">_xlfn.XLOOKUP(TRUE, EXACT(Table28[[#This Row],[Y'' X2]], Table29[orig]), Table29[T-reflection])</f>
        <v>i</v>
      </c>
      <c r="DY56" t="str" cm="1">
        <f t="array" ref="DY56">_xlfn.XLOOKUP(TRUE, EXACT(Table28[[#This Row],[Y X2]], Table29[orig]), Table29[T-reflection])</f>
        <v>q</v>
      </c>
      <c r="DZ56" t="str" cm="1">
        <f t="array" ref="DZ56">_xlfn.XLOOKUP(TRUE, EXACT(Table28[[#This Row],[Z X2]], Table29[orig]), Table29[T-reflection])</f>
        <v>b</v>
      </c>
      <c r="EA56" t="str" cm="1">
        <f t="array" ref="EA56">_xlfn.XLOOKUP(TRUE, EXACT(Table28[[#This Row],[Z'' X2]], Table29[orig]), Table29[T-reflection])</f>
        <v>x</v>
      </c>
      <c r="EB56" t="str" cm="1">
        <f t="array" ref="EB56">_xlfn.XLOOKUP(TRUE, EXACT(Table28[[#This Row],[Z2 X]], Table29[orig]), Table29[T-reflection])</f>
        <v>n</v>
      </c>
      <c r="EC56" t="str" cm="1">
        <f t="array" ref="EC56">_xlfn.XLOOKUP(TRUE, EXACT(Table28[[#This Row],[Z2 X'']], Table29[orig]), Table29[T-reflection])</f>
        <v>p</v>
      </c>
    </row>
    <row r="57" spans="1:164" s="5" customFormat="1" ht="16" thickBot="1" x14ac:dyDescent="0.25">
      <c r="A57"/>
      <c r="B57" s="5" t="s">
        <v>87</v>
      </c>
      <c r="C57" s="5" t="s">
        <v>87</v>
      </c>
      <c r="D57" s="5" t="s">
        <v>133</v>
      </c>
      <c r="E57" s="5" t="s">
        <v>44</v>
      </c>
      <c r="F57" s="5" t="s">
        <v>53</v>
      </c>
      <c r="G57" s="5" t="s">
        <v>47</v>
      </c>
      <c r="H57" s="5" t="s">
        <v>87</v>
      </c>
      <c r="I57" s="5" t="s">
        <v>33</v>
      </c>
      <c r="J57" s="5" t="s">
        <v>133</v>
      </c>
      <c r="K57" s="5" t="s">
        <v>87</v>
      </c>
      <c r="L57" s="5" t="s">
        <v>53</v>
      </c>
      <c r="M57"/>
      <c r="N57"/>
      <c r="O57" s="5" t="s">
        <v>87</v>
      </c>
      <c r="P57" s="5" t="str">
        <f>Table27[[#This Row],[orig]]</f>
        <v>p</v>
      </c>
      <c r="Q57" s="5" t="str">
        <f>Table29[[#This Row],[X]]</f>
        <v>m</v>
      </c>
      <c r="R57" s="5" t="str" cm="1">
        <f t="array" ref="R57">_xlfn.XLOOKUP(TRUE, EXACT(Table27[[#This Row],[X]], Table27[orig]), Table27[X])</f>
        <v>n</v>
      </c>
      <c r="S57" s="5" t="str" cm="1">
        <f t="array" ref="S57">_xlfn.XLOOKUP(TRUE, EXACT(Table27[[#This Row],[X2]], Table27[orig]), Table27[X])</f>
        <v>o</v>
      </c>
      <c r="T57" s="5" t="str">
        <f>Table29[[#This Row],[Y]]</f>
        <v>l</v>
      </c>
      <c r="U57" s="5" t="str" cm="1">
        <f t="array" ref="U57">_xlfn.XLOOKUP(TRUE, EXACT(Table27[[#This Row],[Y]], Table27[orig]), Table27[Y])</f>
        <v>h</v>
      </c>
      <c r="V57" s="5" t="str" cm="1">
        <f t="array" ref="V57">_xlfn.XLOOKUP(TRUE, EXACT(Table27[[#This Row],[Y2]], Table27[orig]), Table27[Y])</f>
        <v>t</v>
      </c>
      <c r="W57" s="5" t="str">
        <f>Table29[[#This Row],[Z]]</f>
        <v>u</v>
      </c>
      <c r="X57" s="5" t="str" cm="1">
        <f t="array" ref="X57">_xlfn.XLOOKUP(TRUE, EXACT(Table27[[#This Row],[Z]], Table27[orig]), Table27[Z])</f>
        <v>f</v>
      </c>
      <c r="Y57" s="5" t="str" cm="1">
        <f t="array" ref="Y57">_xlfn.XLOOKUP(TRUE, EXACT(Table27[[#This Row],[Z2]], Table27[orig]), Table27[Z])</f>
        <v>c</v>
      </c>
      <c r="Z57" s="5" t="str">
        <f>Table29[[#This Row],[R]]</f>
        <v>m</v>
      </c>
      <c r="AA57" s="5" t="str" cm="1">
        <f t="array" ref="AA57">_xlfn.XLOOKUP(TRUE, EXACT(Table27[[#This Row],[R]], Table27[orig]), Table27[R])</f>
        <v>n</v>
      </c>
      <c r="AB57" s="5" t="str" cm="1">
        <f t="array" ref="AB57">_xlfn.XLOOKUP(TRUE, EXACT(Table27[[#This Row],[R2]], Table27[orig]), Table27[R])</f>
        <v>o</v>
      </c>
      <c r="AC57" s="5" t="str" cm="1">
        <f t="array" ref="AC57">_xlfn.XLOOKUP(TRUE, EXACT(_xlfn.XLOOKUP(TRUE, EXACT(Table27[[#This Row],[Y2]], Table27[orig]), Table27[R]), Table27[orig]), Table27[Y2])</f>
        <v>p</v>
      </c>
      <c r="AD57" s="5" t="str" cm="1">
        <f t="array" ref="AD57">_xlfn.XLOOKUP(TRUE, EXACT(Table27[[#This Row],[L]], Table27[orig]), Table27[L])</f>
        <v>p</v>
      </c>
      <c r="AE57" s="5" t="str" cm="1">
        <f t="array" ref="AE57">_xlfn.XLOOKUP(TRUE, EXACT(Table27[[#This Row],[L2]], Table27[orig]), Table27[L])</f>
        <v>p</v>
      </c>
      <c r="AF57" s="5" t="str" cm="1">
        <f t="array" ref="AF57">_xlfn.XLOOKUP(TRUE, EXACT(Table27[[#This Row],[r-lower]], Table27[orig]), Table27[R''])</f>
        <v>p</v>
      </c>
      <c r="AG57" s="5" t="str" cm="1">
        <f t="array" ref="AG57">_xlfn.XLOOKUP(TRUE, EXACT(Table27[[#This Row],[T]], Table27[orig]), Table27[T])</f>
        <v>p</v>
      </c>
      <c r="AH57" s="5" t="str" cm="1">
        <f t="array" ref="AH57">_xlfn.XLOOKUP(TRUE, EXACT(Table27[[#This Row],[T2]], Table27[orig]), Table27[T])</f>
        <v>p</v>
      </c>
      <c r="AI57" s="5" t="str" cm="1">
        <f t="array" ref="AI57">_xlfn.XLOOKUP(TRUE, EXACT(Table27[[#This Row],[X]], Table27[orig]), Table27[L])</f>
        <v>m</v>
      </c>
      <c r="AJ57" s="5" t="str" cm="1">
        <f t="array" ref="AJ57">_xlfn.XLOOKUP(TRUE, EXACT(Table27[[#This Row],[r-lower]], Table27[orig]), Table27[r-lower])</f>
        <v>n</v>
      </c>
      <c r="AK57" s="5" t="str" cm="1">
        <f t="array" ref="AK57">_xlfn.XLOOKUP(TRUE, EXACT(Table27[[#This Row],[r2-lower]], Table27[orig]), Table27[r-lower])</f>
        <v>o</v>
      </c>
      <c r="AL57" s="5" t="str" cm="1">
        <f t="array" ref="AL57">_xlfn.XLOOKUP(TRUE, EXACT(Table27[[#This Row],[X'']], Table27[orig]), Table27[R])</f>
        <v>p</v>
      </c>
      <c r="AM57" s="5" t="str" cm="1">
        <f t="array" ref="AM57">_xlfn.XLOOKUP(TRUE, EXACT(Table27[[#This Row],[l-lower]], Table27[orig]), Table27[l-lower])</f>
        <v>p</v>
      </c>
      <c r="AN57" s="5" t="str" cm="1">
        <f t="array" ref="AN57">_xlfn.XLOOKUP(TRUE, EXACT(Table27[[#This Row],[l2-lower]], Table27[orig]), Table27[l-lower])</f>
        <v>p</v>
      </c>
      <c r="AO57" s="5" t="str" cm="1">
        <f t="array" ref="AO57">_xlfn.XLOOKUP(TRUE, EXACT(Table27[[#This Row],[R]], Table27[orig]), Table27[L''])</f>
        <v>m</v>
      </c>
      <c r="AP57" s="5" t="str" cm="1">
        <f t="array" ref="AP57">_xlfn.XLOOKUP(TRUE, EXACT(Table27[[#This Row],[RL'']], Table27[orig]), Table27[RL''])</f>
        <v>n</v>
      </c>
      <c r="AQ57" s="5" t="str" cm="1">
        <f t="array" ref="AQ57">_xlfn.XLOOKUP(TRUE, EXACT(Table27[[#This Row],[R2L2]], Table27[orig]), Table27[RL''])</f>
        <v>o</v>
      </c>
      <c r="AR57" s="5" t="str">
        <f>Table29[[#This Row],[U]]</f>
        <v>p</v>
      </c>
      <c r="AS57" s="5" t="str" cm="1">
        <f t="array" ref="AS57">_xlfn.XLOOKUP(TRUE, EXACT(Table27[[#This Row],[U]], Table27[orig]), Table27[U])</f>
        <v>p</v>
      </c>
      <c r="AT57" s="5" t="str" cm="1">
        <f t="array" ref="AT57">_xlfn.XLOOKUP(TRUE, EXACT(Table27[[#This Row],[U2]], Table27[orig]), Table27[U])</f>
        <v>p</v>
      </c>
      <c r="AU57" s="5" t="str" cm="1">
        <f t="array" ref="AU57">_xlfn.XLOOKUP(TRUE, EXACT(_xlfn.XLOOKUP(TRUE, EXACT(Table27[[#This Row],[Z2]], Table27[orig]), Table27[U]), Table27[orig]), Table27[Z2])</f>
        <v>p</v>
      </c>
      <c r="AV57" s="5" t="str" cm="1">
        <f t="array" ref="AV57">_xlfn.XLOOKUP(TRUE, EXACT(Table27[[#This Row],[D]], Table27[orig]), Table27[D])</f>
        <v>p</v>
      </c>
      <c r="AW57" s="5" t="str" cm="1">
        <f t="array" ref="AW57">_xlfn.XLOOKUP(TRUE, EXACT(Table27[[#This Row],[D2]], Table27[orig]), Table27[D])</f>
        <v>p</v>
      </c>
      <c r="AX57" s="5" t="str" cm="1">
        <f t="array" ref="AX57">_xlfn.XLOOKUP(TRUE, EXACT(Table27[[#This Row],[u-lower]], Table27[orig]), Table27[U''])</f>
        <v>l</v>
      </c>
      <c r="AY57" s="5" t="str" cm="1">
        <f t="array" ref="AY57">_xlfn.XLOOKUP(TRUE, EXACT(Table27[[#This Row],[H]], Table27[orig]), Table27[H])</f>
        <v>h</v>
      </c>
      <c r="AZ57" s="5" t="str" cm="1">
        <f t="array" ref="AZ57">_xlfn.XLOOKUP(TRUE, EXACT(Table27[[#This Row],[H2]], Table27[orig]), Table27[H])</f>
        <v>t</v>
      </c>
      <c r="BA57" s="5" t="str" cm="1">
        <f t="array" ref="BA57">_xlfn.XLOOKUP(TRUE, EXACT(Table27[[#This Row],[Y]], Table27[orig]), Table27[D])</f>
        <v>l</v>
      </c>
      <c r="BB57" s="5" t="str" cm="1">
        <f t="array" ref="BB57">_xlfn.XLOOKUP(TRUE, EXACT(Table27[[#This Row],[u-lower]], Table27[orig]), Table27[u-lower])</f>
        <v>h</v>
      </c>
      <c r="BC57" s="5" t="str" cm="1">
        <f t="array" ref="BC57">_xlfn.XLOOKUP(TRUE, EXACT(Table27[[#This Row],[u2-lower]], Table27[orig]), Table27[u-lower])</f>
        <v>t</v>
      </c>
      <c r="BD57" s="5" t="str" cm="1">
        <f t="array" ref="BD57">_xlfn.XLOOKUP(TRUE, EXACT(Table27[[#This Row],[Y'']], Table27[orig]), Table27[U])</f>
        <v>t</v>
      </c>
      <c r="BE57" s="5" t="str" cm="1">
        <f t="array" ref="BE57">_xlfn.XLOOKUP(TRUE, EXACT(Table27[[#This Row],[d-lower]], Table27[orig]), Table27[d-lower])</f>
        <v>h</v>
      </c>
      <c r="BF57" s="5" t="str" cm="1">
        <f t="array" ref="BF57">_xlfn.XLOOKUP(TRUE, EXACT(Table27[[#This Row],[d2-lower]], Table27[orig]), Table27[d-lower])</f>
        <v>l</v>
      </c>
      <c r="BG57" s="5" t="str" cm="1">
        <f t="array" ref="BG57">_xlfn.XLOOKUP(TRUE, EXACT(Table27[[#This Row],[U]], Table27[orig]), Table27[D''])</f>
        <v>p</v>
      </c>
      <c r="BH57" s="5" t="str" cm="1">
        <f t="array" ref="BH57">_xlfn.XLOOKUP(TRUE, EXACT(Table27[[#This Row],[UD'']], Table27[orig]), Table27[UD''])</f>
        <v>p</v>
      </c>
      <c r="BI57" s="5" t="str" cm="1">
        <f t="array" ref="BI57">_xlfn.XLOOKUP(TRUE, EXACT(Table27[[#This Row],[U2D2]], Table27[orig]), Table27[UD''])</f>
        <v>p</v>
      </c>
      <c r="BJ57" s="5" t="str">
        <f>Table29[[#This Row],[F]]</f>
        <v>u</v>
      </c>
      <c r="BK57" s="5" t="str" cm="1">
        <f t="array" ref="BK57">_xlfn.XLOOKUP(TRUE, EXACT(Table27[[#This Row],[F]], Table27[orig]), Table27[F])</f>
        <v>f</v>
      </c>
      <c r="BL57" s="5" t="str" cm="1">
        <f t="array" ref="BL57">_xlfn.XLOOKUP(TRUE, EXACT(Table27[[#This Row],[F2]], Table27[orig]), Table27[F])</f>
        <v>c</v>
      </c>
      <c r="BM57" s="5" t="str" cm="1">
        <f t="array" ref="BM57">_xlfn.XLOOKUP(TRUE, EXACT(_xlfn.XLOOKUP(TRUE, EXACT(Table27[[#This Row],[X2]], Table27[orig]), Table27[F]), Table27[orig]), Table27[X2])</f>
        <v>p</v>
      </c>
      <c r="BN57" s="5" t="str" cm="1">
        <f t="array" ref="BN57">_xlfn.XLOOKUP(TRUE, EXACT(Table27[[#This Row],[B]], Table27[orig]), Table27[B])</f>
        <v>p</v>
      </c>
      <c r="BO57" s="5" t="str" cm="1">
        <f t="array" ref="BO57">_xlfn.XLOOKUP(TRUE, EXACT(Table27[[#This Row],[B2]], Table27[orig]), Table27[B])</f>
        <v>p</v>
      </c>
      <c r="BP57" s="5" t="str" cm="1">
        <f t="array" ref="BP57">_xlfn.XLOOKUP(TRUE, EXACT(Table27[[#This Row],[f-lower]], Table27[orig]), Table27[F''])</f>
        <v>p</v>
      </c>
      <c r="BQ57" s="5" t="str" cm="1">
        <f t="array" ref="BQ57">_xlfn.XLOOKUP(TRUE, EXACT(Table27[[#This Row],[S]], Table27[orig]), Table27[S])</f>
        <v>p</v>
      </c>
      <c r="BR57" s="5" t="str" cm="1">
        <f t="array" ref="BR57">_xlfn.XLOOKUP(TRUE, EXACT(Table27[[#This Row],[S2]], Table27[orig]), Table27[S])</f>
        <v>p</v>
      </c>
      <c r="BS57" s="5" t="str" cm="1">
        <f t="array" ref="BS57">_xlfn.XLOOKUP(TRUE, EXACT(Table27[[#This Row],[Z]], Table27[orig]), Table27[B])</f>
        <v>u</v>
      </c>
      <c r="BT57" s="5" t="str" cm="1">
        <f t="array" ref="BT57">_xlfn.XLOOKUP(TRUE, EXACT(Table27[[#This Row],[f-lower]], Table27[orig]), Table27[f-lower])</f>
        <v>f</v>
      </c>
      <c r="BU57" s="5" t="str" cm="1">
        <f t="array" ref="BU57">_xlfn.XLOOKUP(TRUE, EXACT(Table27[[#This Row],[f2-lower]], Table27[orig]), Table27[f-lower])</f>
        <v>c</v>
      </c>
      <c r="BV57" s="5" t="str" cm="1">
        <f t="array" ref="BV57">_xlfn.XLOOKUP(TRUE, EXACT(Table27[[#This Row],[Z'']], Table27[orig]), Table27[F])</f>
        <v>p</v>
      </c>
      <c r="BW57" s="5" t="str" cm="1">
        <f t="array" ref="BW57">_xlfn.XLOOKUP(TRUE, EXACT(Table27[[#This Row],[b-lower]], Table27[orig]), Table27[b-lower])</f>
        <v>p</v>
      </c>
      <c r="BX57" s="5" t="str" cm="1">
        <f t="array" ref="BX57">_xlfn.XLOOKUP(TRUE, EXACT(Table27[[#This Row],[b2-lower]], Table27[orig]), Table27[b-lower])</f>
        <v>p</v>
      </c>
      <c r="BY57" s="5" t="str" cm="1">
        <f t="array" ref="BY57">_xlfn.XLOOKUP(TRUE, EXACT(Table27[[#This Row],[F]], Table27[orig]), Table27[B''])</f>
        <v>u</v>
      </c>
      <c r="BZ57" s="5" t="str" cm="1">
        <f t="array" ref="BZ57">_xlfn.XLOOKUP(TRUE, EXACT(Table27[[#This Row],[FB'']], Table27[orig]), Table27[FB''])</f>
        <v>f</v>
      </c>
      <c r="CA57" s="5" t="str" cm="1">
        <f t="array" ref="CA57">_xlfn.XLOOKUP(TRUE, EXACT(Table27[[#This Row],[F2B2]], Table27[orig]), Table27[FB''])</f>
        <v>c</v>
      </c>
      <c r="CB57"/>
      <c r="CC57"/>
      <c r="CD57" s="5" t="s">
        <v>87</v>
      </c>
      <c r="CE57" s="5" t="str">
        <f>Table28[[#This Row],[orig]]</f>
        <v>p</v>
      </c>
      <c r="CF57" s="5" t="str">
        <f>Table29[[#This Row],[X]]</f>
        <v>m</v>
      </c>
      <c r="CG57" s="5" t="str" cm="1">
        <f t="array" ref="CG57">_xlfn.XLOOKUP(TRUE, EXACT(Table28[[#This Row],[X]], Table28[orig]), Table28[X])</f>
        <v>n</v>
      </c>
      <c r="CH57" s="5" t="str" cm="1">
        <f t="array" ref="CH57">_xlfn.XLOOKUP(TRUE, EXACT(Table28[[#This Row],[X2]], Table28[orig]), Table28[X])</f>
        <v>o</v>
      </c>
      <c r="CI57" s="5" t="str">
        <f>Table29[[#This Row],[Y]]</f>
        <v>l</v>
      </c>
      <c r="CJ57" s="5" t="str" cm="1">
        <f t="array" ref="CJ57">_xlfn.XLOOKUP(TRUE, EXACT(Table28[[#This Row],[Y]], Table28[orig]), Table28[Y])</f>
        <v>h</v>
      </c>
      <c r="CK57" s="5" t="str" cm="1">
        <f t="array" ref="CK57">_xlfn.XLOOKUP(TRUE, EXACT(Table28[[#This Row],[Y2]], Table28[orig]), Table28[Y])</f>
        <v>t</v>
      </c>
      <c r="CL57" s="5" t="str">
        <f>Table29[[#This Row],[Z]]</f>
        <v>u</v>
      </c>
      <c r="CM57" s="5" t="str" cm="1">
        <f t="array" ref="CM57">_xlfn.XLOOKUP(TRUE, EXACT(Table28[[#This Row],[Z]], Table28[orig]), Table28[Z])</f>
        <v>f</v>
      </c>
      <c r="CN57" s="5" t="str" cm="1">
        <f t="array" ref="CN57">_xlfn.XLOOKUP(TRUE, EXACT(Table28[[#This Row],[Z2]], Table28[orig]), Table28[Z])</f>
        <v>c</v>
      </c>
      <c r="CO57" s="5" t="str" cm="1">
        <f t="array" ref="CO57">_xlfn.XLOOKUP(TRUE, EXACT(Table28[[#This Row],[Z]], Table28[orig]), Table28[X])</f>
        <v>i</v>
      </c>
      <c r="CP57" s="5" t="str" cm="1">
        <f t="array" ref="CP57">_xlfn.XLOOKUP(TRUE, EXACT(Table28[[#This Row],[Y'']], Table28[orig]), Table28[X''])</f>
        <v>b</v>
      </c>
      <c r="CQ57" s="5" t="str" cm="1">
        <f t="array" ref="CQ57">_xlfn.XLOOKUP(TRUE, EXACT(Table28[[#This Row],[Y]], Table28[orig]), Table28[X''])</f>
        <v>x</v>
      </c>
      <c r="CR57" s="5" t="str" cm="1">
        <f t="array" ref="CR57">_xlfn.XLOOKUP(TRUE, EXACT(Table28[[#This Row],[Z'']], Table28[orig]), Table28[X])</f>
        <v>q</v>
      </c>
      <c r="CS57" s="5" t="str" cm="1">
        <f t="array" ref="CS57">_xlfn.XLOOKUP(TRUE, EXACT(Table28[[#This Row],[Z'']], Table28[orig]), Table28[X''])</f>
        <v>k</v>
      </c>
      <c r="CT57" s="5" t="str" cm="1">
        <f t="array" ref="CT57">_xlfn.XLOOKUP(TRUE, EXACT(Table28[[#This Row],[Y'']], Table28[orig]), Table28[X])</f>
        <v>v</v>
      </c>
      <c r="CU57" s="5" t="str" cm="1">
        <f t="array" ref="CU57">_xlfn.XLOOKUP(TRUE, EXACT(Table28[[#This Row],[Y]], Table28[orig]), Table28[X])</f>
        <v>d</v>
      </c>
      <c r="CV57" s="5" t="str" cm="1">
        <f t="array" ref="CV57">_xlfn.XLOOKUP(TRUE, EXACT(Table28[[#This Row],[Z]], Table28[orig]), Table28[X''])</f>
        <v>s</v>
      </c>
      <c r="CW57" s="5" t="str" cm="1">
        <f t="array" ref="CW57">_xlfn.XLOOKUP(TRUE, EXACT(Table28[[#This Row],[Y'']], Table28[orig]), Table28[X2])</f>
        <v>j</v>
      </c>
      <c r="CX57" s="5" t="str" cm="1">
        <f t="array" ref="CX57">_xlfn.XLOOKUP(TRUE, EXACT(Table28[[#This Row],[Y]], Table28[orig]), Table28[X2])</f>
        <v>r</v>
      </c>
      <c r="CY57" s="5" t="str" cm="1">
        <f t="array" ref="CY57">_xlfn.XLOOKUP(TRUE, EXACT(Table28[[#This Row],[Z]], Table28[orig]), Table28[X2])</f>
        <v>a</v>
      </c>
      <c r="CZ57" s="5" t="str" cm="1">
        <f t="array" ref="CZ57">_xlfn.XLOOKUP(TRUE, EXACT(Table28[[#This Row],[Z'']], Table28[orig]), Table28[X2])</f>
        <v>w</v>
      </c>
      <c r="DA57" s="5" t="str" cm="1">
        <f t="array" ref="DA57">_xlfn.XLOOKUP(TRUE, EXACT(Table28[[#This Row],[Z2]], Table28[orig]), Table28[X])</f>
        <v>e</v>
      </c>
      <c r="DB57" s="5" t="str" cm="1">
        <f t="array" ref="DB57">_xlfn.XLOOKUP(TRUE, EXACT(Table28[[#This Row],[Z2]], Table28[orig]), Table28[X''])</f>
        <v>g</v>
      </c>
      <c r="DC57"/>
      <c r="DD57"/>
      <c r="DE57" s="8" t="s">
        <v>87</v>
      </c>
      <c r="DF57" s="8" t="str" cm="1">
        <f t="array" ref="DF57">_xlfn.XLOOKUP(TRUE, EXACT(Table28[[#This Row],[I]], Table29[orig]), Table29[T-reflection])</f>
        <v>f</v>
      </c>
      <c r="DG57" s="8" t="str" cm="1">
        <f t="array" ref="DG57">_xlfn.XLOOKUP(TRUE, EXACT(Table28[[#This Row],[X]], Table29[orig]), Table29[T-reflection])</f>
        <v>e</v>
      </c>
      <c r="DH57" s="5" t="str" cm="1">
        <f t="array" ref="DH57">_xlfn.XLOOKUP(TRUE, EXACT(Table28[[#This Row],[X2]], Table29[orig]), Table29[T-reflection])</f>
        <v>h</v>
      </c>
      <c r="DI57" s="5" t="str" cm="1">
        <f t="array" ref="DI57">_xlfn.XLOOKUP(TRUE, EXACT(Table28[[#This Row],[X'']], Table29[orig]), Table29[T-reflection])</f>
        <v>g</v>
      </c>
      <c r="DJ57" s="8" t="str" cm="1">
        <f t="array" ref="DJ57">_xlfn.XLOOKUP(TRUE, EXACT(Table28[[#This Row],[Y]], Table29[orig]), Table29[T-reflection])</f>
        <v>j</v>
      </c>
      <c r="DK57" s="5" t="str" cm="1">
        <f t="array" ref="DK57">_xlfn.XLOOKUP(TRUE, EXACT(Table28[[#This Row],[Y2]], Table29[orig]), Table29[T-reflection])</f>
        <v>n</v>
      </c>
      <c r="DL57" s="5" t="str" cm="1">
        <f t="array" ref="DL57">_xlfn.XLOOKUP(TRUE, EXACT(Table28[[#This Row],[Y'']], Table29[orig]), Table29[T-reflection])</f>
        <v>r</v>
      </c>
      <c r="DM57" s="8" t="str" cm="1">
        <f t="array" ref="DM57">_xlfn.XLOOKUP(TRUE, EXACT(Table28[[#This Row],[Z]], Table29[orig]), Table29[T-reflection])</f>
        <v>u</v>
      </c>
      <c r="DN57" s="5" t="str" cm="1">
        <f t="array" ref="DN57">_xlfn.XLOOKUP(TRUE, EXACT(Table28[[#This Row],[Z2]], Table29[orig]), Table29[T-reflection])</f>
        <v>p</v>
      </c>
      <c r="DO57" s="5" t="str" cm="1">
        <f t="array" ref="DO57">_xlfn.XLOOKUP(TRUE, EXACT(Table28[[#This Row],[Z'']], Table29[orig]), Table29[T-reflection])</f>
        <v>c</v>
      </c>
      <c r="DP57" s="5" t="str" cm="1">
        <f t="array" ref="DP57">_xlfn.XLOOKUP(TRUE, EXACT(Table28[[#This Row],[Z X]], Table29[orig]), Table29[T-reflection])</f>
        <v>i</v>
      </c>
      <c r="DQ57" s="5" t="str" cm="1">
        <f t="array" ref="DQ57">_xlfn.XLOOKUP(TRUE, EXACT(Table28[[#This Row],[Y'' X'']], Table29[orig]), Table29[T-reflection])</f>
        <v>d</v>
      </c>
      <c r="DR57" s="5" t="str" cm="1">
        <f t="array" ref="DR57">_xlfn.XLOOKUP(TRUE, EXACT(Table28[[#This Row],[Y X'']], Table29[orig]), Table29[T-reflection])</f>
        <v>v</v>
      </c>
      <c r="DS57" s="5" t="str" cm="1">
        <f t="array" ref="DS57">_xlfn.XLOOKUP(TRUE, EXACT(Table28[[#This Row],[Z'' X]], Table29[orig]), Table29[T-reflection])</f>
        <v>q</v>
      </c>
      <c r="DT57" s="5" t="str" cm="1">
        <f t="array" ref="DT57">_xlfn.XLOOKUP(TRUE, EXACT(Table28[[#This Row],[Z'' X'']], Table29[orig]), Table29[T-reflection])</f>
        <v>k</v>
      </c>
      <c r="DU57" s="5" t="str" cm="1">
        <f t="array" ref="DU57">_xlfn.XLOOKUP(TRUE, EXACT(Table28[[#This Row],[Y'' X]], Table29[orig]), Table29[T-reflection])</f>
        <v>x</v>
      </c>
      <c r="DV57" s="5" t="str" cm="1">
        <f t="array" ref="DV57">_xlfn.XLOOKUP(TRUE, EXACT(Table28[[#This Row],[Y X]], Table29[orig]), Table29[T-reflection])</f>
        <v>b</v>
      </c>
      <c r="DW57" s="5" t="str" cm="1">
        <f t="array" ref="DW57">_xlfn.XLOOKUP(TRUE, EXACT(Table28[[#This Row],[Z X'']], Table29[orig]), Table29[T-reflection])</f>
        <v>s</v>
      </c>
      <c r="DX57" s="5" t="str" cm="1">
        <f t="array" ref="DX57">_xlfn.XLOOKUP(TRUE, EXACT(Table28[[#This Row],[Y'' X2]], Table29[orig]), Table29[T-reflection])</f>
        <v>l</v>
      </c>
      <c r="DY57" s="5" t="str" cm="1">
        <f t="array" ref="DY57">_xlfn.XLOOKUP(TRUE, EXACT(Table28[[#This Row],[Y X2]], Table29[orig]), Table29[T-reflection])</f>
        <v>t</v>
      </c>
      <c r="DZ57" s="5" t="str" cm="1">
        <f t="array" ref="DZ57">_xlfn.XLOOKUP(TRUE, EXACT(Table28[[#This Row],[Z X2]], Table29[orig]), Table29[T-reflection])</f>
        <v>a</v>
      </c>
      <c r="EA57" s="5" t="str" cm="1">
        <f t="array" ref="EA57">_xlfn.XLOOKUP(TRUE, EXACT(Table28[[#This Row],[Z'' X2]], Table29[orig]), Table29[T-reflection])</f>
        <v>w</v>
      </c>
      <c r="EB57" s="5" t="str" cm="1">
        <f t="array" ref="EB57">_xlfn.XLOOKUP(TRUE, EXACT(Table28[[#This Row],[Z2 X]], Table29[orig]), Table29[T-reflection])</f>
        <v>m</v>
      </c>
      <c r="EC57" s="5" t="str" cm="1">
        <f t="array" ref="EC57">_xlfn.XLOOKUP(TRUE, EXACT(Table28[[#This Row],[Z2 X'']], Table29[orig]), Table29[T-reflection])</f>
        <v>o</v>
      </c>
      <c r="ED57"/>
      <c r="EE57"/>
      <c r="EF57"/>
      <c r="EG57"/>
      <c r="EH57"/>
      <c r="EI57"/>
      <c r="EJ57"/>
      <c r="EK57"/>
      <c r="EL57"/>
      <c r="EM57"/>
      <c r="EN57"/>
      <c r="EO57"/>
      <c r="EP57"/>
      <c r="EQ57"/>
      <c r="ER57"/>
      <c r="ES57"/>
      <c r="ET57"/>
      <c r="EU57"/>
      <c r="EV57"/>
      <c r="EW57"/>
      <c r="EX57"/>
      <c r="EY57"/>
      <c r="EZ57"/>
      <c r="FA57"/>
      <c r="FB57"/>
      <c r="FC57"/>
      <c r="FD57"/>
      <c r="FE57"/>
      <c r="FF57"/>
      <c r="FG57"/>
      <c r="FH57"/>
    </row>
    <row r="58" spans="1:164" ht="16" thickTop="1" x14ac:dyDescent="0.2">
      <c r="B58" t="s">
        <v>80</v>
      </c>
      <c r="C58" t="s">
        <v>80</v>
      </c>
      <c r="D58" t="s">
        <v>137</v>
      </c>
      <c r="E58" t="s">
        <v>133</v>
      </c>
      <c r="F58" t="s">
        <v>136</v>
      </c>
      <c r="G58" t="s">
        <v>80</v>
      </c>
      <c r="H58" t="s">
        <v>136</v>
      </c>
      <c r="I58" t="s">
        <v>132</v>
      </c>
      <c r="J58" t="s">
        <v>80</v>
      </c>
      <c r="K58" t="s">
        <v>133</v>
      </c>
      <c r="L58" t="s">
        <v>80</v>
      </c>
      <c r="O58" t="s">
        <v>80</v>
      </c>
      <c r="P58" t="str">
        <f>Table27[[#This Row],[orig]]</f>
        <v>q</v>
      </c>
      <c r="Q58" t="str">
        <f>Table29[[#This Row],[X]]</f>
        <v>w</v>
      </c>
      <c r="R58" t="str" cm="1">
        <f t="array" ref="R58">_xlfn.XLOOKUP(TRUE, EXACT(Table27[[#This Row],[X]], Table27[orig]), Table27[X])</f>
        <v>k</v>
      </c>
      <c r="S58" t="str" cm="1">
        <f t="array" ref="S58">_xlfn.XLOOKUP(TRUE, EXACT(Table27[[#This Row],[X2]], Table27[orig]), Table27[X])</f>
        <v>c</v>
      </c>
      <c r="T58" t="str">
        <f>Table29[[#This Row],[Y]]</f>
        <v>m</v>
      </c>
      <c r="U58" t="str" cm="1">
        <f t="array" ref="U58">_xlfn.XLOOKUP(TRUE, EXACT(Table27[[#This Row],[Y]], Table27[orig]), Table27[Y])</f>
        <v>i</v>
      </c>
      <c r="V58" t="str" cm="1">
        <f t="array" ref="V58">_xlfn.XLOOKUP(TRUE, EXACT(Table27[[#This Row],[Y2]], Table27[orig]), Table27[Y])</f>
        <v>e</v>
      </c>
      <c r="W58" t="str">
        <f>Table29[[#This Row],[Z]]</f>
        <v>t</v>
      </c>
      <c r="X58" t="str" cm="1">
        <f t="array" ref="X58">_xlfn.XLOOKUP(TRUE, EXACT(Table27[[#This Row],[Z]], Table27[orig]), Table27[Z])</f>
        <v>s</v>
      </c>
      <c r="Y58" t="str" cm="1">
        <f t="array" ref="Y58">_xlfn.XLOOKUP(TRUE, EXACT(Table27[[#This Row],[Z2]], Table27[orig]), Table27[Z])</f>
        <v>r</v>
      </c>
      <c r="Z58" t="str">
        <f>Table29[[#This Row],[R]]</f>
        <v>q</v>
      </c>
      <c r="AA58" t="str" cm="1">
        <f t="array" ref="AA58">_xlfn.XLOOKUP(TRUE, EXACT(Table27[[#This Row],[R]], Table27[orig]), Table27[R])</f>
        <v>q</v>
      </c>
      <c r="AB58" t="str" cm="1">
        <f t="array" ref="AB58">_xlfn.XLOOKUP(TRUE, EXACT(Table27[[#This Row],[R2]], Table27[orig]), Table27[R])</f>
        <v>q</v>
      </c>
      <c r="AC58" t="str" cm="1">
        <f t="array" ref="AC58">_xlfn.XLOOKUP(TRUE, EXACT(_xlfn.XLOOKUP(TRUE, EXACT(Table27[[#This Row],[Y2]], Table27[orig]), Table27[R]), Table27[orig]), Table27[Y2])</f>
        <v>q</v>
      </c>
      <c r="AD58" t="str" cm="1">
        <f t="array" ref="AD58">_xlfn.XLOOKUP(TRUE, EXACT(Table27[[#This Row],[L]], Table27[orig]), Table27[L])</f>
        <v>q</v>
      </c>
      <c r="AE58" t="str" cm="1">
        <f t="array" ref="AE58">_xlfn.XLOOKUP(TRUE, EXACT(Table27[[#This Row],[L2]], Table27[orig]), Table27[L])</f>
        <v>q</v>
      </c>
      <c r="AF58" t="str" cm="1">
        <f t="array" ref="AF58">_xlfn.XLOOKUP(TRUE, EXACT(Table27[[#This Row],[r-lower]], Table27[orig]), Table27[R''])</f>
        <v>w</v>
      </c>
      <c r="AG58" t="str" cm="1">
        <f t="array" ref="AG58">_xlfn.XLOOKUP(TRUE, EXACT(Table27[[#This Row],[T]], Table27[orig]), Table27[T])</f>
        <v>k</v>
      </c>
      <c r="AH58" t="str" cm="1">
        <f t="array" ref="AH58">_xlfn.XLOOKUP(TRUE, EXACT(Table27[[#This Row],[T2]], Table27[orig]), Table27[T])</f>
        <v>c</v>
      </c>
      <c r="AI58" t="str" cm="1">
        <f t="array" ref="AI58">_xlfn.XLOOKUP(TRUE, EXACT(Table27[[#This Row],[X]], Table27[orig]), Table27[L])</f>
        <v>w</v>
      </c>
      <c r="AJ58" t="str" cm="1">
        <f t="array" ref="AJ58">_xlfn.XLOOKUP(TRUE, EXACT(Table27[[#This Row],[r-lower]], Table27[orig]), Table27[r-lower])</f>
        <v>k</v>
      </c>
      <c r="AK58" t="str" cm="1">
        <f t="array" ref="AK58">_xlfn.XLOOKUP(TRUE, EXACT(Table27[[#This Row],[r2-lower]], Table27[orig]), Table27[r-lower])</f>
        <v>c</v>
      </c>
      <c r="AL58" t="str" cm="1">
        <f t="array" ref="AL58">_xlfn.XLOOKUP(TRUE, EXACT(Table27[[#This Row],[X'']], Table27[orig]), Table27[R])</f>
        <v>c</v>
      </c>
      <c r="AM58" t="str" cm="1">
        <f t="array" ref="AM58">_xlfn.XLOOKUP(TRUE, EXACT(Table27[[#This Row],[l-lower]], Table27[orig]), Table27[l-lower])</f>
        <v>k</v>
      </c>
      <c r="AN58" t="str" cm="1">
        <f t="array" ref="AN58">_xlfn.XLOOKUP(TRUE, EXACT(Table27[[#This Row],[l2-lower]], Table27[orig]), Table27[l-lower])</f>
        <v>w</v>
      </c>
      <c r="AO58" t="str" cm="1">
        <f t="array" ref="AO58">_xlfn.XLOOKUP(TRUE, EXACT(Table27[[#This Row],[R]], Table27[orig]), Table27[L''])</f>
        <v>q</v>
      </c>
      <c r="AP58" t="str" cm="1">
        <f t="array" ref="AP58">_xlfn.XLOOKUP(TRUE, EXACT(Table27[[#This Row],[RL'']], Table27[orig]), Table27[RL''])</f>
        <v>q</v>
      </c>
      <c r="AQ58" t="str" cm="1">
        <f t="array" ref="AQ58">_xlfn.XLOOKUP(TRUE, EXACT(Table27[[#This Row],[R2L2]], Table27[orig]), Table27[RL''])</f>
        <v>q</v>
      </c>
      <c r="AR58" t="str">
        <f>Table29[[#This Row],[U]]</f>
        <v>m</v>
      </c>
      <c r="AS58" t="str" cm="1">
        <f t="array" ref="AS58">_xlfn.XLOOKUP(TRUE, EXACT(Table27[[#This Row],[U]], Table27[orig]), Table27[U])</f>
        <v>i</v>
      </c>
      <c r="AT58" t="str" cm="1">
        <f t="array" ref="AT58">_xlfn.XLOOKUP(TRUE, EXACT(Table27[[#This Row],[U2]], Table27[orig]), Table27[U])</f>
        <v>e</v>
      </c>
      <c r="AU58" t="str" cm="1">
        <f t="array" ref="AU58">_xlfn.XLOOKUP(TRUE, EXACT(_xlfn.XLOOKUP(TRUE, EXACT(Table27[[#This Row],[Z2]], Table27[orig]), Table27[U]), Table27[orig]), Table27[Z2])</f>
        <v>q</v>
      </c>
      <c r="AV58" t="str" cm="1">
        <f t="array" ref="AV58">_xlfn.XLOOKUP(TRUE, EXACT(Table27[[#This Row],[D]], Table27[orig]), Table27[D])</f>
        <v>q</v>
      </c>
      <c r="AW58" t="str" cm="1">
        <f t="array" ref="AW58">_xlfn.XLOOKUP(TRUE, EXACT(Table27[[#This Row],[D2]], Table27[orig]), Table27[D])</f>
        <v>q</v>
      </c>
      <c r="AX58" t="str" cm="1">
        <f t="array" ref="AX58">_xlfn.XLOOKUP(TRUE, EXACT(Table27[[#This Row],[u-lower]], Table27[orig]), Table27[U''])</f>
        <v>q</v>
      </c>
      <c r="AY58" t="str" cm="1">
        <f t="array" ref="AY58">_xlfn.XLOOKUP(TRUE, EXACT(Table27[[#This Row],[H]], Table27[orig]), Table27[H])</f>
        <v>q</v>
      </c>
      <c r="AZ58" t="str" cm="1">
        <f t="array" ref="AZ58">_xlfn.XLOOKUP(TRUE, EXACT(Table27[[#This Row],[H2]], Table27[orig]), Table27[H])</f>
        <v>q</v>
      </c>
      <c r="BA58" t="str" cm="1">
        <f t="array" ref="BA58">_xlfn.XLOOKUP(TRUE, EXACT(Table27[[#This Row],[Y]], Table27[orig]), Table27[D])</f>
        <v>m</v>
      </c>
      <c r="BB58" t="str" cm="1">
        <f t="array" ref="BB58">_xlfn.XLOOKUP(TRUE, EXACT(Table27[[#This Row],[u-lower]], Table27[orig]), Table27[u-lower])</f>
        <v>i</v>
      </c>
      <c r="BC58" t="str" cm="1">
        <f t="array" ref="BC58">_xlfn.XLOOKUP(TRUE, EXACT(Table27[[#This Row],[u2-lower]], Table27[orig]), Table27[u-lower])</f>
        <v>e</v>
      </c>
      <c r="BD58" t="str" cm="1">
        <f t="array" ref="BD58">_xlfn.XLOOKUP(TRUE, EXACT(Table27[[#This Row],[Y'']], Table27[orig]), Table27[U])</f>
        <v>q</v>
      </c>
      <c r="BE58" t="str" cm="1">
        <f t="array" ref="BE58">_xlfn.XLOOKUP(TRUE, EXACT(Table27[[#This Row],[d-lower]], Table27[orig]), Table27[d-lower])</f>
        <v>q</v>
      </c>
      <c r="BF58" t="str" cm="1">
        <f t="array" ref="BF58">_xlfn.XLOOKUP(TRUE, EXACT(Table27[[#This Row],[d2-lower]], Table27[orig]), Table27[d-lower])</f>
        <v>q</v>
      </c>
      <c r="BG58" t="str" cm="1">
        <f t="array" ref="BG58">_xlfn.XLOOKUP(TRUE, EXACT(Table27[[#This Row],[U]], Table27[orig]), Table27[D''])</f>
        <v>m</v>
      </c>
      <c r="BH58" t="str" cm="1">
        <f t="array" ref="BH58">_xlfn.XLOOKUP(TRUE, EXACT(Table27[[#This Row],[UD'']], Table27[orig]), Table27[UD''])</f>
        <v>i</v>
      </c>
      <c r="BI58" t="str" cm="1">
        <f t="array" ref="BI58">_xlfn.XLOOKUP(TRUE, EXACT(Table27[[#This Row],[U2D2]], Table27[orig]), Table27[UD''])</f>
        <v>e</v>
      </c>
      <c r="BJ58" t="str">
        <f>Table29[[#This Row],[F]]</f>
        <v>q</v>
      </c>
      <c r="BK58" t="str" cm="1">
        <f t="array" ref="BK58">_xlfn.XLOOKUP(TRUE, EXACT(Table27[[#This Row],[F]], Table27[orig]), Table27[F])</f>
        <v>q</v>
      </c>
      <c r="BL58" t="str" cm="1">
        <f t="array" ref="BL58">_xlfn.XLOOKUP(TRUE, EXACT(Table27[[#This Row],[F2]], Table27[orig]), Table27[F])</f>
        <v>q</v>
      </c>
      <c r="BM58" t="str" cm="1">
        <f t="array" ref="BM58">_xlfn.XLOOKUP(TRUE, EXACT(_xlfn.XLOOKUP(TRUE, EXACT(Table27[[#This Row],[X2]], Table27[orig]), Table27[F]), Table27[orig]), Table27[X2])</f>
        <v>r</v>
      </c>
      <c r="BN58" t="str" cm="1">
        <f t="array" ref="BN58">_xlfn.XLOOKUP(TRUE, EXACT(Table27[[#This Row],[B]], Table27[orig]), Table27[B])</f>
        <v>s</v>
      </c>
      <c r="BO58" t="str" cm="1">
        <f t="array" ref="BO58">_xlfn.XLOOKUP(TRUE, EXACT(Table27[[#This Row],[B2]], Table27[orig]), Table27[B])</f>
        <v>t</v>
      </c>
      <c r="BP58" t="str" cm="1">
        <f t="array" ref="BP58">_xlfn.XLOOKUP(TRUE, EXACT(Table27[[#This Row],[f-lower]], Table27[orig]), Table27[F''])</f>
        <v>q</v>
      </c>
      <c r="BQ58" t="str" cm="1">
        <f t="array" ref="BQ58">_xlfn.XLOOKUP(TRUE, EXACT(Table27[[#This Row],[S]], Table27[orig]), Table27[S])</f>
        <v>q</v>
      </c>
      <c r="BR58" t="str" cm="1">
        <f t="array" ref="BR58">_xlfn.XLOOKUP(TRUE, EXACT(Table27[[#This Row],[S2]], Table27[orig]), Table27[S])</f>
        <v>q</v>
      </c>
      <c r="BS58" t="str" cm="1">
        <f t="array" ref="BS58">_xlfn.XLOOKUP(TRUE, EXACT(Table27[[#This Row],[Z]], Table27[orig]), Table27[B])</f>
        <v>q</v>
      </c>
      <c r="BT58" t="str" cm="1">
        <f t="array" ref="BT58">_xlfn.XLOOKUP(TRUE, EXACT(Table27[[#This Row],[f-lower]], Table27[orig]), Table27[f-lower])</f>
        <v>q</v>
      </c>
      <c r="BU58" t="str" cm="1">
        <f t="array" ref="BU58">_xlfn.XLOOKUP(TRUE, EXACT(Table27[[#This Row],[f2-lower]], Table27[orig]), Table27[f-lower])</f>
        <v>q</v>
      </c>
      <c r="BV58" t="str" cm="1">
        <f t="array" ref="BV58">_xlfn.XLOOKUP(TRUE, EXACT(Table27[[#This Row],[Z'']], Table27[orig]), Table27[F])</f>
        <v>r</v>
      </c>
      <c r="BW58" t="str" cm="1">
        <f t="array" ref="BW58">_xlfn.XLOOKUP(TRUE, EXACT(Table27[[#This Row],[b-lower]], Table27[orig]), Table27[b-lower])</f>
        <v>s</v>
      </c>
      <c r="BX58" t="str" cm="1">
        <f t="array" ref="BX58">_xlfn.XLOOKUP(TRUE, EXACT(Table27[[#This Row],[b2-lower]], Table27[orig]), Table27[b-lower])</f>
        <v>t</v>
      </c>
      <c r="BY58" t="str" cm="1">
        <f t="array" ref="BY58">_xlfn.XLOOKUP(TRUE, EXACT(Table27[[#This Row],[F]], Table27[orig]), Table27[B''])</f>
        <v>t</v>
      </c>
      <c r="BZ58" t="str" cm="1">
        <f t="array" ref="BZ58">_xlfn.XLOOKUP(TRUE, EXACT(Table27[[#This Row],[FB'']], Table27[orig]), Table27[FB''])</f>
        <v>s</v>
      </c>
      <c r="CA58" t="str" cm="1">
        <f t="array" ref="CA58">_xlfn.XLOOKUP(TRUE, EXACT(Table27[[#This Row],[F2B2]], Table27[orig]), Table27[FB''])</f>
        <v>r</v>
      </c>
      <c r="CD58" t="s">
        <v>80</v>
      </c>
      <c r="CE58" t="str">
        <f>Table28[[#This Row],[orig]]</f>
        <v>q</v>
      </c>
      <c r="CF58" t="str">
        <f>Table29[[#This Row],[X]]</f>
        <v>w</v>
      </c>
      <c r="CG58" t="str" cm="1">
        <f t="array" ref="CG58">_xlfn.XLOOKUP(TRUE, EXACT(Table28[[#This Row],[X]], Table28[orig]), Table28[X])</f>
        <v>k</v>
      </c>
      <c r="CH58" t="str" cm="1">
        <f t="array" ref="CH58">_xlfn.XLOOKUP(TRUE, EXACT(Table28[[#This Row],[X2]], Table28[orig]), Table28[X])</f>
        <v>c</v>
      </c>
      <c r="CI58" t="str">
        <f>Table29[[#This Row],[Y]]</f>
        <v>m</v>
      </c>
      <c r="CJ58" t="str" cm="1">
        <f t="array" ref="CJ58">_xlfn.XLOOKUP(TRUE, EXACT(Table28[[#This Row],[Y]], Table28[orig]), Table28[Y])</f>
        <v>i</v>
      </c>
      <c r="CK58" t="str" cm="1">
        <f t="array" ref="CK58">_xlfn.XLOOKUP(TRUE, EXACT(Table28[[#This Row],[Y2]], Table28[orig]), Table28[Y])</f>
        <v>e</v>
      </c>
      <c r="CL58" t="str">
        <f>Table29[[#This Row],[Z]]</f>
        <v>t</v>
      </c>
      <c r="CM58" t="str" cm="1">
        <f t="array" ref="CM58">_xlfn.XLOOKUP(TRUE, EXACT(Table28[[#This Row],[Z]], Table28[orig]), Table28[Z])</f>
        <v>s</v>
      </c>
      <c r="CN58" t="str" cm="1">
        <f t="array" ref="CN58">_xlfn.XLOOKUP(TRUE, EXACT(Table28[[#This Row],[Z2]], Table28[orig]), Table28[Z])</f>
        <v>r</v>
      </c>
      <c r="CO58" t="str" cm="1">
        <f t="array" ref="CO58">_xlfn.XLOOKUP(TRUE, EXACT(Table28[[#This Row],[Z]], Table28[orig]), Table28[X])</f>
        <v>v</v>
      </c>
      <c r="CP58" t="str" cm="1">
        <f t="array" ref="CP58">_xlfn.XLOOKUP(TRUE, EXACT(Table28[[#This Row],[Y'']], Table28[orig]), Table28[X''])</f>
        <v>f</v>
      </c>
      <c r="CQ58" t="str" cm="1">
        <f t="array" ref="CQ58">_xlfn.XLOOKUP(TRUE, EXACT(Table28[[#This Row],[Y]], Table28[orig]), Table28[X''])</f>
        <v>p</v>
      </c>
      <c r="CR58" t="str" cm="1">
        <f t="array" ref="CR58">_xlfn.XLOOKUP(TRUE, EXACT(Table28[[#This Row],[Z'']], Table28[orig]), Table28[X])</f>
        <v>x</v>
      </c>
      <c r="CS58" t="str" cm="1">
        <f t="array" ref="CS58">_xlfn.XLOOKUP(TRUE, EXACT(Table28[[#This Row],[Z'']], Table28[orig]), Table28[X''])</f>
        <v>d</v>
      </c>
      <c r="CT58" t="str" cm="1">
        <f t="array" ref="CT58">_xlfn.XLOOKUP(TRUE, EXACT(Table28[[#This Row],[Y'']], Table28[orig]), Table28[X])</f>
        <v>h</v>
      </c>
      <c r="CU58" t="str" cm="1">
        <f t="array" ref="CU58">_xlfn.XLOOKUP(TRUE, EXACT(Table28[[#This Row],[Y]], Table28[orig]), Table28[X])</f>
        <v>n</v>
      </c>
      <c r="CV58" t="str" cm="1">
        <f t="array" ref="CV58">_xlfn.XLOOKUP(TRUE, EXACT(Table28[[#This Row],[Z]], Table28[orig]), Table28[X''])</f>
        <v>b</v>
      </c>
      <c r="CW58" t="str" cm="1">
        <f t="array" ref="CW58">_xlfn.XLOOKUP(TRUE, EXACT(Table28[[#This Row],[Y'']], Table28[orig]), Table28[X2])</f>
        <v>g</v>
      </c>
      <c r="CX58" t="str" cm="1">
        <f t="array" ref="CX58">_xlfn.XLOOKUP(TRUE, EXACT(Table28[[#This Row],[Y]], Table28[orig]), Table28[X2])</f>
        <v>o</v>
      </c>
      <c r="CY58" t="str" cm="1">
        <f t="array" ref="CY58">_xlfn.XLOOKUP(TRUE, EXACT(Table28[[#This Row],[Z]], Table28[orig]), Table28[X2])</f>
        <v>j</v>
      </c>
      <c r="CZ58" t="str" cm="1">
        <f t="array" ref="CZ58">_xlfn.XLOOKUP(TRUE, EXACT(Table28[[#This Row],[Z'']], Table28[orig]), Table28[X2])</f>
        <v>l</v>
      </c>
      <c r="DA58" t="str" cm="1">
        <f t="array" ref="DA58">_xlfn.XLOOKUP(TRUE, EXACT(Table28[[#This Row],[Z2]], Table28[orig]), Table28[X])</f>
        <v>u</v>
      </c>
      <c r="DB58" t="str" cm="1">
        <f t="array" ref="DB58">_xlfn.XLOOKUP(TRUE, EXACT(Table28[[#This Row],[Z2]], Table28[orig]), Table28[X''])</f>
        <v>a</v>
      </c>
      <c r="DE58" s="6" t="s">
        <v>80</v>
      </c>
      <c r="DF58" s="6" t="str" cm="1">
        <f t="array" ref="DF58">_xlfn.XLOOKUP(TRUE, EXACT(Table28[[#This Row],[I]], Table29[orig]), Table29[T-reflection])</f>
        <v>q</v>
      </c>
      <c r="DG58" s="6" t="str" cm="1">
        <f t="array" ref="DG58">_xlfn.XLOOKUP(TRUE, EXACT(Table28[[#This Row],[X]], Table29[orig]), Table29[T-reflection])</f>
        <v>w</v>
      </c>
      <c r="DH58" t="str" cm="1">
        <f t="array" ref="DH58">_xlfn.XLOOKUP(TRUE, EXACT(Table28[[#This Row],[X2]], Table29[orig]), Table29[T-reflection])</f>
        <v>k</v>
      </c>
      <c r="DI58" t="str" cm="1">
        <f t="array" ref="DI58">_xlfn.XLOOKUP(TRUE, EXACT(Table28[[#This Row],[X'']], Table29[orig]), Table29[T-reflection])</f>
        <v>c</v>
      </c>
      <c r="DJ58" s="6" t="str" cm="1">
        <f t="array" ref="DJ58">_xlfn.XLOOKUP(TRUE, EXACT(Table28[[#This Row],[Y]], Table29[orig]), Table29[T-reflection])</f>
        <v>e</v>
      </c>
      <c r="DK58" t="str" cm="1">
        <f t="array" ref="DK58">_xlfn.XLOOKUP(TRUE, EXACT(Table28[[#This Row],[Y2]], Table29[orig]), Table29[T-reflection])</f>
        <v>i</v>
      </c>
      <c r="DL58" t="str" cm="1">
        <f t="array" ref="DL58">_xlfn.XLOOKUP(TRUE, EXACT(Table28[[#This Row],[Y'']], Table29[orig]), Table29[T-reflection])</f>
        <v>m</v>
      </c>
      <c r="DM58" s="6" t="str" cm="1">
        <f t="array" ref="DM58">_xlfn.XLOOKUP(TRUE, EXACT(Table28[[#This Row],[Z]], Table29[orig]), Table29[T-reflection])</f>
        <v>r</v>
      </c>
      <c r="DN58" t="str" cm="1">
        <f t="array" ref="DN58">_xlfn.XLOOKUP(TRUE, EXACT(Table28[[#This Row],[Z2]], Table29[orig]), Table29[T-reflection])</f>
        <v>s</v>
      </c>
      <c r="DO58" t="str" cm="1">
        <f t="array" ref="DO58">_xlfn.XLOOKUP(TRUE, EXACT(Table28[[#This Row],[Z'']], Table29[orig]), Table29[T-reflection])</f>
        <v>t</v>
      </c>
      <c r="DP58" t="str" cm="1">
        <f t="array" ref="DP58">_xlfn.XLOOKUP(TRUE, EXACT(Table28[[#This Row],[Z X]], Table29[orig]), Table29[T-reflection])</f>
        <v>x</v>
      </c>
      <c r="DQ58" t="str" cm="1">
        <f t="array" ref="DQ58">_xlfn.XLOOKUP(TRUE, EXACT(Table28[[#This Row],[Y'' X'']], Table29[orig]), Table29[T-reflection])</f>
        <v>p</v>
      </c>
      <c r="DR58" t="str" cm="1">
        <f t="array" ref="DR58">_xlfn.XLOOKUP(TRUE, EXACT(Table28[[#This Row],[Y X'']], Table29[orig]), Table29[T-reflection])</f>
        <v>f</v>
      </c>
      <c r="DS58" t="str" cm="1">
        <f t="array" ref="DS58">_xlfn.XLOOKUP(TRUE, EXACT(Table28[[#This Row],[Z'' X]], Table29[orig]), Table29[T-reflection])</f>
        <v>v</v>
      </c>
      <c r="DT58" t="str" cm="1">
        <f t="array" ref="DT58">_xlfn.XLOOKUP(TRUE, EXACT(Table28[[#This Row],[Z'' X'']], Table29[orig]), Table29[T-reflection])</f>
        <v>b</v>
      </c>
      <c r="DU58" t="str" cm="1">
        <f t="array" ref="DU58">_xlfn.XLOOKUP(TRUE, EXACT(Table28[[#This Row],[Y'' X]], Table29[orig]), Table29[T-reflection])</f>
        <v>n</v>
      </c>
      <c r="DV58" t="str" cm="1">
        <f t="array" ref="DV58">_xlfn.XLOOKUP(TRUE, EXACT(Table28[[#This Row],[Y X]], Table29[orig]), Table29[T-reflection])</f>
        <v>h</v>
      </c>
      <c r="DW58" t="str" cm="1">
        <f t="array" ref="DW58">_xlfn.XLOOKUP(TRUE, EXACT(Table28[[#This Row],[Z X'']], Table29[orig]), Table29[T-reflection])</f>
        <v>d</v>
      </c>
      <c r="DX58" t="str" cm="1">
        <f t="array" ref="DX58">_xlfn.XLOOKUP(TRUE, EXACT(Table28[[#This Row],[Y'' X2]], Table29[orig]), Table29[T-reflection])</f>
        <v>o</v>
      </c>
      <c r="DY58" t="str" cm="1">
        <f t="array" ref="DY58">_xlfn.XLOOKUP(TRUE, EXACT(Table28[[#This Row],[Y X2]], Table29[orig]), Table29[T-reflection])</f>
        <v>g</v>
      </c>
      <c r="DZ58" t="str" cm="1">
        <f t="array" ref="DZ58">_xlfn.XLOOKUP(TRUE, EXACT(Table28[[#This Row],[Z X2]], Table29[orig]), Table29[T-reflection])</f>
        <v>l</v>
      </c>
      <c r="EA58" t="str" cm="1">
        <f t="array" ref="EA58">_xlfn.XLOOKUP(TRUE, EXACT(Table28[[#This Row],[Z'' X2]], Table29[orig]), Table29[T-reflection])</f>
        <v>j</v>
      </c>
      <c r="EB58" t="str" cm="1">
        <f t="array" ref="EB58">_xlfn.XLOOKUP(TRUE, EXACT(Table28[[#This Row],[Z2 X]], Table29[orig]), Table29[T-reflection])</f>
        <v>u</v>
      </c>
      <c r="EC58" t="str" cm="1">
        <f t="array" ref="EC58">_xlfn.XLOOKUP(TRUE, EXACT(Table28[[#This Row],[Z2 X'']], Table29[orig]), Table29[T-reflection])</f>
        <v>a</v>
      </c>
    </row>
    <row r="59" spans="1:164" x14ac:dyDescent="0.2">
      <c r="B59" t="s">
        <v>46</v>
      </c>
      <c r="C59" t="s">
        <v>46</v>
      </c>
      <c r="D59" t="s">
        <v>138</v>
      </c>
      <c r="E59" t="s">
        <v>73</v>
      </c>
      <c r="F59" t="s">
        <v>80</v>
      </c>
      <c r="G59" t="s">
        <v>136</v>
      </c>
      <c r="H59" t="s">
        <v>135</v>
      </c>
      <c r="I59" t="s">
        <v>44</v>
      </c>
      <c r="J59" t="s">
        <v>46</v>
      </c>
      <c r="K59" t="s">
        <v>46</v>
      </c>
      <c r="L59" t="s">
        <v>46</v>
      </c>
      <c r="O59" t="s">
        <v>46</v>
      </c>
      <c r="P59" t="str">
        <f>Table27[[#This Row],[orig]]</f>
        <v>r</v>
      </c>
      <c r="Q59" t="str">
        <f>Table29[[#This Row],[X]]</f>
        <v>x</v>
      </c>
      <c r="R59" t="str" cm="1">
        <f t="array" ref="R59">_xlfn.XLOOKUP(TRUE, EXACT(Table27[[#This Row],[X]], Table27[orig]), Table27[X])</f>
        <v>l</v>
      </c>
      <c r="S59" t="str" cm="1">
        <f t="array" ref="S59">_xlfn.XLOOKUP(TRUE, EXACT(Table27[[#This Row],[X2]], Table27[orig]), Table27[X])</f>
        <v>d</v>
      </c>
      <c r="T59" t="str">
        <f>Table29[[#This Row],[Y]]</f>
        <v>n</v>
      </c>
      <c r="U59" t="str" cm="1">
        <f t="array" ref="U59">_xlfn.XLOOKUP(TRUE, EXACT(Table27[[#This Row],[Y]], Table27[orig]), Table27[Y])</f>
        <v>j</v>
      </c>
      <c r="V59" t="str" cm="1">
        <f t="array" ref="V59">_xlfn.XLOOKUP(TRUE, EXACT(Table27[[#This Row],[Y2]], Table27[orig]), Table27[Y])</f>
        <v>f</v>
      </c>
      <c r="W59" t="str">
        <f>Table29[[#This Row],[Z]]</f>
        <v>q</v>
      </c>
      <c r="X59" t="str" cm="1">
        <f t="array" ref="X59">_xlfn.XLOOKUP(TRUE, EXACT(Table27[[#This Row],[Z]], Table27[orig]), Table27[Z])</f>
        <v>t</v>
      </c>
      <c r="Y59" t="str" cm="1">
        <f t="array" ref="Y59">_xlfn.XLOOKUP(TRUE, EXACT(Table27[[#This Row],[Z2]], Table27[orig]), Table27[Z])</f>
        <v>s</v>
      </c>
      <c r="Z59" t="str">
        <f>Table29[[#This Row],[R]]</f>
        <v>r</v>
      </c>
      <c r="AA59" t="str" cm="1">
        <f t="array" ref="AA59">_xlfn.XLOOKUP(TRUE, EXACT(Table27[[#This Row],[R]], Table27[orig]), Table27[R])</f>
        <v>r</v>
      </c>
      <c r="AB59" t="str" cm="1">
        <f t="array" ref="AB59">_xlfn.XLOOKUP(TRUE, EXACT(Table27[[#This Row],[R2]], Table27[orig]), Table27[R])</f>
        <v>r</v>
      </c>
      <c r="AC59" t="str" cm="1">
        <f t="array" ref="AC59">_xlfn.XLOOKUP(TRUE, EXACT(_xlfn.XLOOKUP(TRUE, EXACT(Table27[[#This Row],[Y2]], Table27[orig]), Table27[R]), Table27[orig]), Table27[Y2])</f>
        <v>d</v>
      </c>
      <c r="AD59" t="str" cm="1">
        <f t="array" ref="AD59">_xlfn.XLOOKUP(TRUE, EXACT(Table27[[#This Row],[L]], Table27[orig]), Table27[L])</f>
        <v>l</v>
      </c>
      <c r="AE59" t="str" cm="1">
        <f t="array" ref="AE59">_xlfn.XLOOKUP(TRUE, EXACT(Table27[[#This Row],[L2]], Table27[orig]), Table27[L])</f>
        <v>x</v>
      </c>
      <c r="AF59" t="str" cm="1">
        <f t="array" ref="AF59">_xlfn.XLOOKUP(TRUE, EXACT(Table27[[#This Row],[r-lower]], Table27[orig]), Table27[R''])</f>
        <v>r</v>
      </c>
      <c r="AG59" t="str" cm="1">
        <f t="array" ref="AG59">_xlfn.XLOOKUP(TRUE, EXACT(Table27[[#This Row],[T]], Table27[orig]), Table27[T])</f>
        <v>r</v>
      </c>
      <c r="AH59" t="str" cm="1">
        <f t="array" ref="AH59">_xlfn.XLOOKUP(TRUE, EXACT(Table27[[#This Row],[T2]], Table27[orig]), Table27[T])</f>
        <v>r</v>
      </c>
      <c r="AI59" t="str" cm="1">
        <f t="array" ref="AI59">_xlfn.XLOOKUP(TRUE, EXACT(Table27[[#This Row],[X]], Table27[orig]), Table27[L])</f>
        <v>r</v>
      </c>
      <c r="AJ59" t="str" cm="1">
        <f t="array" ref="AJ59">_xlfn.XLOOKUP(TRUE, EXACT(Table27[[#This Row],[r-lower]], Table27[orig]), Table27[r-lower])</f>
        <v>r</v>
      </c>
      <c r="AK59" t="str" cm="1">
        <f t="array" ref="AK59">_xlfn.XLOOKUP(TRUE, EXACT(Table27[[#This Row],[r2-lower]], Table27[orig]), Table27[r-lower])</f>
        <v>r</v>
      </c>
      <c r="AL59" t="str" cm="1">
        <f t="array" ref="AL59">_xlfn.XLOOKUP(TRUE, EXACT(Table27[[#This Row],[X'']], Table27[orig]), Table27[R])</f>
        <v>d</v>
      </c>
      <c r="AM59" t="str" cm="1">
        <f t="array" ref="AM59">_xlfn.XLOOKUP(TRUE, EXACT(Table27[[#This Row],[l-lower]], Table27[orig]), Table27[l-lower])</f>
        <v>l</v>
      </c>
      <c r="AN59" t="str" cm="1">
        <f t="array" ref="AN59">_xlfn.XLOOKUP(TRUE, EXACT(Table27[[#This Row],[l2-lower]], Table27[orig]), Table27[l-lower])</f>
        <v>x</v>
      </c>
      <c r="AO59" t="str" cm="1">
        <f t="array" ref="AO59">_xlfn.XLOOKUP(TRUE, EXACT(Table27[[#This Row],[R]], Table27[orig]), Table27[L''])</f>
        <v>x</v>
      </c>
      <c r="AP59" t="str" cm="1">
        <f t="array" ref="AP59">_xlfn.XLOOKUP(TRUE, EXACT(Table27[[#This Row],[RL'']], Table27[orig]), Table27[RL''])</f>
        <v>l</v>
      </c>
      <c r="AQ59" t="str" cm="1">
        <f t="array" ref="AQ59">_xlfn.XLOOKUP(TRUE, EXACT(Table27[[#This Row],[R2L2]], Table27[orig]), Table27[RL''])</f>
        <v>d</v>
      </c>
      <c r="AR59" t="str">
        <f>Table29[[#This Row],[U]]</f>
        <v>r</v>
      </c>
      <c r="AS59" t="str" cm="1">
        <f t="array" ref="AS59">_xlfn.XLOOKUP(TRUE, EXACT(Table27[[#This Row],[U]], Table27[orig]), Table27[U])</f>
        <v>r</v>
      </c>
      <c r="AT59" t="str" cm="1">
        <f t="array" ref="AT59">_xlfn.XLOOKUP(TRUE, EXACT(Table27[[#This Row],[U2]], Table27[orig]), Table27[U])</f>
        <v>r</v>
      </c>
      <c r="AU59" t="str" cm="1">
        <f t="array" ref="AU59">_xlfn.XLOOKUP(TRUE, EXACT(_xlfn.XLOOKUP(TRUE, EXACT(Table27[[#This Row],[Z2]], Table27[orig]), Table27[U]), Table27[orig]), Table27[Z2])</f>
        <v>r</v>
      </c>
      <c r="AV59" t="str" cm="1">
        <f t="array" ref="AV59">_xlfn.XLOOKUP(TRUE, EXACT(Table27[[#This Row],[D]], Table27[orig]), Table27[D])</f>
        <v>r</v>
      </c>
      <c r="AW59" t="str" cm="1">
        <f t="array" ref="AW59">_xlfn.XLOOKUP(TRUE, EXACT(Table27[[#This Row],[D2]], Table27[orig]), Table27[D])</f>
        <v>r</v>
      </c>
      <c r="AX59" t="str" cm="1">
        <f t="array" ref="AX59">_xlfn.XLOOKUP(TRUE, EXACT(Table27[[#This Row],[u-lower]], Table27[orig]), Table27[U''])</f>
        <v>n</v>
      </c>
      <c r="AY59" t="str" cm="1">
        <f t="array" ref="AY59">_xlfn.XLOOKUP(TRUE, EXACT(Table27[[#This Row],[H]], Table27[orig]), Table27[H])</f>
        <v>j</v>
      </c>
      <c r="AZ59" t="str" cm="1">
        <f t="array" ref="AZ59">_xlfn.XLOOKUP(TRUE, EXACT(Table27[[#This Row],[H2]], Table27[orig]), Table27[H])</f>
        <v>f</v>
      </c>
      <c r="BA59" t="str" cm="1">
        <f t="array" ref="BA59">_xlfn.XLOOKUP(TRUE, EXACT(Table27[[#This Row],[Y]], Table27[orig]), Table27[D])</f>
        <v>n</v>
      </c>
      <c r="BB59" t="str" cm="1">
        <f t="array" ref="BB59">_xlfn.XLOOKUP(TRUE, EXACT(Table27[[#This Row],[u-lower]], Table27[orig]), Table27[u-lower])</f>
        <v>j</v>
      </c>
      <c r="BC59" t="str" cm="1">
        <f t="array" ref="BC59">_xlfn.XLOOKUP(TRUE, EXACT(Table27[[#This Row],[u2-lower]], Table27[orig]), Table27[u-lower])</f>
        <v>f</v>
      </c>
      <c r="BD59" t="str" cm="1">
        <f t="array" ref="BD59">_xlfn.XLOOKUP(TRUE, EXACT(Table27[[#This Row],[Y'']], Table27[orig]), Table27[U])</f>
        <v>f</v>
      </c>
      <c r="BE59" t="str" cm="1">
        <f t="array" ref="BE59">_xlfn.XLOOKUP(TRUE, EXACT(Table27[[#This Row],[d-lower]], Table27[orig]), Table27[d-lower])</f>
        <v>j</v>
      </c>
      <c r="BF59" t="str" cm="1">
        <f t="array" ref="BF59">_xlfn.XLOOKUP(TRUE, EXACT(Table27[[#This Row],[d2-lower]], Table27[orig]), Table27[d-lower])</f>
        <v>n</v>
      </c>
      <c r="BG59" t="str" cm="1">
        <f t="array" ref="BG59">_xlfn.XLOOKUP(TRUE, EXACT(Table27[[#This Row],[U]], Table27[orig]), Table27[D''])</f>
        <v>r</v>
      </c>
      <c r="BH59" t="str" cm="1">
        <f t="array" ref="BH59">_xlfn.XLOOKUP(TRUE, EXACT(Table27[[#This Row],[UD'']], Table27[orig]), Table27[UD''])</f>
        <v>r</v>
      </c>
      <c r="BI59" t="str" cm="1">
        <f t="array" ref="BI59">_xlfn.XLOOKUP(TRUE, EXACT(Table27[[#This Row],[U2D2]], Table27[orig]), Table27[UD''])</f>
        <v>r</v>
      </c>
      <c r="BJ59" t="str">
        <f>Table29[[#This Row],[F]]</f>
        <v>r</v>
      </c>
      <c r="BK59" t="str" cm="1">
        <f t="array" ref="BK59">_xlfn.XLOOKUP(TRUE, EXACT(Table27[[#This Row],[F]], Table27[orig]), Table27[F])</f>
        <v>r</v>
      </c>
      <c r="BL59" t="str" cm="1">
        <f t="array" ref="BL59">_xlfn.XLOOKUP(TRUE, EXACT(Table27[[#This Row],[F2]], Table27[orig]), Table27[F])</f>
        <v>r</v>
      </c>
      <c r="BM59" t="str" cm="1">
        <f t="array" ref="BM59">_xlfn.XLOOKUP(TRUE, EXACT(_xlfn.XLOOKUP(TRUE, EXACT(Table27[[#This Row],[X2]], Table27[orig]), Table27[F]), Table27[orig]), Table27[X2])</f>
        <v>s</v>
      </c>
      <c r="BN59" t="str" cm="1">
        <f t="array" ref="BN59">_xlfn.XLOOKUP(TRUE, EXACT(Table27[[#This Row],[B]], Table27[orig]), Table27[B])</f>
        <v>t</v>
      </c>
      <c r="BO59" t="str" cm="1">
        <f t="array" ref="BO59">_xlfn.XLOOKUP(TRUE, EXACT(Table27[[#This Row],[B2]], Table27[orig]), Table27[B])</f>
        <v>q</v>
      </c>
      <c r="BP59" t="str" cm="1">
        <f t="array" ref="BP59">_xlfn.XLOOKUP(TRUE, EXACT(Table27[[#This Row],[f-lower]], Table27[orig]), Table27[F''])</f>
        <v>r</v>
      </c>
      <c r="BQ59" t="str" cm="1">
        <f t="array" ref="BQ59">_xlfn.XLOOKUP(TRUE, EXACT(Table27[[#This Row],[S]], Table27[orig]), Table27[S])</f>
        <v>r</v>
      </c>
      <c r="BR59" t="str" cm="1">
        <f t="array" ref="BR59">_xlfn.XLOOKUP(TRUE, EXACT(Table27[[#This Row],[S2]], Table27[orig]), Table27[S])</f>
        <v>r</v>
      </c>
      <c r="BS59" t="str" cm="1">
        <f t="array" ref="BS59">_xlfn.XLOOKUP(TRUE, EXACT(Table27[[#This Row],[Z]], Table27[orig]), Table27[B])</f>
        <v>r</v>
      </c>
      <c r="BT59" t="str" cm="1">
        <f t="array" ref="BT59">_xlfn.XLOOKUP(TRUE, EXACT(Table27[[#This Row],[f-lower]], Table27[orig]), Table27[f-lower])</f>
        <v>r</v>
      </c>
      <c r="BU59" t="str" cm="1">
        <f t="array" ref="BU59">_xlfn.XLOOKUP(TRUE, EXACT(Table27[[#This Row],[f2-lower]], Table27[orig]), Table27[f-lower])</f>
        <v>r</v>
      </c>
      <c r="BV59" t="str" cm="1">
        <f t="array" ref="BV59">_xlfn.XLOOKUP(TRUE, EXACT(Table27[[#This Row],[Z'']], Table27[orig]), Table27[F])</f>
        <v>s</v>
      </c>
      <c r="BW59" t="str" cm="1">
        <f t="array" ref="BW59">_xlfn.XLOOKUP(TRUE, EXACT(Table27[[#This Row],[b-lower]], Table27[orig]), Table27[b-lower])</f>
        <v>t</v>
      </c>
      <c r="BX59" t="str" cm="1">
        <f t="array" ref="BX59">_xlfn.XLOOKUP(TRUE, EXACT(Table27[[#This Row],[b2-lower]], Table27[orig]), Table27[b-lower])</f>
        <v>q</v>
      </c>
      <c r="BY59" t="str" cm="1">
        <f t="array" ref="BY59">_xlfn.XLOOKUP(TRUE, EXACT(Table27[[#This Row],[F]], Table27[orig]), Table27[B''])</f>
        <v>q</v>
      </c>
      <c r="BZ59" t="str" cm="1">
        <f t="array" ref="BZ59">_xlfn.XLOOKUP(TRUE, EXACT(Table27[[#This Row],[FB'']], Table27[orig]), Table27[FB''])</f>
        <v>t</v>
      </c>
      <c r="CA59" t="str" cm="1">
        <f t="array" ref="CA59">_xlfn.XLOOKUP(TRUE, EXACT(Table27[[#This Row],[F2B2]], Table27[orig]), Table27[FB''])</f>
        <v>s</v>
      </c>
      <c r="CD59" t="s">
        <v>46</v>
      </c>
      <c r="CE59" t="str">
        <f>Table28[[#This Row],[orig]]</f>
        <v>r</v>
      </c>
      <c r="CF59" t="str">
        <f>Table29[[#This Row],[X]]</f>
        <v>x</v>
      </c>
      <c r="CG59" t="str" cm="1">
        <f t="array" ref="CG59">_xlfn.XLOOKUP(TRUE, EXACT(Table28[[#This Row],[X]], Table28[orig]), Table28[X])</f>
        <v>l</v>
      </c>
      <c r="CH59" t="str" cm="1">
        <f t="array" ref="CH59">_xlfn.XLOOKUP(TRUE, EXACT(Table28[[#This Row],[X2]], Table28[orig]), Table28[X])</f>
        <v>d</v>
      </c>
      <c r="CI59" t="str">
        <f>Table29[[#This Row],[Y]]</f>
        <v>n</v>
      </c>
      <c r="CJ59" t="str" cm="1">
        <f t="array" ref="CJ59">_xlfn.XLOOKUP(TRUE, EXACT(Table28[[#This Row],[Y]], Table28[orig]), Table28[Y])</f>
        <v>j</v>
      </c>
      <c r="CK59" t="str" cm="1">
        <f t="array" ref="CK59">_xlfn.XLOOKUP(TRUE, EXACT(Table28[[#This Row],[Y2]], Table28[orig]), Table28[Y])</f>
        <v>f</v>
      </c>
      <c r="CL59" t="str">
        <f>Table29[[#This Row],[Z]]</f>
        <v>q</v>
      </c>
      <c r="CM59" t="str" cm="1">
        <f t="array" ref="CM59">_xlfn.XLOOKUP(TRUE, EXACT(Table28[[#This Row],[Z]], Table28[orig]), Table28[Z])</f>
        <v>t</v>
      </c>
      <c r="CN59" t="str" cm="1">
        <f t="array" ref="CN59">_xlfn.XLOOKUP(TRUE, EXACT(Table28[[#This Row],[Z2]], Table28[orig]), Table28[Z])</f>
        <v>s</v>
      </c>
      <c r="CO59" t="str" cm="1">
        <f t="array" ref="CO59">_xlfn.XLOOKUP(TRUE, EXACT(Table28[[#This Row],[Z]], Table28[orig]), Table28[X])</f>
        <v>w</v>
      </c>
      <c r="CP59" t="str" cm="1">
        <f t="array" ref="CP59">_xlfn.XLOOKUP(TRUE, EXACT(Table28[[#This Row],[Y'']], Table28[orig]), Table28[X''])</f>
        <v>g</v>
      </c>
      <c r="CQ59" t="str" cm="1">
        <f t="array" ref="CQ59">_xlfn.XLOOKUP(TRUE, EXACT(Table28[[#This Row],[Y]], Table28[orig]), Table28[X''])</f>
        <v>m</v>
      </c>
      <c r="CR59" t="str" cm="1">
        <f t="array" ref="CR59">_xlfn.XLOOKUP(TRUE, EXACT(Table28[[#This Row],[Z'']], Table28[orig]), Table28[X])</f>
        <v>u</v>
      </c>
      <c r="CS59" t="str" cm="1">
        <f t="array" ref="CS59">_xlfn.XLOOKUP(TRUE, EXACT(Table28[[#This Row],[Z'']], Table28[orig]), Table28[X''])</f>
        <v>a</v>
      </c>
      <c r="CT59" t="str" cm="1">
        <f t="array" ref="CT59">_xlfn.XLOOKUP(TRUE, EXACT(Table28[[#This Row],[Y'']], Table28[orig]), Table28[X])</f>
        <v>e</v>
      </c>
      <c r="CU59" t="str" cm="1">
        <f t="array" ref="CU59">_xlfn.XLOOKUP(TRUE, EXACT(Table28[[#This Row],[Y]], Table28[orig]), Table28[X])</f>
        <v>o</v>
      </c>
      <c r="CV59" t="str" cm="1">
        <f t="array" ref="CV59">_xlfn.XLOOKUP(TRUE, EXACT(Table28[[#This Row],[Z]], Table28[orig]), Table28[X''])</f>
        <v>c</v>
      </c>
      <c r="CW59" t="str" cm="1">
        <f t="array" ref="CW59">_xlfn.XLOOKUP(TRUE, EXACT(Table28[[#This Row],[Y'']], Table28[orig]), Table28[X2])</f>
        <v>h</v>
      </c>
      <c r="CX59" t="str" cm="1">
        <f t="array" ref="CX59">_xlfn.XLOOKUP(TRUE, EXACT(Table28[[#This Row],[Y]], Table28[orig]), Table28[X2])</f>
        <v>p</v>
      </c>
      <c r="CY59" t="str" cm="1">
        <f t="array" ref="CY59">_xlfn.XLOOKUP(TRUE, EXACT(Table28[[#This Row],[Z]], Table28[orig]), Table28[X2])</f>
        <v>k</v>
      </c>
      <c r="CZ59" t="str" cm="1">
        <f t="array" ref="CZ59">_xlfn.XLOOKUP(TRUE, EXACT(Table28[[#This Row],[Z'']], Table28[orig]), Table28[X2])</f>
        <v>i</v>
      </c>
      <c r="DA59" t="str" cm="1">
        <f t="array" ref="DA59">_xlfn.XLOOKUP(TRUE, EXACT(Table28[[#This Row],[Z2]], Table28[orig]), Table28[X])</f>
        <v>v</v>
      </c>
      <c r="DB59" t="str" cm="1">
        <f t="array" ref="DB59">_xlfn.XLOOKUP(TRUE, EXACT(Table28[[#This Row],[Z2]], Table28[orig]), Table28[X''])</f>
        <v>b</v>
      </c>
      <c r="DE59" s="4" t="s">
        <v>46</v>
      </c>
      <c r="DF59" s="4" t="str" cm="1">
        <f t="array" ref="DF59">_xlfn.XLOOKUP(TRUE, EXACT(Table28[[#This Row],[I]], Table29[orig]), Table29[T-reflection])</f>
        <v>t</v>
      </c>
      <c r="DG59" s="4" t="str" cm="1">
        <f t="array" ref="DG59">_xlfn.XLOOKUP(TRUE, EXACT(Table28[[#This Row],[X]], Table29[orig]), Table29[T-reflection])</f>
        <v>v</v>
      </c>
      <c r="DH59" t="str" cm="1">
        <f t="array" ref="DH59">_xlfn.XLOOKUP(TRUE, EXACT(Table28[[#This Row],[X2]], Table29[orig]), Table29[T-reflection])</f>
        <v>j</v>
      </c>
      <c r="DI59" t="str" cm="1">
        <f t="array" ref="DI59">_xlfn.XLOOKUP(TRUE, EXACT(Table28[[#This Row],[X'']], Table29[orig]), Table29[T-reflection])</f>
        <v>b</v>
      </c>
      <c r="DJ59" s="4" t="str" cm="1">
        <f t="array" ref="DJ59">_xlfn.XLOOKUP(TRUE, EXACT(Table28[[#This Row],[Y]], Table29[orig]), Table29[T-reflection])</f>
        <v>h</v>
      </c>
      <c r="DK59" t="str" cm="1">
        <f t="array" ref="DK59">_xlfn.XLOOKUP(TRUE, EXACT(Table28[[#This Row],[Y2]], Table29[orig]), Table29[T-reflection])</f>
        <v>l</v>
      </c>
      <c r="DL59" t="str" cm="1">
        <f t="array" ref="DL59">_xlfn.XLOOKUP(TRUE, EXACT(Table28[[#This Row],[Y'']], Table29[orig]), Table29[T-reflection])</f>
        <v>p</v>
      </c>
      <c r="DM59" s="4" t="str" cm="1">
        <f t="array" ref="DM59">_xlfn.XLOOKUP(TRUE, EXACT(Table28[[#This Row],[Z]], Table29[orig]), Table29[T-reflection])</f>
        <v>q</v>
      </c>
      <c r="DN59" t="str" cm="1">
        <f t="array" ref="DN59">_xlfn.XLOOKUP(TRUE, EXACT(Table28[[#This Row],[Z2]], Table29[orig]), Table29[T-reflection])</f>
        <v>r</v>
      </c>
      <c r="DO59" t="str" cm="1">
        <f t="array" ref="DO59">_xlfn.XLOOKUP(TRUE, EXACT(Table28[[#This Row],[Z'']], Table29[orig]), Table29[T-reflection])</f>
        <v>s</v>
      </c>
      <c r="DP59" t="str" cm="1">
        <f t="array" ref="DP59">_xlfn.XLOOKUP(TRUE, EXACT(Table28[[#This Row],[Z X]], Table29[orig]), Table29[T-reflection])</f>
        <v>w</v>
      </c>
      <c r="DQ59" t="str" cm="1">
        <f t="array" ref="DQ59">_xlfn.XLOOKUP(TRUE, EXACT(Table28[[#This Row],[Y'' X'']], Table29[orig]), Table29[T-reflection])</f>
        <v>o</v>
      </c>
      <c r="DR59" t="str" cm="1">
        <f t="array" ref="DR59">_xlfn.XLOOKUP(TRUE, EXACT(Table28[[#This Row],[Y X'']], Table29[orig]), Table29[T-reflection])</f>
        <v>e</v>
      </c>
      <c r="DS59" t="str" cm="1">
        <f t="array" ref="DS59">_xlfn.XLOOKUP(TRUE, EXACT(Table28[[#This Row],[Z'' X]], Table29[orig]), Table29[T-reflection])</f>
        <v>u</v>
      </c>
      <c r="DT59" t="str" cm="1">
        <f t="array" ref="DT59">_xlfn.XLOOKUP(TRUE, EXACT(Table28[[#This Row],[Z'' X'']], Table29[orig]), Table29[T-reflection])</f>
        <v>a</v>
      </c>
      <c r="DU59" t="str" cm="1">
        <f t="array" ref="DU59">_xlfn.XLOOKUP(TRUE, EXACT(Table28[[#This Row],[Y'' X]], Table29[orig]), Table29[T-reflection])</f>
        <v>m</v>
      </c>
      <c r="DV59" t="str" cm="1">
        <f t="array" ref="DV59">_xlfn.XLOOKUP(TRUE, EXACT(Table28[[#This Row],[Y X]], Table29[orig]), Table29[T-reflection])</f>
        <v>g</v>
      </c>
      <c r="DW59" t="str" cm="1">
        <f t="array" ref="DW59">_xlfn.XLOOKUP(TRUE, EXACT(Table28[[#This Row],[Z X'']], Table29[orig]), Table29[T-reflection])</f>
        <v>c</v>
      </c>
      <c r="DX59" t="str" cm="1">
        <f t="array" ref="DX59">_xlfn.XLOOKUP(TRUE, EXACT(Table28[[#This Row],[Y'' X2]], Table29[orig]), Table29[T-reflection])</f>
        <v>n</v>
      </c>
      <c r="DY59" t="str" cm="1">
        <f t="array" ref="DY59">_xlfn.XLOOKUP(TRUE, EXACT(Table28[[#This Row],[Y X2]], Table29[orig]), Table29[T-reflection])</f>
        <v>f</v>
      </c>
      <c r="DZ59" t="str" cm="1">
        <f t="array" ref="DZ59">_xlfn.XLOOKUP(TRUE, EXACT(Table28[[#This Row],[Z X2]], Table29[orig]), Table29[T-reflection])</f>
        <v>k</v>
      </c>
      <c r="EA59" t="str" cm="1">
        <f t="array" ref="EA59">_xlfn.XLOOKUP(TRUE, EXACT(Table28[[#This Row],[Z'' X2]], Table29[orig]), Table29[T-reflection])</f>
        <v>i</v>
      </c>
      <c r="EB59" t="str" cm="1">
        <f t="array" ref="EB59">_xlfn.XLOOKUP(TRUE, EXACT(Table28[[#This Row],[Z2 X]], Table29[orig]), Table29[T-reflection])</f>
        <v>x</v>
      </c>
      <c r="EC59" t="str" cm="1">
        <f t="array" ref="EC59">_xlfn.XLOOKUP(TRUE, EXACT(Table28[[#This Row],[Z2 X'']], Table29[orig]), Table29[T-reflection])</f>
        <v>d</v>
      </c>
    </row>
    <row r="60" spans="1:164" x14ac:dyDescent="0.2">
      <c r="B60" t="s">
        <v>135</v>
      </c>
      <c r="C60" t="s">
        <v>135</v>
      </c>
      <c r="D60" t="s">
        <v>53</v>
      </c>
      <c r="E60" t="s">
        <v>134</v>
      </c>
      <c r="F60" t="s">
        <v>46</v>
      </c>
      <c r="G60" t="s">
        <v>135</v>
      </c>
      <c r="H60" t="s">
        <v>46</v>
      </c>
      <c r="I60" t="s">
        <v>86</v>
      </c>
      <c r="J60" t="s">
        <v>135</v>
      </c>
      <c r="K60" t="s">
        <v>135</v>
      </c>
      <c r="L60" t="s">
        <v>135</v>
      </c>
      <c r="O60" t="s">
        <v>135</v>
      </c>
      <c r="P60" t="str">
        <f>Table27[[#This Row],[orig]]</f>
        <v>s</v>
      </c>
      <c r="Q60" t="str">
        <f>Table29[[#This Row],[X]]</f>
        <v>u</v>
      </c>
      <c r="R60" t="str" cm="1">
        <f t="array" ref="R60">_xlfn.XLOOKUP(TRUE, EXACT(Table27[[#This Row],[X]], Table27[orig]), Table27[X])</f>
        <v>i</v>
      </c>
      <c r="S60" t="str" cm="1">
        <f t="array" ref="S60">_xlfn.XLOOKUP(TRUE, EXACT(Table27[[#This Row],[X2]], Table27[orig]), Table27[X])</f>
        <v>a</v>
      </c>
      <c r="T60" t="str">
        <f>Table29[[#This Row],[Y]]</f>
        <v>o</v>
      </c>
      <c r="U60" t="str" cm="1">
        <f t="array" ref="U60">_xlfn.XLOOKUP(TRUE, EXACT(Table27[[#This Row],[Y]], Table27[orig]), Table27[Y])</f>
        <v>k</v>
      </c>
      <c r="V60" t="str" cm="1">
        <f t="array" ref="V60">_xlfn.XLOOKUP(TRUE, EXACT(Table27[[#This Row],[Y2]], Table27[orig]), Table27[Y])</f>
        <v>g</v>
      </c>
      <c r="W60" t="str">
        <f>Table29[[#This Row],[Z]]</f>
        <v>r</v>
      </c>
      <c r="X60" t="str" cm="1">
        <f t="array" ref="X60">_xlfn.XLOOKUP(TRUE, EXACT(Table27[[#This Row],[Z]], Table27[orig]), Table27[Z])</f>
        <v>q</v>
      </c>
      <c r="Y60" t="str" cm="1">
        <f t="array" ref="Y60">_xlfn.XLOOKUP(TRUE, EXACT(Table27[[#This Row],[Z2]], Table27[orig]), Table27[Z])</f>
        <v>t</v>
      </c>
      <c r="Z60" t="str">
        <f>Table29[[#This Row],[R]]</f>
        <v>s</v>
      </c>
      <c r="AA60" t="str" cm="1">
        <f t="array" ref="AA60">_xlfn.XLOOKUP(TRUE, EXACT(Table27[[#This Row],[R]], Table27[orig]), Table27[R])</f>
        <v>s</v>
      </c>
      <c r="AB60" t="str" cm="1">
        <f t="array" ref="AB60">_xlfn.XLOOKUP(TRUE, EXACT(Table27[[#This Row],[R2]], Table27[orig]), Table27[R])</f>
        <v>s</v>
      </c>
      <c r="AC60" t="str" cm="1">
        <f t="array" ref="AC60">_xlfn.XLOOKUP(TRUE, EXACT(_xlfn.XLOOKUP(TRUE, EXACT(Table27[[#This Row],[Y2]], Table27[orig]), Table27[R]), Table27[orig]), Table27[Y2])</f>
        <v>s</v>
      </c>
      <c r="AD60" t="str" cm="1">
        <f t="array" ref="AD60">_xlfn.XLOOKUP(TRUE, EXACT(Table27[[#This Row],[L]], Table27[orig]), Table27[L])</f>
        <v>s</v>
      </c>
      <c r="AE60" t="str" cm="1">
        <f t="array" ref="AE60">_xlfn.XLOOKUP(TRUE, EXACT(Table27[[#This Row],[L2]], Table27[orig]), Table27[L])</f>
        <v>s</v>
      </c>
      <c r="AF60" t="str" cm="1">
        <f t="array" ref="AF60">_xlfn.XLOOKUP(TRUE, EXACT(Table27[[#This Row],[r-lower]], Table27[orig]), Table27[R''])</f>
        <v>u</v>
      </c>
      <c r="AG60" t="str" cm="1">
        <f t="array" ref="AG60">_xlfn.XLOOKUP(TRUE, EXACT(Table27[[#This Row],[T]], Table27[orig]), Table27[T])</f>
        <v>i</v>
      </c>
      <c r="AH60" t="str" cm="1">
        <f t="array" ref="AH60">_xlfn.XLOOKUP(TRUE, EXACT(Table27[[#This Row],[T2]], Table27[orig]), Table27[T])</f>
        <v>a</v>
      </c>
      <c r="AI60" t="str" cm="1">
        <f t="array" ref="AI60">_xlfn.XLOOKUP(TRUE, EXACT(Table27[[#This Row],[X]], Table27[orig]), Table27[L])</f>
        <v>u</v>
      </c>
      <c r="AJ60" t="str" cm="1">
        <f t="array" ref="AJ60">_xlfn.XLOOKUP(TRUE, EXACT(Table27[[#This Row],[r-lower]], Table27[orig]), Table27[r-lower])</f>
        <v>i</v>
      </c>
      <c r="AK60" t="str" cm="1">
        <f t="array" ref="AK60">_xlfn.XLOOKUP(TRUE, EXACT(Table27[[#This Row],[r2-lower]], Table27[orig]), Table27[r-lower])</f>
        <v>a</v>
      </c>
      <c r="AL60" t="str" cm="1">
        <f t="array" ref="AL60">_xlfn.XLOOKUP(TRUE, EXACT(Table27[[#This Row],[X'']], Table27[orig]), Table27[R])</f>
        <v>a</v>
      </c>
      <c r="AM60" t="str" cm="1">
        <f t="array" ref="AM60">_xlfn.XLOOKUP(TRUE, EXACT(Table27[[#This Row],[l-lower]], Table27[orig]), Table27[l-lower])</f>
        <v>i</v>
      </c>
      <c r="AN60" t="str" cm="1">
        <f t="array" ref="AN60">_xlfn.XLOOKUP(TRUE, EXACT(Table27[[#This Row],[l2-lower]], Table27[orig]), Table27[l-lower])</f>
        <v>u</v>
      </c>
      <c r="AO60" t="str" cm="1">
        <f t="array" ref="AO60">_xlfn.XLOOKUP(TRUE, EXACT(Table27[[#This Row],[R]], Table27[orig]), Table27[L''])</f>
        <v>s</v>
      </c>
      <c r="AP60" t="str" cm="1">
        <f t="array" ref="AP60">_xlfn.XLOOKUP(TRUE, EXACT(Table27[[#This Row],[RL'']], Table27[orig]), Table27[RL''])</f>
        <v>s</v>
      </c>
      <c r="AQ60" t="str" cm="1">
        <f t="array" ref="AQ60">_xlfn.XLOOKUP(TRUE, EXACT(Table27[[#This Row],[R2L2]], Table27[orig]), Table27[RL''])</f>
        <v>s</v>
      </c>
      <c r="AR60" t="str">
        <f>Table29[[#This Row],[U]]</f>
        <v>s</v>
      </c>
      <c r="AS60" t="str" cm="1">
        <f t="array" ref="AS60">_xlfn.XLOOKUP(TRUE, EXACT(Table27[[#This Row],[U]], Table27[orig]), Table27[U])</f>
        <v>s</v>
      </c>
      <c r="AT60" t="str" cm="1">
        <f t="array" ref="AT60">_xlfn.XLOOKUP(TRUE, EXACT(Table27[[#This Row],[U2]], Table27[orig]), Table27[U])</f>
        <v>s</v>
      </c>
      <c r="AU60" t="str" cm="1">
        <f t="array" ref="AU60">_xlfn.XLOOKUP(TRUE, EXACT(_xlfn.XLOOKUP(TRUE, EXACT(Table27[[#This Row],[Z2]], Table27[orig]), Table27[U]), Table27[orig]), Table27[Z2])</f>
        <v>g</v>
      </c>
      <c r="AV60" t="str" cm="1">
        <f t="array" ref="AV60">_xlfn.XLOOKUP(TRUE, EXACT(Table27[[#This Row],[D]], Table27[orig]), Table27[D])</f>
        <v>k</v>
      </c>
      <c r="AW60" t="str" cm="1">
        <f t="array" ref="AW60">_xlfn.XLOOKUP(TRUE, EXACT(Table27[[#This Row],[D2]], Table27[orig]), Table27[D])</f>
        <v>o</v>
      </c>
      <c r="AX60" t="str" cm="1">
        <f t="array" ref="AX60">_xlfn.XLOOKUP(TRUE, EXACT(Table27[[#This Row],[u-lower]], Table27[orig]), Table27[U''])</f>
        <v>s</v>
      </c>
      <c r="AY60" t="str" cm="1">
        <f t="array" ref="AY60">_xlfn.XLOOKUP(TRUE, EXACT(Table27[[#This Row],[H]], Table27[orig]), Table27[H])</f>
        <v>s</v>
      </c>
      <c r="AZ60" t="str" cm="1">
        <f t="array" ref="AZ60">_xlfn.XLOOKUP(TRUE, EXACT(Table27[[#This Row],[H2]], Table27[orig]), Table27[H])</f>
        <v>s</v>
      </c>
      <c r="BA60" t="str" cm="1">
        <f t="array" ref="BA60">_xlfn.XLOOKUP(TRUE, EXACT(Table27[[#This Row],[Y]], Table27[orig]), Table27[D])</f>
        <v>s</v>
      </c>
      <c r="BB60" t="str" cm="1">
        <f t="array" ref="BB60">_xlfn.XLOOKUP(TRUE, EXACT(Table27[[#This Row],[u-lower]], Table27[orig]), Table27[u-lower])</f>
        <v>s</v>
      </c>
      <c r="BC60" t="str" cm="1">
        <f t="array" ref="BC60">_xlfn.XLOOKUP(TRUE, EXACT(Table27[[#This Row],[u2-lower]], Table27[orig]), Table27[u-lower])</f>
        <v>s</v>
      </c>
      <c r="BD60" t="str" cm="1">
        <f t="array" ref="BD60">_xlfn.XLOOKUP(TRUE, EXACT(Table27[[#This Row],[Y'']], Table27[orig]), Table27[U])</f>
        <v>g</v>
      </c>
      <c r="BE60" t="str" cm="1">
        <f t="array" ref="BE60">_xlfn.XLOOKUP(TRUE, EXACT(Table27[[#This Row],[d-lower]], Table27[orig]), Table27[d-lower])</f>
        <v>k</v>
      </c>
      <c r="BF60" t="str" cm="1">
        <f t="array" ref="BF60">_xlfn.XLOOKUP(TRUE, EXACT(Table27[[#This Row],[d2-lower]], Table27[orig]), Table27[d-lower])</f>
        <v>o</v>
      </c>
      <c r="BG60" t="str" cm="1">
        <f t="array" ref="BG60">_xlfn.XLOOKUP(TRUE, EXACT(Table27[[#This Row],[U]], Table27[orig]), Table27[D''])</f>
        <v>o</v>
      </c>
      <c r="BH60" t="str" cm="1">
        <f t="array" ref="BH60">_xlfn.XLOOKUP(TRUE, EXACT(Table27[[#This Row],[UD'']], Table27[orig]), Table27[UD''])</f>
        <v>k</v>
      </c>
      <c r="BI60" t="str" cm="1">
        <f t="array" ref="BI60">_xlfn.XLOOKUP(TRUE, EXACT(Table27[[#This Row],[U2D2]], Table27[orig]), Table27[UD''])</f>
        <v>g</v>
      </c>
      <c r="BJ60" t="str">
        <f>Table29[[#This Row],[F]]</f>
        <v>s</v>
      </c>
      <c r="BK60" t="str" cm="1">
        <f t="array" ref="BK60">_xlfn.XLOOKUP(TRUE, EXACT(Table27[[#This Row],[F]], Table27[orig]), Table27[F])</f>
        <v>s</v>
      </c>
      <c r="BL60" t="str" cm="1">
        <f t="array" ref="BL60">_xlfn.XLOOKUP(TRUE, EXACT(Table27[[#This Row],[F2]], Table27[orig]), Table27[F])</f>
        <v>s</v>
      </c>
      <c r="BM60" t="str" cm="1">
        <f t="array" ref="BM60">_xlfn.XLOOKUP(TRUE, EXACT(_xlfn.XLOOKUP(TRUE, EXACT(Table27[[#This Row],[X2]], Table27[orig]), Table27[F]), Table27[orig]), Table27[X2])</f>
        <v>t</v>
      </c>
      <c r="BN60" t="str" cm="1">
        <f t="array" ref="BN60">_xlfn.XLOOKUP(TRUE, EXACT(Table27[[#This Row],[B]], Table27[orig]), Table27[B])</f>
        <v>q</v>
      </c>
      <c r="BO60" t="str" cm="1">
        <f t="array" ref="BO60">_xlfn.XLOOKUP(TRUE, EXACT(Table27[[#This Row],[B2]], Table27[orig]), Table27[B])</f>
        <v>r</v>
      </c>
      <c r="BP60" t="str" cm="1">
        <f t="array" ref="BP60">_xlfn.XLOOKUP(TRUE, EXACT(Table27[[#This Row],[f-lower]], Table27[orig]), Table27[F''])</f>
        <v>s</v>
      </c>
      <c r="BQ60" t="str" cm="1">
        <f t="array" ref="BQ60">_xlfn.XLOOKUP(TRUE, EXACT(Table27[[#This Row],[S]], Table27[orig]), Table27[S])</f>
        <v>s</v>
      </c>
      <c r="BR60" t="str" cm="1">
        <f t="array" ref="BR60">_xlfn.XLOOKUP(TRUE, EXACT(Table27[[#This Row],[S2]], Table27[orig]), Table27[S])</f>
        <v>s</v>
      </c>
      <c r="BS60" t="str" cm="1">
        <f t="array" ref="BS60">_xlfn.XLOOKUP(TRUE, EXACT(Table27[[#This Row],[Z]], Table27[orig]), Table27[B])</f>
        <v>s</v>
      </c>
      <c r="BT60" t="str" cm="1">
        <f t="array" ref="BT60">_xlfn.XLOOKUP(TRUE, EXACT(Table27[[#This Row],[f-lower]], Table27[orig]), Table27[f-lower])</f>
        <v>s</v>
      </c>
      <c r="BU60" t="str" cm="1">
        <f t="array" ref="BU60">_xlfn.XLOOKUP(TRUE, EXACT(Table27[[#This Row],[f2-lower]], Table27[orig]), Table27[f-lower])</f>
        <v>s</v>
      </c>
      <c r="BV60" t="str" cm="1">
        <f t="array" ref="BV60">_xlfn.XLOOKUP(TRUE, EXACT(Table27[[#This Row],[Z'']], Table27[orig]), Table27[F])</f>
        <v>t</v>
      </c>
      <c r="BW60" t="str" cm="1">
        <f t="array" ref="BW60">_xlfn.XLOOKUP(TRUE, EXACT(Table27[[#This Row],[b-lower]], Table27[orig]), Table27[b-lower])</f>
        <v>q</v>
      </c>
      <c r="BX60" t="str" cm="1">
        <f t="array" ref="BX60">_xlfn.XLOOKUP(TRUE, EXACT(Table27[[#This Row],[b2-lower]], Table27[orig]), Table27[b-lower])</f>
        <v>r</v>
      </c>
      <c r="BY60" t="str" cm="1">
        <f t="array" ref="BY60">_xlfn.XLOOKUP(TRUE, EXACT(Table27[[#This Row],[F]], Table27[orig]), Table27[B''])</f>
        <v>r</v>
      </c>
      <c r="BZ60" t="str" cm="1">
        <f t="array" ref="BZ60">_xlfn.XLOOKUP(TRUE, EXACT(Table27[[#This Row],[FB'']], Table27[orig]), Table27[FB''])</f>
        <v>q</v>
      </c>
      <c r="CA60" t="str" cm="1">
        <f t="array" ref="CA60">_xlfn.XLOOKUP(TRUE, EXACT(Table27[[#This Row],[F2B2]], Table27[orig]), Table27[FB''])</f>
        <v>t</v>
      </c>
      <c r="CD60" t="s">
        <v>135</v>
      </c>
      <c r="CE60" t="str">
        <f>Table28[[#This Row],[orig]]</f>
        <v>s</v>
      </c>
      <c r="CF60" t="str">
        <f>Table29[[#This Row],[X]]</f>
        <v>u</v>
      </c>
      <c r="CG60" t="str" cm="1">
        <f t="array" ref="CG60">_xlfn.XLOOKUP(TRUE, EXACT(Table28[[#This Row],[X]], Table28[orig]), Table28[X])</f>
        <v>i</v>
      </c>
      <c r="CH60" t="str" cm="1">
        <f t="array" ref="CH60">_xlfn.XLOOKUP(TRUE, EXACT(Table28[[#This Row],[X2]], Table28[orig]), Table28[X])</f>
        <v>a</v>
      </c>
      <c r="CI60" t="str">
        <f>Table29[[#This Row],[Y]]</f>
        <v>o</v>
      </c>
      <c r="CJ60" t="str" cm="1">
        <f t="array" ref="CJ60">_xlfn.XLOOKUP(TRUE, EXACT(Table28[[#This Row],[Y]], Table28[orig]), Table28[Y])</f>
        <v>k</v>
      </c>
      <c r="CK60" t="str" cm="1">
        <f t="array" ref="CK60">_xlfn.XLOOKUP(TRUE, EXACT(Table28[[#This Row],[Y2]], Table28[orig]), Table28[Y])</f>
        <v>g</v>
      </c>
      <c r="CL60" t="str">
        <f>Table29[[#This Row],[Z]]</f>
        <v>r</v>
      </c>
      <c r="CM60" t="str" cm="1">
        <f t="array" ref="CM60">_xlfn.XLOOKUP(TRUE, EXACT(Table28[[#This Row],[Z]], Table28[orig]), Table28[Z])</f>
        <v>q</v>
      </c>
      <c r="CN60" t="str" cm="1">
        <f t="array" ref="CN60">_xlfn.XLOOKUP(TRUE, EXACT(Table28[[#This Row],[Z2]], Table28[orig]), Table28[Z])</f>
        <v>t</v>
      </c>
      <c r="CO60" t="str" cm="1">
        <f t="array" ref="CO60">_xlfn.XLOOKUP(TRUE, EXACT(Table28[[#This Row],[Z]], Table28[orig]), Table28[X])</f>
        <v>x</v>
      </c>
      <c r="CP60" t="str" cm="1">
        <f t="array" ref="CP60">_xlfn.XLOOKUP(TRUE, EXACT(Table28[[#This Row],[Y'']], Table28[orig]), Table28[X''])</f>
        <v>h</v>
      </c>
      <c r="CQ60" t="str" cm="1">
        <f t="array" ref="CQ60">_xlfn.XLOOKUP(TRUE, EXACT(Table28[[#This Row],[Y]], Table28[orig]), Table28[X''])</f>
        <v>n</v>
      </c>
      <c r="CR60" t="str" cm="1">
        <f t="array" ref="CR60">_xlfn.XLOOKUP(TRUE, EXACT(Table28[[#This Row],[Z'']], Table28[orig]), Table28[X])</f>
        <v>v</v>
      </c>
      <c r="CS60" t="str" cm="1">
        <f t="array" ref="CS60">_xlfn.XLOOKUP(TRUE, EXACT(Table28[[#This Row],[Z'']], Table28[orig]), Table28[X''])</f>
        <v>b</v>
      </c>
      <c r="CT60" t="str" cm="1">
        <f t="array" ref="CT60">_xlfn.XLOOKUP(TRUE, EXACT(Table28[[#This Row],[Y'']], Table28[orig]), Table28[X])</f>
        <v>f</v>
      </c>
      <c r="CU60" t="str" cm="1">
        <f t="array" ref="CU60">_xlfn.XLOOKUP(TRUE, EXACT(Table28[[#This Row],[Y]], Table28[orig]), Table28[X])</f>
        <v>p</v>
      </c>
      <c r="CV60" t="str" cm="1">
        <f t="array" ref="CV60">_xlfn.XLOOKUP(TRUE, EXACT(Table28[[#This Row],[Z]], Table28[orig]), Table28[X''])</f>
        <v>d</v>
      </c>
      <c r="CW60" t="str" cm="1">
        <f t="array" ref="CW60">_xlfn.XLOOKUP(TRUE, EXACT(Table28[[#This Row],[Y'']], Table28[orig]), Table28[X2])</f>
        <v>e</v>
      </c>
      <c r="CX60" t="str" cm="1">
        <f t="array" ref="CX60">_xlfn.XLOOKUP(TRUE, EXACT(Table28[[#This Row],[Y]], Table28[orig]), Table28[X2])</f>
        <v>m</v>
      </c>
      <c r="CY60" t="str" cm="1">
        <f t="array" ref="CY60">_xlfn.XLOOKUP(TRUE, EXACT(Table28[[#This Row],[Z]], Table28[orig]), Table28[X2])</f>
        <v>l</v>
      </c>
      <c r="CZ60" t="str" cm="1">
        <f t="array" ref="CZ60">_xlfn.XLOOKUP(TRUE, EXACT(Table28[[#This Row],[Z'']], Table28[orig]), Table28[X2])</f>
        <v>j</v>
      </c>
      <c r="DA60" t="str" cm="1">
        <f t="array" ref="DA60">_xlfn.XLOOKUP(TRUE, EXACT(Table28[[#This Row],[Z2]], Table28[orig]), Table28[X])</f>
        <v>w</v>
      </c>
      <c r="DB60" t="str" cm="1">
        <f t="array" ref="DB60">_xlfn.XLOOKUP(TRUE, EXACT(Table28[[#This Row],[Z2]], Table28[orig]), Table28[X''])</f>
        <v>c</v>
      </c>
      <c r="DE60" s="6" t="s">
        <v>135</v>
      </c>
      <c r="DF60" s="6" t="str" cm="1">
        <f t="array" ref="DF60">_xlfn.XLOOKUP(TRUE, EXACT(Table28[[#This Row],[I]], Table29[orig]), Table29[T-reflection])</f>
        <v>s</v>
      </c>
      <c r="DG60" s="6" t="str" cm="1">
        <f t="array" ref="DG60">_xlfn.XLOOKUP(TRUE, EXACT(Table28[[#This Row],[X]], Table29[orig]), Table29[T-reflection])</f>
        <v>u</v>
      </c>
      <c r="DH60" t="str" cm="1">
        <f t="array" ref="DH60">_xlfn.XLOOKUP(TRUE, EXACT(Table28[[#This Row],[X2]], Table29[orig]), Table29[T-reflection])</f>
        <v>i</v>
      </c>
      <c r="DI60" t="str" cm="1">
        <f t="array" ref="DI60">_xlfn.XLOOKUP(TRUE, EXACT(Table28[[#This Row],[X'']], Table29[orig]), Table29[T-reflection])</f>
        <v>a</v>
      </c>
      <c r="DJ60" s="6" t="str" cm="1">
        <f t="array" ref="DJ60">_xlfn.XLOOKUP(TRUE, EXACT(Table28[[#This Row],[Y]], Table29[orig]), Table29[T-reflection])</f>
        <v>g</v>
      </c>
      <c r="DK60" t="str" cm="1">
        <f t="array" ref="DK60">_xlfn.XLOOKUP(TRUE, EXACT(Table28[[#This Row],[Y2]], Table29[orig]), Table29[T-reflection])</f>
        <v>k</v>
      </c>
      <c r="DL60" t="str" cm="1">
        <f t="array" ref="DL60">_xlfn.XLOOKUP(TRUE, EXACT(Table28[[#This Row],[Y'']], Table29[orig]), Table29[T-reflection])</f>
        <v>o</v>
      </c>
      <c r="DM60" s="6" t="str" cm="1">
        <f t="array" ref="DM60">_xlfn.XLOOKUP(TRUE, EXACT(Table28[[#This Row],[Z]], Table29[orig]), Table29[T-reflection])</f>
        <v>t</v>
      </c>
      <c r="DN60" t="str" cm="1">
        <f t="array" ref="DN60">_xlfn.XLOOKUP(TRUE, EXACT(Table28[[#This Row],[Z2]], Table29[orig]), Table29[T-reflection])</f>
        <v>q</v>
      </c>
      <c r="DO60" t="str" cm="1">
        <f t="array" ref="DO60">_xlfn.XLOOKUP(TRUE, EXACT(Table28[[#This Row],[Z'']], Table29[orig]), Table29[T-reflection])</f>
        <v>r</v>
      </c>
      <c r="DP60" t="str" cm="1">
        <f t="array" ref="DP60">_xlfn.XLOOKUP(TRUE, EXACT(Table28[[#This Row],[Z X]], Table29[orig]), Table29[T-reflection])</f>
        <v>v</v>
      </c>
      <c r="DQ60" t="str" cm="1">
        <f t="array" ref="DQ60">_xlfn.XLOOKUP(TRUE, EXACT(Table28[[#This Row],[Y'' X'']], Table29[orig]), Table29[T-reflection])</f>
        <v>n</v>
      </c>
      <c r="DR60" t="str" cm="1">
        <f t="array" ref="DR60">_xlfn.XLOOKUP(TRUE, EXACT(Table28[[#This Row],[Y X'']], Table29[orig]), Table29[T-reflection])</f>
        <v>h</v>
      </c>
      <c r="DS60" t="str" cm="1">
        <f t="array" ref="DS60">_xlfn.XLOOKUP(TRUE, EXACT(Table28[[#This Row],[Z'' X]], Table29[orig]), Table29[T-reflection])</f>
        <v>x</v>
      </c>
      <c r="DT60" t="str" cm="1">
        <f t="array" ref="DT60">_xlfn.XLOOKUP(TRUE, EXACT(Table28[[#This Row],[Z'' X'']], Table29[orig]), Table29[T-reflection])</f>
        <v>d</v>
      </c>
      <c r="DU60" t="str" cm="1">
        <f t="array" ref="DU60">_xlfn.XLOOKUP(TRUE, EXACT(Table28[[#This Row],[Y'' X]], Table29[orig]), Table29[T-reflection])</f>
        <v>p</v>
      </c>
      <c r="DV60" t="str" cm="1">
        <f t="array" ref="DV60">_xlfn.XLOOKUP(TRUE, EXACT(Table28[[#This Row],[Y X]], Table29[orig]), Table29[T-reflection])</f>
        <v>f</v>
      </c>
      <c r="DW60" t="str" cm="1">
        <f t="array" ref="DW60">_xlfn.XLOOKUP(TRUE, EXACT(Table28[[#This Row],[Z X'']], Table29[orig]), Table29[T-reflection])</f>
        <v>b</v>
      </c>
      <c r="DX60" t="str" cm="1">
        <f t="array" ref="DX60">_xlfn.XLOOKUP(TRUE, EXACT(Table28[[#This Row],[Y'' X2]], Table29[orig]), Table29[T-reflection])</f>
        <v>m</v>
      </c>
      <c r="DY60" t="str" cm="1">
        <f t="array" ref="DY60">_xlfn.XLOOKUP(TRUE, EXACT(Table28[[#This Row],[Y X2]], Table29[orig]), Table29[T-reflection])</f>
        <v>e</v>
      </c>
      <c r="DZ60" t="str" cm="1">
        <f t="array" ref="DZ60">_xlfn.XLOOKUP(TRUE, EXACT(Table28[[#This Row],[Z X2]], Table29[orig]), Table29[T-reflection])</f>
        <v>j</v>
      </c>
      <c r="EA60" t="str" cm="1">
        <f t="array" ref="EA60">_xlfn.XLOOKUP(TRUE, EXACT(Table28[[#This Row],[Z'' X2]], Table29[orig]), Table29[T-reflection])</f>
        <v>l</v>
      </c>
      <c r="EB60" t="str" cm="1">
        <f t="array" ref="EB60">_xlfn.XLOOKUP(TRUE, EXACT(Table28[[#This Row],[Z2 X]], Table29[orig]), Table29[T-reflection])</f>
        <v>w</v>
      </c>
      <c r="EC60" t="str" cm="1">
        <f t="array" ref="EC60">_xlfn.XLOOKUP(TRUE, EXACT(Table28[[#This Row],[Z2 X'']], Table29[orig]), Table29[T-reflection])</f>
        <v>c</v>
      </c>
    </row>
    <row r="61" spans="1:164" s="5" customFormat="1" ht="16" thickBot="1" x14ac:dyDescent="0.25">
      <c r="A61"/>
      <c r="B61" s="5" t="s">
        <v>136</v>
      </c>
      <c r="C61" s="5" t="s">
        <v>136</v>
      </c>
      <c r="D61" s="5" t="s">
        <v>88</v>
      </c>
      <c r="E61" s="5" t="s">
        <v>87</v>
      </c>
      <c r="F61" s="5" t="s">
        <v>135</v>
      </c>
      <c r="G61" s="5" t="s">
        <v>46</v>
      </c>
      <c r="H61" s="5" t="s">
        <v>80</v>
      </c>
      <c r="I61" s="5" t="s">
        <v>67</v>
      </c>
      <c r="J61" s="5" t="s">
        <v>88</v>
      </c>
      <c r="K61" s="5" t="s">
        <v>136</v>
      </c>
      <c r="L61" s="5" t="s">
        <v>136</v>
      </c>
      <c r="M61"/>
      <c r="N61"/>
      <c r="O61" s="5" t="s">
        <v>136</v>
      </c>
      <c r="P61" s="5" t="str">
        <f>Table27[[#This Row],[orig]]</f>
        <v>t</v>
      </c>
      <c r="Q61" s="5" t="str">
        <f>Table29[[#This Row],[X]]</f>
        <v>v</v>
      </c>
      <c r="R61" s="5" t="str" cm="1">
        <f t="array" ref="R61">_xlfn.XLOOKUP(TRUE, EXACT(Table27[[#This Row],[X]], Table27[orig]), Table27[X])</f>
        <v>j</v>
      </c>
      <c r="S61" s="5" t="str" cm="1">
        <f t="array" ref="S61">_xlfn.XLOOKUP(TRUE, EXACT(Table27[[#This Row],[X2]], Table27[orig]), Table27[X])</f>
        <v>b</v>
      </c>
      <c r="T61" s="5" t="str">
        <f>Table29[[#This Row],[Y]]</f>
        <v>p</v>
      </c>
      <c r="U61" s="5" t="str" cm="1">
        <f t="array" ref="U61">_xlfn.XLOOKUP(TRUE, EXACT(Table27[[#This Row],[Y]], Table27[orig]), Table27[Y])</f>
        <v>l</v>
      </c>
      <c r="V61" s="5" t="str" cm="1">
        <f t="array" ref="V61">_xlfn.XLOOKUP(TRUE, EXACT(Table27[[#This Row],[Y2]], Table27[orig]), Table27[Y])</f>
        <v>h</v>
      </c>
      <c r="W61" s="5" t="str">
        <f>Table29[[#This Row],[Z]]</f>
        <v>s</v>
      </c>
      <c r="X61" s="5" t="str" cm="1">
        <f t="array" ref="X61">_xlfn.XLOOKUP(TRUE, EXACT(Table27[[#This Row],[Z]], Table27[orig]), Table27[Z])</f>
        <v>r</v>
      </c>
      <c r="Y61" s="5" t="str" cm="1">
        <f t="array" ref="Y61">_xlfn.XLOOKUP(TRUE, EXACT(Table27[[#This Row],[Z2]], Table27[orig]), Table27[Z])</f>
        <v>q</v>
      </c>
      <c r="Z61" s="5" t="str">
        <f>Table29[[#This Row],[R]]</f>
        <v>v</v>
      </c>
      <c r="AA61" s="5" t="str" cm="1">
        <f t="array" ref="AA61">_xlfn.XLOOKUP(TRUE, EXACT(Table27[[#This Row],[R]], Table27[orig]), Table27[R])</f>
        <v>j</v>
      </c>
      <c r="AB61" s="5" t="str" cm="1">
        <f t="array" ref="AB61">_xlfn.XLOOKUP(TRUE, EXACT(Table27[[#This Row],[R2]], Table27[orig]), Table27[R])</f>
        <v>b</v>
      </c>
      <c r="AC61" s="5" t="str" cm="1">
        <f t="array" ref="AC61">_xlfn.XLOOKUP(TRUE, EXACT(_xlfn.XLOOKUP(TRUE, EXACT(Table27[[#This Row],[Y2]], Table27[orig]), Table27[R]), Table27[orig]), Table27[Y2])</f>
        <v>t</v>
      </c>
      <c r="AD61" s="5" t="str" cm="1">
        <f t="array" ref="AD61">_xlfn.XLOOKUP(TRUE, EXACT(Table27[[#This Row],[L]], Table27[orig]), Table27[L])</f>
        <v>t</v>
      </c>
      <c r="AE61" s="5" t="str" cm="1">
        <f t="array" ref="AE61">_xlfn.XLOOKUP(TRUE, EXACT(Table27[[#This Row],[L2]], Table27[orig]), Table27[L])</f>
        <v>t</v>
      </c>
      <c r="AF61" s="5" t="str" cm="1">
        <f t="array" ref="AF61">_xlfn.XLOOKUP(TRUE, EXACT(Table27[[#This Row],[r-lower]], Table27[orig]), Table27[R''])</f>
        <v>t</v>
      </c>
      <c r="AG61" s="5" t="str" cm="1">
        <f t="array" ref="AG61">_xlfn.XLOOKUP(TRUE, EXACT(Table27[[#This Row],[T]], Table27[orig]), Table27[T])</f>
        <v>t</v>
      </c>
      <c r="AH61" s="5" t="str" cm="1">
        <f t="array" ref="AH61">_xlfn.XLOOKUP(TRUE, EXACT(Table27[[#This Row],[T2]], Table27[orig]), Table27[T])</f>
        <v>t</v>
      </c>
      <c r="AI61" s="5" t="str" cm="1">
        <f t="array" ref="AI61">_xlfn.XLOOKUP(TRUE, EXACT(Table27[[#This Row],[X]], Table27[orig]), Table27[L])</f>
        <v>v</v>
      </c>
      <c r="AJ61" s="5" t="str" cm="1">
        <f t="array" ref="AJ61">_xlfn.XLOOKUP(TRUE, EXACT(Table27[[#This Row],[r-lower]], Table27[orig]), Table27[r-lower])</f>
        <v>j</v>
      </c>
      <c r="AK61" s="5" t="str" cm="1">
        <f t="array" ref="AK61">_xlfn.XLOOKUP(TRUE, EXACT(Table27[[#This Row],[r2-lower]], Table27[orig]), Table27[r-lower])</f>
        <v>b</v>
      </c>
      <c r="AL61" s="5" t="str" cm="1">
        <f t="array" ref="AL61">_xlfn.XLOOKUP(TRUE, EXACT(Table27[[#This Row],[X'']], Table27[orig]), Table27[R])</f>
        <v>t</v>
      </c>
      <c r="AM61" s="5" t="str" cm="1">
        <f t="array" ref="AM61">_xlfn.XLOOKUP(TRUE, EXACT(Table27[[#This Row],[l-lower]], Table27[orig]), Table27[l-lower])</f>
        <v>t</v>
      </c>
      <c r="AN61" s="5" t="str" cm="1">
        <f t="array" ref="AN61">_xlfn.XLOOKUP(TRUE, EXACT(Table27[[#This Row],[l2-lower]], Table27[orig]), Table27[l-lower])</f>
        <v>t</v>
      </c>
      <c r="AO61" s="5" t="str" cm="1">
        <f t="array" ref="AO61">_xlfn.XLOOKUP(TRUE, EXACT(Table27[[#This Row],[R]], Table27[orig]), Table27[L''])</f>
        <v>v</v>
      </c>
      <c r="AP61" s="5" t="str" cm="1">
        <f t="array" ref="AP61">_xlfn.XLOOKUP(TRUE, EXACT(Table27[[#This Row],[RL'']], Table27[orig]), Table27[RL''])</f>
        <v>j</v>
      </c>
      <c r="AQ61" s="5" t="str" cm="1">
        <f t="array" ref="AQ61">_xlfn.XLOOKUP(TRUE, EXACT(Table27[[#This Row],[R2L2]], Table27[orig]), Table27[RL''])</f>
        <v>b</v>
      </c>
      <c r="AR61" s="5" t="str">
        <f>Table29[[#This Row],[U]]</f>
        <v>t</v>
      </c>
      <c r="AS61" s="5" t="str" cm="1">
        <f t="array" ref="AS61">_xlfn.XLOOKUP(TRUE, EXACT(Table27[[#This Row],[U]], Table27[orig]), Table27[U])</f>
        <v>t</v>
      </c>
      <c r="AT61" s="5" t="str" cm="1">
        <f t="array" ref="AT61">_xlfn.XLOOKUP(TRUE, EXACT(Table27[[#This Row],[U2]], Table27[orig]), Table27[U])</f>
        <v>t</v>
      </c>
      <c r="AU61" s="5" t="str" cm="1">
        <f t="array" ref="AU61">_xlfn.XLOOKUP(TRUE, EXACT(_xlfn.XLOOKUP(TRUE, EXACT(Table27[[#This Row],[Z2]], Table27[orig]), Table27[U]), Table27[orig]), Table27[Z2])</f>
        <v>t</v>
      </c>
      <c r="AV61" s="5" t="str" cm="1">
        <f t="array" ref="AV61">_xlfn.XLOOKUP(TRUE, EXACT(Table27[[#This Row],[D]], Table27[orig]), Table27[D])</f>
        <v>t</v>
      </c>
      <c r="AW61" s="5" t="str" cm="1">
        <f t="array" ref="AW61">_xlfn.XLOOKUP(TRUE, EXACT(Table27[[#This Row],[D2]], Table27[orig]), Table27[D])</f>
        <v>t</v>
      </c>
      <c r="AX61" s="5" t="str" cm="1">
        <f t="array" ref="AX61">_xlfn.XLOOKUP(TRUE, EXACT(Table27[[#This Row],[u-lower]], Table27[orig]), Table27[U''])</f>
        <v>p</v>
      </c>
      <c r="AY61" s="5" t="str" cm="1">
        <f t="array" ref="AY61">_xlfn.XLOOKUP(TRUE, EXACT(Table27[[#This Row],[H]], Table27[orig]), Table27[H])</f>
        <v>l</v>
      </c>
      <c r="AZ61" s="5" t="str" cm="1">
        <f t="array" ref="AZ61">_xlfn.XLOOKUP(TRUE, EXACT(Table27[[#This Row],[H2]], Table27[orig]), Table27[H])</f>
        <v>h</v>
      </c>
      <c r="BA61" s="5" t="str" cm="1">
        <f t="array" ref="BA61">_xlfn.XLOOKUP(TRUE, EXACT(Table27[[#This Row],[Y]], Table27[orig]), Table27[D])</f>
        <v>p</v>
      </c>
      <c r="BB61" s="5" t="str" cm="1">
        <f t="array" ref="BB61">_xlfn.XLOOKUP(TRUE, EXACT(Table27[[#This Row],[u-lower]], Table27[orig]), Table27[u-lower])</f>
        <v>l</v>
      </c>
      <c r="BC61" s="5" t="str" cm="1">
        <f t="array" ref="BC61">_xlfn.XLOOKUP(TRUE, EXACT(Table27[[#This Row],[u2-lower]], Table27[orig]), Table27[u-lower])</f>
        <v>h</v>
      </c>
      <c r="BD61" s="5" t="str" cm="1">
        <f t="array" ref="BD61">_xlfn.XLOOKUP(TRUE, EXACT(Table27[[#This Row],[Y'']], Table27[orig]), Table27[U])</f>
        <v>h</v>
      </c>
      <c r="BE61" s="5" t="str" cm="1">
        <f t="array" ref="BE61">_xlfn.XLOOKUP(TRUE, EXACT(Table27[[#This Row],[d-lower]], Table27[orig]), Table27[d-lower])</f>
        <v>l</v>
      </c>
      <c r="BF61" s="5" t="str" cm="1">
        <f t="array" ref="BF61">_xlfn.XLOOKUP(TRUE, EXACT(Table27[[#This Row],[d2-lower]], Table27[orig]), Table27[d-lower])</f>
        <v>p</v>
      </c>
      <c r="BG61" s="5" t="str" cm="1">
        <f t="array" ref="BG61">_xlfn.XLOOKUP(TRUE, EXACT(Table27[[#This Row],[U]], Table27[orig]), Table27[D''])</f>
        <v>t</v>
      </c>
      <c r="BH61" s="5" t="str" cm="1">
        <f t="array" ref="BH61">_xlfn.XLOOKUP(TRUE, EXACT(Table27[[#This Row],[UD'']], Table27[orig]), Table27[UD''])</f>
        <v>t</v>
      </c>
      <c r="BI61" s="5" t="str" cm="1">
        <f t="array" ref="BI61">_xlfn.XLOOKUP(TRUE, EXACT(Table27[[#This Row],[U2D2]], Table27[orig]), Table27[UD''])</f>
        <v>t</v>
      </c>
      <c r="BJ61" s="5" t="str">
        <f>Table29[[#This Row],[F]]</f>
        <v>t</v>
      </c>
      <c r="BK61" s="5" t="str" cm="1">
        <f t="array" ref="BK61">_xlfn.XLOOKUP(TRUE, EXACT(Table27[[#This Row],[F]], Table27[orig]), Table27[F])</f>
        <v>t</v>
      </c>
      <c r="BL61" s="5" t="str" cm="1">
        <f t="array" ref="BL61">_xlfn.XLOOKUP(TRUE, EXACT(Table27[[#This Row],[F2]], Table27[orig]), Table27[F])</f>
        <v>t</v>
      </c>
      <c r="BM61" s="5" t="str" cm="1">
        <f t="array" ref="BM61">_xlfn.XLOOKUP(TRUE, EXACT(_xlfn.XLOOKUP(TRUE, EXACT(Table27[[#This Row],[X2]], Table27[orig]), Table27[F]), Table27[orig]), Table27[X2])</f>
        <v>q</v>
      </c>
      <c r="BN61" s="5" t="str" cm="1">
        <f t="array" ref="BN61">_xlfn.XLOOKUP(TRUE, EXACT(Table27[[#This Row],[B]], Table27[orig]), Table27[B])</f>
        <v>r</v>
      </c>
      <c r="BO61" s="5" t="str" cm="1">
        <f t="array" ref="BO61">_xlfn.XLOOKUP(TRUE, EXACT(Table27[[#This Row],[B2]], Table27[orig]), Table27[B])</f>
        <v>s</v>
      </c>
      <c r="BP61" s="5" t="str" cm="1">
        <f t="array" ref="BP61">_xlfn.XLOOKUP(TRUE, EXACT(Table27[[#This Row],[f-lower]], Table27[orig]), Table27[F''])</f>
        <v>t</v>
      </c>
      <c r="BQ61" s="5" t="str" cm="1">
        <f t="array" ref="BQ61">_xlfn.XLOOKUP(TRUE, EXACT(Table27[[#This Row],[S]], Table27[orig]), Table27[S])</f>
        <v>t</v>
      </c>
      <c r="BR61" s="5" t="str" cm="1">
        <f t="array" ref="BR61">_xlfn.XLOOKUP(TRUE, EXACT(Table27[[#This Row],[S2]], Table27[orig]), Table27[S])</f>
        <v>t</v>
      </c>
      <c r="BS61" s="5" t="str" cm="1">
        <f t="array" ref="BS61">_xlfn.XLOOKUP(TRUE, EXACT(Table27[[#This Row],[Z]], Table27[orig]), Table27[B])</f>
        <v>t</v>
      </c>
      <c r="BT61" s="5" t="str" cm="1">
        <f t="array" ref="BT61">_xlfn.XLOOKUP(TRUE, EXACT(Table27[[#This Row],[f-lower]], Table27[orig]), Table27[f-lower])</f>
        <v>t</v>
      </c>
      <c r="BU61" s="5" t="str" cm="1">
        <f t="array" ref="BU61">_xlfn.XLOOKUP(TRUE, EXACT(Table27[[#This Row],[f2-lower]], Table27[orig]), Table27[f-lower])</f>
        <v>t</v>
      </c>
      <c r="BV61" s="5" t="str" cm="1">
        <f t="array" ref="BV61">_xlfn.XLOOKUP(TRUE, EXACT(Table27[[#This Row],[Z'']], Table27[orig]), Table27[F])</f>
        <v>q</v>
      </c>
      <c r="BW61" s="5" t="str" cm="1">
        <f t="array" ref="BW61">_xlfn.XLOOKUP(TRUE, EXACT(Table27[[#This Row],[b-lower]], Table27[orig]), Table27[b-lower])</f>
        <v>r</v>
      </c>
      <c r="BX61" s="5" t="str" cm="1">
        <f t="array" ref="BX61">_xlfn.XLOOKUP(TRUE, EXACT(Table27[[#This Row],[b2-lower]], Table27[orig]), Table27[b-lower])</f>
        <v>s</v>
      </c>
      <c r="BY61" s="5" t="str" cm="1">
        <f t="array" ref="BY61">_xlfn.XLOOKUP(TRUE, EXACT(Table27[[#This Row],[F]], Table27[orig]), Table27[B''])</f>
        <v>s</v>
      </c>
      <c r="BZ61" s="5" t="str" cm="1">
        <f t="array" ref="BZ61">_xlfn.XLOOKUP(TRUE, EXACT(Table27[[#This Row],[FB'']], Table27[orig]), Table27[FB''])</f>
        <v>r</v>
      </c>
      <c r="CA61" s="5" t="str" cm="1">
        <f t="array" ref="CA61">_xlfn.XLOOKUP(TRUE, EXACT(Table27[[#This Row],[F2B2]], Table27[orig]), Table27[FB''])</f>
        <v>q</v>
      </c>
      <c r="CB61"/>
      <c r="CC61"/>
      <c r="CD61" s="5" t="s">
        <v>136</v>
      </c>
      <c r="CE61" s="5" t="str">
        <f>Table28[[#This Row],[orig]]</f>
        <v>t</v>
      </c>
      <c r="CF61" s="5" t="str">
        <f>Table29[[#This Row],[X]]</f>
        <v>v</v>
      </c>
      <c r="CG61" s="5" t="str" cm="1">
        <f t="array" ref="CG61">_xlfn.XLOOKUP(TRUE, EXACT(Table28[[#This Row],[X]], Table28[orig]), Table28[X])</f>
        <v>j</v>
      </c>
      <c r="CH61" s="5" t="str" cm="1">
        <f t="array" ref="CH61">_xlfn.XLOOKUP(TRUE, EXACT(Table28[[#This Row],[X2]], Table28[orig]), Table28[X])</f>
        <v>b</v>
      </c>
      <c r="CI61" s="5" t="str">
        <f>Table29[[#This Row],[Y]]</f>
        <v>p</v>
      </c>
      <c r="CJ61" s="5" t="str" cm="1">
        <f t="array" ref="CJ61">_xlfn.XLOOKUP(TRUE, EXACT(Table28[[#This Row],[Y]], Table28[orig]), Table28[Y])</f>
        <v>l</v>
      </c>
      <c r="CK61" s="5" t="str" cm="1">
        <f t="array" ref="CK61">_xlfn.XLOOKUP(TRUE, EXACT(Table28[[#This Row],[Y2]], Table28[orig]), Table28[Y])</f>
        <v>h</v>
      </c>
      <c r="CL61" s="5" t="str">
        <f>Table29[[#This Row],[Z]]</f>
        <v>s</v>
      </c>
      <c r="CM61" s="5" t="str" cm="1">
        <f t="array" ref="CM61">_xlfn.XLOOKUP(TRUE, EXACT(Table28[[#This Row],[Z]], Table28[orig]), Table28[Z])</f>
        <v>r</v>
      </c>
      <c r="CN61" s="5" t="str" cm="1">
        <f t="array" ref="CN61">_xlfn.XLOOKUP(TRUE, EXACT(Table28[[#This Row],[Z2]], Table28[orig]), Table28[Z])</f>
        <v>q</v>
      </c>
      <c r="CO61" s="5" t="str" cm="1">
        <f t="array" ref="CO61">_xlfn.XLOOKUP(TRUE, EXACT(Table28[[#This Row],[Z]], Table28[orig]), Table28[X])</f>
        <v>u</v>
      </c>
      <c r="CP61" s="5" t="str" cm="1">
        <f t="array" ref="CP61">_xlfn.XLOOKUP(TRUE, EXACT(Table28[[#This Row],[Y'']], Table28[orig]), Table28[X''])</f>
        <v>e</v>
      </c>
      <c r="CQ61" s="5" t="str" cm="1">
        <f t="array" ref="CQ61">_xlfn.XLOOKUP(TRUE, EXACT(Table28[[#This Row],[Y]], Table28[orig]), Table28[X''])</f>
        <v>o</v>
      </c>
      <c r="CR61" s="5" t="str" cm="1">
        <f t="array" ref="CR61">_xlfn.XLOOKUP(TRUE, EXACT(Table28[[#This Row],[Z'']], Table28[orig]), Table28[X])</f>
        <v>w</v>
      </c>
      <c r="CS61" s="5" t="str" cm="1">
        <f t="array" ref="CS61">_xlfn.XLOOKUP(TRUE, EXACT(Table28[[#This Row],[Z'']], Table28[orig]), Table28[X''])</f>
        <v>c</v>
      </c>
      <c r="CT61" s="5" t="str" cm="1">
        <f t="array" ref="CT61">_xlfn.XLOOKUP(TRUE, EXACT(Table28[[#This Row],[Y'']], Table28[orig]), Table28[X])</f>
        <v>g</v>
      </c>
      <c r="CU61" s="5" t="str" cm="1">
        <f t="array" ref="CU61">_xlfn.XLOOKUP(TRUE, EXACT(Table28[[#This Row],[Y]], Table28[orig]), Table28[X])</f>
        <v>m</v>
      </c>
      <c r="CV61" s="5" t="str" cm="1">
        <f t="array" ref="CV61">_xlfn.XLOOKUP(TRUE, EXACT(Table28[[#This Row],[Z]], Table28[orig]), Table28[X''])</f>
        <v>a</v>
      </c>
      <c r="CW61" s="5" t="str" cm="1">
        <f t="array" ref="CW61">_xlfn.XLOOKUP(TRUE, EXACT(Table28[[#This Row],[Y'']], Table28[orig]), Table28[X2])</f>
        <v>f</v>
      </c>
      <c r="CX61" s="5" t="str" cm="1">
        <f t="array" ref="CX61">_xlfn.XLOOKUP(TRUE, EXACT(Table28[[#This Row],[Y]], Table28[orig]), Table28[X2])</f>
        <v>n</v>
      </c>
      <c r="CY61" s="5" t="str" cm="1">
        <f t="array" ref="CY61">_xlfn.XLOOKUP(TRUE, EXACT(Table28[[#This Row],[Z]], Table28[orig]), Table28[X2])</f>
        <v>i</v>
      </c>
      <c r="CZ61" s="5" t="str" cm="1">
        <f t="array" ref="CZ61">_xlfn.XLOOKUP(TRUE, EXACT(Table28[[#This Row],[Z'']], Table28[orig]), Table28[X2])</f>
        <v>k</v>
      </c>
      <c r="DA61" s="5" t="str" cm="1">
        <f t="array" ref="DA61">_xlfn.XLOOKUP(TRUE, EXACT(Table28[[#This Row],[Z2]], Table28[orig]), Table28[X])</f>
        <v>x</v>
      </c>
      <c r="DB61" s="5" t="str" cm="1">
        <f t="array" ref="DB61">_xlfn.XLOOKUP(TRUE, EXACT(Table28[[#This Row],[Z2]], Table28[orig]), Table28[X''])</f>
        <v>d</v>
      </c>
      <c r="DC61"/>
      <c r="DD61"/>
      <c r="DE61" s="8" t="s">
        <v>136</v>
      </c>
      <c r="DF61" s="8" t="str" cm="1">
        <f t="array" ref="DF61">_xlfn.XLOOKUP(TRUE, EXACT(Table28[[#This Row],[I]], Table29[orig]), Table29[T-reflection])</f>
        <v>r</v>
      </c>
      <c r="DG61" s="8" t="str" cm="1">
        <f t="array" ref="DG61">_xlfn.XLOOKUP(TRUE, EXACT(Table28[[#This Row],[X]], Table29[orig]), Table29[T-reflection])</f>
        <v>x</v>
      </c>
      <c r="DH61" s="5" t="str" cm="1">
        <f t="array" ref="DH61">_xlfn.XLOOKUP(TRUE, EXACT(Table28[[#This Row],[X2]], Table29[orig]), Table29[T-reflection])</f>
        <v>l</v>
      </c>
      <c r="DI61" s="5" t="str" cm="1">
        <f t="array" ref="DI61">_xlfn.XLOOKUP(TRUE, EXACT(Table28[[#This Row],[X'']], Table29[orig]), Table29[T-reflection])</f>
        <v>d</v>
      </c>
      <c r="DJ61" s="8" t="str" cm="1">
        <f t="array" ref="DJ61">_xlfn.XLOOKUP(TRUE, EXACT(Table28[[#This Row],[Y]], Table29[orig]), Table29[T-reflection])</f>
        <v>f</v>
      </c>
      <c r="DK61" s="5" t="str" cm="1">
        <f t="array" ref="DK61">_xlfn.XLOOKUP(TRUE, EXACT(Table28[[#This Row],[Y2]], Table29[orig]), Table29[T-reflection])</f>
        <v>j</v>
      </c>
      <c r="DL61" s="5" t="str" cm="1">
        <f t="array" ref="DL61">_xlfn.XLOOKUP(TRUE, EXACT(Table28[[#This Row],[Y'']], Table29[orig]), Table29[T-reflection])</f>
        <v>n</v>
      </c>
      <c r="DM61" s="8" t="str" cm="1">
        <f t="array" ref="DM61">_xlfn.XLOOKUP(TRUE, EXACT(Table28[[#This Row],[Z]], Table29[orig]), Table29[T-reflection])</f>
        <v>s</v>
      </c>
      <c r="DN61" s="5" t="str" cm="1">
        <f t="array" ref="DN61">_xlfn.XLOOKUP(TRUE, EXACT(Table28[[#This Row],[Z2]], Table29[orig]), Table29[T-reflection])</f>
        <v>t</v>
      </c>
      <c r="DO61" s="5" t="str" cm="1">
        <f t="array" ref="DO61">_xlfn.XLOOKUP(TRUE, EXACT(Table28[[#This Row],[Z'']], Table29[orig]), Table29[T-reflection])</f>
        <v>q</v>
      </c>
      <c r="DP61" s="5" t="str" cm="1">
        <f t="array" ref="DP61">_xlfn.XLOOKUP(TRUE, EXACT(Table28[[#This Row],[Z X]], Table29[orig]), Table29[T-reflection])</f>
        <v>u</v>
      </c>
      <c r="DQ61" s="5" t="str" cm="1">
        <f t="array" ref="DQ61">_xlfn.XLOOKUP(TRUE, EXACT(Table28[[#This Row],[Y'' X'']], Table29[orig]), Table29[T-reflection])</f>
        <v>m</v>
      </c>
      <c r="DR61" s="5" t="str" cm="1">
        <f t="array" ref="DR61">_xlfn.XLOOKUP(TRUE, EXACT(Table28[[#This Row],[Y X'']], Table29[orig]), Table29[T-reflection])</f>
        <v>g</v>
      </c>
      <c r="DS61" s="5" t="str" cm="1">
        <f t="array" ref="DS61">_xlfn.XLOOKUP(TRUE, EXACT(Table28[[#This Row],[Z'' X]], Table29[orig]), Table29[T-reflection])</f>
        <v>w</v>
      </c>
      <c r="DT61" s="5" t="str" cm="1">
        <f t="array" ref="DT61">_xlfn.XLOOKUP(TRUE, EXACT(Table28[[#This Row],[Z'' X'']], Table29[orig]), Table29[T-reflection])</f>
        <v>c</v>
      </c>
      <c r="DU61" s="5" t="str" cm="1">
        <f t="array" ref="DU61">_xlfn.XLOOKUP(TRUE, EXACT(Table28[[#This Row],[Y'' X]], Table29[orig]), Table29[T-reflection])</f>
        <v>o</v>
      </c>
      <c r="DV61" s="5" t="str" cm="1">
        <f t="array" ref="DV61">_xlfn.XLOOKUP(TRUE, EXACT(Table28[[#This Row],[Y X]], Table29[orig]), Table29[T-reflection])</f>
        <v>e</v>
      </c>
      <c r="DW61" s="5" t="str" cm="1">
        <f t="array" ref="DW61">_xlfn.XLOOKUP(TRUE, EXACT(Table28[[#This Row],[Z X'']], Table29[orig]), Table29[T-reflection])</f>
        <v>a</v>
      </c>
      <c r="DX61" s="5" t="str" cm="1">
        <f t="array" ref="DX61">_xlfn.XLOOKUP(TRUE, EXACT(Table28[[#This Row],[Y'' X2]], Table29[orig]), Table29[T-reflection])</f>
        <v>p</v>
      </c>
      <c r="DY61" s="5" t="str" cm="1">
        <f t="array" ref="DY61">_xlfn.XLOOKUP(TRUE, EXACT(Table28[[#This Row],[Y X2]], Table29[orig]), Table29[T-reflection])</f>
        <v>h</v>
      </c>
      <c r="DZ61" s="5" t="str" cm="1">
        <f t="array" ref="DZ61">_xlfn.XLOOKUP(TRUE, EXACT(Table28[[#This Row],[Z X2]], Table29[orig]), Table29[T-reflection])</f>
        <v>i</v>
      </c>
      <c r="EA61" s="5" t="str" cm="1">
        <f t="array" ref="EA61">_xlfn.XLOOKUP(TRUE, EXACT(Table28[[#This Row],[Z'' X2]], Table29[orig]), Table29[T-reflection])</f>
        <v>k</v>
      </c>
      <c r="EB61" s="5" t="str" cm="1">
        <f t="array" ref="EB61">_xlfn.XLOOKUP(TRUE, EXACT(Table28[[#This Row],[Z2 X]], Table29[orig]), Table29[T-reflection])</f>
        <v>v</v>
      </c>
      <c r="EC61" s="5" t="str" cm="1">
        <f t="array" ref="EC61">_xlfn.XLOOKUP(TRUE, EXACT(Table28[[#This Row],[Z2 X'']], Table29[orig]), Table29[T-reflection])</f>
        <v>b</v>
      </c>
      <c r="ED61"/>
      <c r="EE61"/>
      <c r="EF61"/>
      <c r="EG61"/>
      <c r="EH61"/>
      <c r="EI61"/>
      <c r="EJ61"/>
      <c r="EK61"/>
      <c r="EL61"/>
      <c r="EM61"/>
      <c r="EN61"/>
      <c r="EO61"/>
      <c r="EP61"/>
      <c r="EQ61"/>
      <c r="ER61"/>
      <c r="ES61"/>
      <c r="ET61"/>
      <c r="EU61"/>
      <c r="EV61"/>
      <c r="EW61"/>
      <c r="EX61"/>
      <c r="EY61"/>
      <c r="EZ61"/>
      <c r="FA61"/>
      <c r="FB61"/>
      <c r="FC61"/>
      <c r="FD61"/>
      <c r="FE61"/>
      <c r="FF61"/>
      <c r="FG61"/>
      <c r="FH61"/>
    </row>
    <row r="62" spans="1:164" ht="16" thickTop="1" x14ac:dyDescent="0.2">
      <c r="B62" t="s">
        <v>53</v>
      </c>
      <c r="C62" t="s">
        <v>53</v>
      </c>
      <c r="D62" t="s">
        <v>132</v>
      </c>
      <c r="E62" t="s">
        <v>138</v>
      </c>
      <c r="F62" t="s">
        <v>47</v>
      </c>
      <c r="G62" t="s">
        <v>53</v>
      </c>
      <c r="H62" t="s">
        <v>35</v>
      </c>
      <c r="I62" t="s">
        <v>137</v>
      </c>
      <c r="J62" t="s">
        <v>53</v>
      </c>
      <c r="K62" t="s">
        <v>53</v>
      </c>
      <c r="L62" t="s">
        <v>47</v>
      </c>
      <c r="O62" t="s">
        <v>53</v>
      </c>
      <c r="P62" t="str">
        <f>Table27[[#This Row],[orig]]</f>
        <v>u</v>
      </c>
      <c r="Q62" t="str">
        <f>Table29[[#This Row],[X]]</f>
        <v>i</v>
      </c>
      <c r="R62" t="str" cm="1">
        <f t="array" ref="R62">_xlfn.XLOOKUP(TRUE, EXACT(Table27[[#This Row],[X]], Table27[orig]), Table27[X])</f>
        <v>a</v>
      </c>
      <c r="S62" t="str" cm="1">
        <f t="array" ref="S62">_xlfn.XLOOKUP(TRUE, EXACT(Table27[[#This Row],[X2]], Table27[orig]), Table27[X])</f>
        <v>s</v>
      </c>
      <c r="T62" t="str">
        <f>Table29[[#This Row],[Y]]</f>
        <v>x</v>
      </c>
      <c r="U62" t="str" cm="1">
        <f t="array" ref="U62">_xlfn.XLOOKUP(TRUE, EXACT(Table27[[#This Row],[Y]], Table27[orig]), Table27[Y])</f>
        <v>w</v>
      </c>
      <c r="V62" t="str" cm="1">
        <f t="array" ref="V62">_xlfn.XLOOKUP(TRUE, EXACT(Table27[[#This Row],[Y2]], Table27[orig]), Table27[Y])</f>
        <v>v</v>
      </c>
      <c r="W62" t="str">
        <f>Table29[[#This Row],[Z]]</f>
        <v>f</v>
      </c>
      <c r="X62" t="str" cm="1">
        <f t="array" ref="X62">_xlfn.XLOOKUP(TRUE, EXACT(Table27[[#This Row],[Z]], Table27[orig]), Table27[Z])</f>
        <v>c</v>
      </c>
      <c r="Y62" t="str" cm="1">
        <f t="array" ref="Y62">_xlfn.XLOOKUP(TRUE, EXACT(Table27[[#This Row],[Z2]], Table27[orig]), Table27[Z])</f>
        <v>p</v>
      </c>
      <c r="Z62" t="str">
        <f>Table29[[#This Row],[R]]</f>
        <v>u</v>
      </c>
      <c r="AA62" t="str" cm="1">
        <f t="array" ref="AA62">_xlfn.XLOOKUP(TRUE, EXACT(Table27[[#This Row],[R]], Table27[orig]), Table27[R])</f>
        <v>u</v>
      </c>
      <c r="AB62" t="str" cm="1">
        <f t="array" ref="AB62">_xlfn.XLOOKUP(TRUE, EXACT(Table27[[#This Row],[R2]], Table27[orig]), Table27[R])</f>
        <v>u</v>
      </c>
      <c r="AC62" t="str" cm="1">
        <f t="array" ref="AC62">_xlfn.XLOOKUP(TRUE, EXACT(_xlfn.XLOOKUP(TRUE, EXACT(Table27[[#This Row],[Y2]], Table27[orig]), Table27[R]), Table27[orig]), Table27[Y2])</f>
        <v>u</v>
      </c>
      <c r="AD62" t="str" cm="1">
        <f t="array" ref="AD62">_xlfn.XLOOKUP(TRUE, EXACT(Table27[[#This Row],[L]], Table27[orig]), Table27[L])</f>
        <v>u</v>
      </c>
      <c r="AE62" t="str" cm="1">
        <f t="array" ref="AE62">_xlfn.XLOOKUP(TRUE, EXACT(Table27[[#This Row],[L2]], Table27[orig]), Table27[L])</f>
        <v>u</v>
      </c>
      <c r="AF62" t="str" cm="1">
        <f t="array" ref="AF62">_xlfn.XLOOKUP(TRUE, EXACT(Table27[[#This Row],[r-lower]], Table27[orig]), Table27[R''])</f>
        <v>i</v>
      </c>
      <c r="AG62" t="str" cm="1">
        <f t="array" ref="AG62">_xlfn.XLOOKUP(TRUE, EXACT(Table27[[#This Row],[T]], Table27[orig]), Table27[T])</f>
        <v>a</v>
      </c>
      <c r="AH62" t="str" cm="1">
        <f t="array" ref="AH62">_xlfn.XLOOKUP(TRUE, EXACT(Table27[[#This Row],[T2]], Table27[orig]), Table27[T])</f>
        <v>s</v>
      </c>
      <c r="AI62" t="str" cm="1">
        <f t="array" ref="AI62">_xlfn.XLOOKUP(TRUE, EXACT(Table27[[#This Row],[X]], Table27[orig]), Table27[L])</f>
        <v>i</v>
      </c>
      <c r="AJ62" t="str" cm="1">
        <f t="array" ref="AJ62">_xlfn.XLOOKUP(TRUE, EXACT(Table27[[#This Row],[r-lower]], Table27[orig]), Table27[r-lower])</f>
        <v>a</v>
      </c>
      <c r="AK62" t="str" cm="1">
        <f t="array" ref="AK62">_xlfn.XLOOKUP(TRUE, EXACT(Table27[[#This Row],[r2-lower]], Table27[orig]), Table27[r-lower])</f>
        <v>s</v>
      </c>
      <c r="AL62" t="str" cm="1">
        <f t="array" ref="AL62">_xlfn.XLOOKUP(TRUE, EXACT(Table27[[#This Row],[X'']], Table27[orig]), Table27[R])</f>
        <v>s</v>
      </c>
      <c r="AM62" t="str" cm="1">
        <f t="array" ref="AM62">_xlfn.XLOOKUP(TRUE, EXACT(Table27[[#This Row],[l-lower]], Table27[orig]), Table27[l-lower])</f>
        <v>a</v>
      </c>
      <c r="AN62" t="str" cm="1">
        <f t="array" ref="AN62">_xlfn.XLOOKUP(TRUE, EXACT(Table27[[#This Row],[l2-lower]], Table27[orig]), Table27[l-lower])</f>
        <v>i</v>
      </c>
      <c r="AO62" t="str" cm="1">
        <f t="array" ref="AO62">_xlfn.XLOOKUP(TRUE, EXACT(Table27[[#This Row],[R]], Table27[orig]), Table27[L''])</f>
        <v>u</v>
      </c>
      <c r="AP62" t="str" cm="1">
        <f t="array" ref="AP62">_xlfn.XLOOKUP(TRUE, EXACT(Table27[[#This Row],[RL'']], Table27[orig]), Table27[RL''])</f>
        <v>u</v>
      </c>
      <c r="AQ62" t="str" cm="1">
        <f t="array" ref="AQ62">_xlfn.XLOOKUP(TRUE, EXACT(Table27[[#This Row],[R2L2]], Table27[orig]), Table27[RL''])</f>
        <v>u</v>
      </c>
      <c r="AR62" t="str">
        <f>Table29[[#This Row],[U]]</f>
        <v>u</v>
      </c>
      <c r="AS62" t="str" cm="1">
        <f t="array" ref="AS62">_xlfn.XLOOKUP(TRUE, EXACT(Table27[[#This Row],[U]], Table27[orig]), Table27[U])</f>
        <v>u</v>
      </c>
      <c r="AT62" t="str" cm="1">
        <f t="array" ref="AT62">_xlfn.XLOOKUP(TRUE, EXACT(Table27[[#This Row],[U2]], Table27[orig]), Table27[U])</f>
        <v>u</v>
      </c>
      <c r="AU62" t="str" cm="1">
        <f t="array" ref="AU62">_xlfn.XLOOKUP(TRUE, EXACT(_xlfn.XLOOKUP(TRUE, EXACT(Table27[[#This Row],[Z2]], Table27[orig]), Table27[U]), Table27[orig]), Table27[Z2])</f>
        <v>v</v>
      </c>
      <c r="AV62" t="str" cm="1">
        <f t="array" ref="AV62">_xlfn.XLOOKUP(TRUE, EXACT(Table27[[#This Row],[D]], Table27[orig]), Table27[D])</f>
        <v>w</v>
      </c>
      <c r="AW62" t="str" cm="1">
        <f t="array" ref="AW62">_xlfn.XLOOKUP(TRUE, EXACT(Table27[[#This Row],[D2]], Table27[orig]), Table27[D])</f>
        <v>x</v>
      </c>
      <c r="AX62" t="str" cm="1">
        <f t="array" ref="AX62">_xlfn.XLOOKUP(TRUE, EXACT(Table27[[#This Row],[u-lower]], Table27[orig]), Table27[U''])</f>
        <v>u</v>
      </c>
      <c r="AY62" t="str" cm="1">
        <f t="array" ref="AY62">_xlfn.XLOOKUP(TRUE, EXACT(Table27[[#This Row],[H]], Table27[orig]), Table27[H])</f>
        <v>u</v>
      </c>
      <c r="AZ62" t="str" cm="1">
        <f t="array" ref="AZ62">_xlfn.XLOOKUP(TRUE, EXACT(Table27[[#This Row],[H2]], Table27[orig]), Table27[H])</f>
        <v>u</v>
      </c>
      <c r="BA62" t="str" cm="1">
        <f t="array" ref="BA62">_xlfn.XLOOKUP(TRUE, EXACT(Table27[[#This Row],[Y]], Table27[orig]), Table27[D])</f>
        <v>u</v>
      </c>
      <c r="BB62" t="str" cm="1">
        <f t="array" ref="BB62">_xlfn.XLOOKUP(TRUE, EXACT(Table27[[#This Row],[u-lower]], Table27[orig]), Table27[u-lower])</f>
        <v>u</v>
      </c>
      <c r="BC62" t="str" cm="1">
        <f t="array" ref="BC62">_xlfn.XLOOKUP(TRUE, EXACT(Table27[[#This Row],[u2-lower]], Table27[orig]), Table27[u-lower])</f>
        <v>u</v>
      </c>
      <c r="BD62" t="str" cm="1">
        <f t="array" ref="BD62">_xlfn.XLOOKUP(TRUE, EXACT(Table27[[#This Row],[Y'']], Table27[orig]), Table27[U])</f>
        <v>v</v>
      </c>
      <c r="BE62" t="str" cm="1">
        <f t="array" ref="BE62">_xlfn.XLOOKUP(TRUE, EXACT(Table27[[#This Row],[d-lower]], Table27[orig]), Table27[d-lower])</f>
        <v>w</v>
      </c>
      <c r="BF62" t="str" cm="1">
        <f t="array" ref="BF62">_xlfn.XLOOKUP(TRUE, EXACT(Table27[[#This Row],[d2-lower]], Table27[orig]), Table27[d-lower])</f>
        <v>x</v>
      </c>
      <c r="BG62" t="str" cm="1">
        <f t="array" ref="BG62">_xlfn.XLOOKUP(TRUE, EXACT(Table27[[#This Row],[U]], Table27[orig]), Table27[D''])</f>
        <v>x</v>
      </c>
      <c r="BH62" t="str" cm="1">
        <f t="array" ref="BH62">_xlfn.XLOOKUP(TRUE, EXACT(Table27[[#This Row],[UD'']], Table27[orig]), Table27[UD''])</f>
        <v>w</v>
      </c>
      <c r="BI62" t="str" cm="1">
        <f t="array" ref="BI62">_xlfn.XLOOKUP(TRUE, EXACT(Table27[[#This Row],[U2D2]], Table27[orig]), Table27[UD''])</f>
        <v>v</v>
      </c>
      <c r="BJ62" t="str">
        <f>Table29[[#This Row],[F]]</f>
        <v>f</v>
      </c>
      <c r="BK62" t="str" cm="1">
        <f t="array" ref="BK62">_xlfn.XLOOKUP(TRUE, EXACT(Table27[[#This Row],[F]], Table27[orig]), Table27[F])</f>
        <v>c</v>
      </c>
      <c r="BL62" t="str" cm="1">
        <f t="array" ref="BL62">_xlfn.XLOOKUP(TRUE, EXACT(Table27[[#This Row],[F2]], Table27[orig]), Table27[F])</f>
        <v>p</v>
      </c>
      <c r="BM62" t="str" cm="1">
        <f t="array" ref="BM62">_xlfn.XLOOKUP(TRUE, EXACT(_xlfn.XLOOKUP(TRUE, EXACT(Table27[[#This Row],[X2]], Table27[orig]), Table27[F]), Table27[orig]), Table27[X2])</f>
        <v>u</v>
      </c>
      <c r="BN62" t="str" cm="1">
        <f t="array" ref="BN62">_xlfn.XLOOKUP(TRUE, EXACT(Table27[[#This Row],[B]], Table27[orig]), Table27[B])</f>
        <v>u</v>
      </c>
      <c r="BO62" t="str" cm="1">
        <f t="array" ref="BO62">_xlfn.XLOOKUP(TRUE, EXACT(Table27[[#This Row],[B2]], Table27[orig]), Table27[B])</f>
        <v>u</v>
      </c>
      <c r="BP62" t="str" cm="1">
        <f t="array" ref="BP62">_xlfn.XLOOKUP(TRUE, EXACT(Table27[[#This Row],[f-lower]], Table27[orig]), Table27[F''])</f>
        <v>u</v>
      </c>
      <c r="BQ62" t="str" cm="1">
        <f t="array" ref="BQ62">_xlfn.XLOOKUP(TRUE, EXACT(Table27[[#This Row],[S]], Table27[orig]), Table27[S])</f>
        <v>u</v>
      </c>
      <c r="BR62" t="str" cm="1">
        <f t="array" ref="BR62">_xlfn.XLOOKUP(TRUE, EXACT(Table27[[#This Row],[S2]], Table27[orig]), Table27[S])</f>
        <v>u</v>
      </c>
      <c r="BS62" t="str" cm="1">
        <f t="array" ref="BS62">_xlfn.XLOOKUP(TRUE, EXACT(Table27[[#This Row],[Z]], Table27[orig]), Table27[B])</f>
        <v>f</v>
      </c>
      <c r="BT62" t="str" cm="1">
        <f t="array" ref="BT62">_xlfn.XLOOKUP(TRUE, EXACT(Table27[[#This Row],[f-lower]], Table27[orig]), Table27[f-lower])</f>
        <v>c</v>
      </c>
      <c r="BU62" t="str" cm="1">
        <f t="array" ref="BU62">_xlfn.XLOOKUP(TRUE, EXACT(Table27[[#This Row],[f2-lower]], Table27[orig]), Table27[f-lower])</f>
        <v>p</v>
      </c>
      <c r="BV62" t="str" cm="1">
        <f t="array" ref="BV62">_xlfn.XLOOKUP(TRUE, EXACT(Table27[[#This Row],[Z'']], Table27[orig]), Table27[F])</f>
        <v>u</v>
      </c>
      <c r="BW62" t="str" cm="1">
        <f t="array" ref="BW62">_xlfn.XLOOKUP(TRUE, EXACT(Table27[[#This Row],[b-lower]], Table27[orig]), Table27[b-lower])</f>
        <v>u</v>
      </c>
      <c r="BX62" t="str" cm="1">
        <f t="array" ref="BX62">_xlfn.XLOOKUP(TRUE, EXACT(Table27[[#This Row],[b2-lower]], Table27[orig]), Table27[b-lower])</f>
        <v>u</v>
      </c>
      <c r="BY62" t="str" cm="1">
        <f t="array" ref="BY62">_xlfn.XLOOKUP(TRUE, EXACT(Table27[[#This Row],[F]], Table27[orig]), Table27[B''])</f>
        <v>f</v>
      </c>
      <c r="BZ62" t="str" cm="1">
        <f t="array" ref="BZ62">_xlfn.XLOOKUP(TRUE, EXACT(Table27[[#This Row],[FB'']], Table27[orig]), Table27[FB''])</f>
        <v>c</v>
      </c>
      <c r="CA62" t="str" cm="1">
        <f t="array" ref="CA62">_xlfn.XLOOKUP(TRUE, EXACT(Table27[[#This Row],[F2B2]], Table27[orig]), Table27[FB''])</f>
        <v>p</v>
      </c>
      <c r="CD62" t="s">
        <v>53</v>
      </c>
      <c r="CE62" t="str">
        <f>Table28[[#This Row],[orig]]</f>
        <v>u</v>
      </c>
      <c r="CF62" t="str">
        <f>Table29[[#This Row],[X]]</f>
        <v>i</v>
      </c>
      <c r="CG62" t="str" cm="1">
        <f t="array" ref="CG62">_xlfn.XLOOKUP(TRUE, EXACT(Table28[[#This Row],[X]], Table28[orig]), Table28[X])</f>
        <v>a</v>
      </c>
      <c r="CH62" t="str" cm="1">
        <f t="array" ref="CH62">_xlfn.XLOOKUP(TRUE, EXACT(Table28[[#This Row],[X2]], Table28[orig]), Table28[X])</f>
        <v>s</v>
      </c>
      <c r="CI62" t="str">
        <f>Table29[[#This Row],[Y]]</f>
        <v>x</v>
      </c>
      <c r="CJ62" t="str" cm="1">
        <f t="array" ref="CJ62">_xlfn.XLOOKUP(TRUE, EXACT(Table28[[#This Row],[Y]], Table28[orig]), Table28[Y])</f>
        <v>w</v>
      </c>
      <c r="CK62" t="str" cm="1">
        <f t="array" ref="CK62">_xlfn.XLOOKUP(TRUE, EXACT(Table28[[#This Row],[Y2]], Table28[orig]), Table28[Y])</f>
        <v>v</v>
      </c>
      <c r="CL62" t="str">
        <f>Table29[[#This Row],[Z]]</f>
        <v>f</v>
      </c>
      <c r="CM62" t="str" cm="1">
        <f t="array" ref="CM62">_xlfn.XLOOKUP(TRUE, EXACT(Table28[[#This Row],[Z]], Table28[orig]), Table28[Z])</f>
        <v>c</v>
      </c>
      <c r="CN62" t="str" cm="1">
        <f t="array" ref="CN62">_xlfn.XLOOKUP(TRUE, EXACT(Table28[[#This Row],[Z2]], Table28[orig]), Table28[Z])</f>
        <v>p</v>
      </c>
      <c r="CO62" t="str" cm="1">
        <f t="array" ref="CO62">_xlfn.XLOOKUP(TRUE, EXACT(Table28[[#This Row],[Z]], Table28[orig]), Table28[X])</f>
        <v>e</v>
      </c>
      <c r="CP62" t="str" cm="1">
        <f t="array" ref="CP62">_xlfn.XLOOKUP(TRUE, EXACT(Table28[[#This Row],[Y'']], Table28[orig]), Table28[X''])</f>
        <v>t</v>
      </c>
      <c r="CQ62" t="str" cm="1">
        <f t="array" ref="CQ62">_xlfn.XLOOKUP(TRUE, EXACT(Table28[[#This Row],[Y]], Table28[orig]), Table28[X''])</f>
        <v>r</v>
      </c>
      <c r="CR62" t="str" cm="1">
        <f t="array" ref="CR62">_xlfn.XLOOKUP(TRUE, EXACT(Table28[[#This Row],[Z'']], Table28[orig]), Table28[X])</f>
        <v>m</v>
      </c>
      <c r="CS62" t="str" cm="1">
        <f t="array" ref="CS62">_xlfn.XLOOKUP(TRUE, EXACT(Table28[[#This Row],[Z'']], Table28[orig]), Table28[X''])</f>
        <v>o</v>
      </c>
      <c r="CT62" t="str" cm="1">
        <f t="array" ref="CT62">_xlfn.XLOOKUP(TRUE, EXACT(Table28[[#This Row],[Y'']], Table28[orig]), Table28[X])</f>
        <v>j</v>
      </c>
      <c r="CU62" t="str" cm="1">
        <f t="array" ref="CU62">_xlfn.XLOOKUP(TRUE, EXACT(Table28[[#This Row],[Y]], Table28[orig]), Table28[X])</f>
        <v>l</v>
      </c>
      <c r="CV62" t="str" cm="1">
        <f t="array" ref="CV62">_xlfn.XLOOKUP(TRUE, EXACT(Table28[[#This Row],[Z]], Table28[orig]), Table28[X''])</f>
        <v>g</v>
      </c>
      <c r="CW62" t="str" cm="1">
        <f t="array" ref="CW62">_xlfn.XLOOKUP(TRUE, EXACT(Table28[[#This Row],[Y'']], Table28[orig]), Table28[X2])</f>
        <v>b</v>
      </c>
      <c r="CX62" t="str" cm="1">
        <f t="array" ref="CX62">_xlfn.XLOOKUP(TRUE, EXACT(Table28[[#This Row],[Y]], Table28[orig]), Table28[X2])</f>
        <v>d</v>
      </c>
      <c r="CY62" t="str" cm="1">
        <f t="array" ref="CY62">_xlfn.XLOOKUP(TRUE, EXACT(Table28[[#This Row],[Z]], Table28[orig]), Table28[X2])</f>
        <v>h</v>
      </c>
      <c r="CZ62" t="str" cm="1">
        <f t="array" ref="CZ62">_xlfn.XLOOKUP(TRUE, EXACT(Table28[[#This Row],[Z'']], Table28[orig]), Table28[X2])</f>
        <v>n</v>
      </c>
      <c r="DA62" t="str" cm="1">
        <f t="array" ref="DA62">_xlfn.XLOOKUP(TRUE, EXACT(Table28[[#This Row],[Z2]], Table28[orig]), Table28[X])</f>
        <v>q</v>
      </c>
      <c r="DB62" t="str" cm="1">
        <f t="array" ref="DB62">_xlfn.XLOOKUP(TRUE, EXACT(Table28[[#This Row],[Z2]], Table28[orig]), Table28[X''])</f>
        <v>k</v>
      </c>
      <c r="DE62" s="6" t="s">
        <v>53</v>
      </c>
      <c r="DF62" s="6" t="str" cm="1">
        <f t="array" ref="DF62">_xlfn.XLOOKUP(TRUE, EXACT(Table28[[#This Row],[I]], Table29[orig]), Table29[T-reflection])</f>
        <v>u</v>
      </c>
      <c r="DG62" s="6" t="str" cm="1">
        <f t="array" ref="DG62">_xlfn.XLOOKUP(TRUE, EXACT(Table28[[#This Row],[X]], Table29[orig]), Table29[T-reflection])</f>
        <v>i</v>
      </c>
      <c r="DH62" t="str" cm="1">
        <f t="array" ref="DH62">_xlfn.XLOOKUP(TRUE, EXACT(Table28[[#This Row],[X2]], Table29[orig]), Table29[T-reflection])</f>
        <v>a</v>
      </c>
      <c r="DI62" t="str" cm="1">
        <f t="array" ref="DI62">_xlfn.XLOOKUP(TRUE, EXACT(Table28[[#This Row],[X'']], Table29[orig]), Table29[T-reflection])</f>
        <v>s</v>
      </c>
      <c r="DJ62" s="6" t="str" cm="1">
        <f t="array" ref="DJ62">_xlfn.XLOOKUP(TRUE, EXACT(Table28[[#This Row],[Y]], Table29[orig]), Table29[T-reflection])</f>
        <v>v</v>
      </c>
      <c r="DK62" t="str" cm="1">
        <f t="array" ref="DK62">_xlfn.XLOOKUP(TRUE, EXACT(Table28[[#This Row],[Y2]], Table29[orig]), Table29[T-reflection])</f>
        <v>w</v>
      </c>
      <c r="DL62" t="str" cm="1">
        <f t="array" ref="DL62">_xlfn.XLOOKUP(TRUE, EXACT(Table28[[#This Row],[Y'']], Table29[orig]), Table29[T-reflection])</f>
        <v>x</v>
      </c>
      <c r="DM62" s="6" t="str" cm="1">
        <f t="array" ref="DM62">_xlfn.XLOOKUP(TRUE, EXACT(Table28[[#This Row],[Z]], Table29[orig]), Table29[T-reflection])</f>
        <v>p</v>
      </c>
      <c r="DN62" t="str" cm="1">
        <f t="array" ref="DN62">_xlfn.XLOOKUP(TRUE, EXACT(Table28[[#This Row],[Z2]], Table29[orig]), Table29[T-reflection])</f>
        <v>c</v>
      </c>
      <c r="DO62" t="str" cm="1">
        <f t="array" ref="DO62">_xlfn.XLOOKUP(TRUE, EXACT(Table28[[#This Row],[Z'']], Table29[orig]), Table29[T-reflection])</f>
        <v>f</v>
      </c>
      <c r="DP62" t="str" cm="1">
        <f t="array" ref="DP62">_xlfn.XLOOKUP(TRUE, EXACT(Table28[[#This Row],[Z X]], Table29[orig]), Table29[T-reflection])</f>
        <v>m</v>
      </c>
      <c r="DQ62" t="str" cm="1">
        <f t="array" ref="DQ62">_xlfn.XLOOKUP(TRUE, EXACT(Table28[[#This Row],[Y'' X'']], Table29[orig]), Table29[T-reflection])</f>
        <v>r</v>
      </c>
      <c r="DR62" t="str" cm="1">
        <f t="array" ref="DR62">_xlfn.XLOOKUP(TRUE, EXACT(Table28[[#This Row],[Y X'']], Table29[orig]), Table29[T-reflection])</f>
        <v>t</v>
      </c>
      <c r="DS62" t="str" cm="1">
        <f t="array" ref="DS62">_xlfn.XLOOKUP(TRUE, EXACT(Table28[[#This Row],[Z'' X]], Table29[orig]), Table29[T-reflection])</f>
        <v>e</v>
      </c>
      <c r="DT62" t="str" cm="1">
        <f t="array" ref="DT62">_xlfn.XLOOKUP(TRUE, EXACT(Table28[[#This Row],[Z'' X'']], Table29[orig]), Table29[T-reflection])</f>
        <v>g</v>
      </c>
      <c r="DU62" t="str" cm="1">
        <f t="array" ref="DU62">_xlfn.XLOOKUP(TRUE, EXACT(Table28[[#This Row],[Y'' X]], Table29[orig]), Table29[T-reflection])</f>
        <v>l</v>
      </c>
      <c r="DV62" t="str" cm="1">
        <f t="array" ref="DV62">_xlfn.XLOOKUP(TRUE, EXACT(Table28[[#This Row],[Y X]], Table29[orig]), Table29[T-reflection])</f>
        <v>j</v>
      </c>
      <c r="DW62" t="str" cm="1">
        <f t="array" ref="DW62">_xlfn.XLOOKUP(TRUE, EXACT(Table28[[#This Row],[Z X'']], Table29[orig]), Table29[T-reflection])</f>
        <v>o</v>
      </c>
      <c r="DX62" t="str" cm="1">
        <f t="array" ref="DX62">_xlfn.XLOOKUP(TRUE, EXACT(Table28[[#This Row],[Y'' X2]], Table29[orig]), Table29[T-reflection])</f>
        <v>d</v>
      </c>
      <c r="DY62" t="str" cm="1">
        <f t="array" ref="DY62">_xlfn.XLOOKUP(TRUE, EXACT(Table28[[#This Row],[Y X2]], Table29[orig]), Table29[T-reflection])</f>
        <v>b</v>
      </c>
      <c r="DZ62" t="str" cm="1">
        <f t="array" ref="DZ62">_xlfn.XLOOKUP(TRUE, EXACT(Table28[[#This Row],[Z X2]], Table29[orig]), Table29[T-reflection])</f>
        <v>n</v>
      </c>
      <c r="EA62" t="str" cm="1">
        <f t="array" ref="EA62">_xlfn.XLOOKUP(TRUE, EXACT(Table28[[#This Row],[Z'' X2]], Table29[orig]), Table29[T-reflection])</f>
        <v>h</v>
      </c>
      <c r="EB62" t="str" cm="1">
        <f t="array" ref="EB62">_xlfn.XLOOKUP(TRUE, EXACT(Table28[[#This Row],[Z2 X]], Table29[orig]), Table29[T-reflection])</f>
        <v>q</v>
      </c>
      <c r="EC62" t="str" cm="1">
        <f t="array" ref="EC62">_xlfn.XLOOKUP(TRUE, EXACT(Table28[[#This Row],[Z2 X'']], Table29[orig]), Table29[T-reflection])</f>
        <v>k</v>
      </c>
    </row>
    <row r="63" spans="1:164" x14ac:dyDescent="0.2">
      <c r="B63" t="s">
        <v>88</v>
      </c>
      <c r="C63" t="s">
        <v>88</v>
      </c>
      <c r="D63" t="s">
        <v>67</v>
      </c>
      <c r="E63" t="s">
        <v>53</v>
      </c>
      <c r="F63" t="s">
        <v>60</v>
      </c>
      <c r="G63" t="s">
        <v>138</v>
      </c>
      <c r="H63" t="s">
        <v>34</v>
      </c>
      <c r="I63" t="s">
        <v>88</v>
      </c>
      <c r="J63" t="s">
        <v>67</v>
      </c>
      <c r="K63" t="s">
        <v>88</v>
      </c>
      <c r="L63" t="s">
        <v>88</v>
      </c>
      <c r="O63" t="s">
        <v>88</v>
      </c>
      <c r="P63" t="str">
        <f>Table27[[#This Row],[orig]]</f>
        <v>v</v>
      </c>
      <c r="Q63" t="str">
        <f>Table29[[#This Row],[X]]</f>
        <v>j</v>
      </c>
      <c r="R63" t="str" cm="1">
        <f t="array" ref="R63">_xlfn.XLOOKUP(TRUE, EXACT(Table27[[#This Row],[X]], Table27[orig]), Table27[X])</f>
        <v>b</v>
      </c>
      <c r="S63" t="str" cm="1">
        <f t="array" ref="S63">_xlfn.XLOOKUP(TRUE, EXACT(Table27[[#This Row],[X2]], Table27[orig]), Table27[X])</f>
        <v>t</v>
      </c>
      <c r="T63" t="str">
        <f>Table29[[#This Row],[Y]]</f>
        <v>u</v>
      </c>
      <c r="U63" t="str" cm="1">
        <f t="array" ref="U63">_xlfn.XLOOKUP(TRUE, EXACT(Table27[[#This Row],[Y]], Table27[orig]), Table27[Y])</f>
        <v>x</v>
      </c>
      <c r="V63" t="str" cm="1">
        <f t="array" ref="V63">_xlfn.XLOOKUP(TRUE, EXACT(Table27[[#This Row],[Y2]], Table27[orig]), Table27[Y])</f>
        <v>w</v>
      </c>
      <c r="W63" t="str">
        <f>Table29[[#This Row],[Z]]</f>
        <v>g</v>
      </c>
      <c r="X63" t="str" cm="1">
        <f t="array" ref="X63">_xlfn.XLOOKUP(TRUE, EXACT(Table27[[#This Row],[Z]], Table27[orig]), Table27[Z])</f>
        <v>d</v>
      </c>
      <c r="Y63" t="str" cm="1">
        <f t="array" ref="Y63">_xlfn.XLOOKUP(TRUE, EXACT(Table27[[#This Row],[Z2]], Table27[orig]), Table27[Z])</f>
        <v>m</v>
      </c>
      <c r="Z63" t="str">
        <f>Table29[[#This Row],[R]]</f>
        <v>j</v>
      </c>
      <c r="AA63" t="str" cm="1">
        <f t="array" ref="AA63">_xlfn.XLOOKUP(TRUE, EXACT(Table27[[#This Row],[R]], Table27[orig]), Table27[R])</f>
        <v>b</v>
      </c>
      <c r="AB63" t="str" cm="1">
        <f t="array" ref="AB63">_xlfn.XLOOKUP(TRUE, EXACT(Table27[[#This Row],[R2]], Table27[orig]), Table27[R])</f>
        <v>t</v>
      </c>
      <c r="AC63" t="str" cm="1">
        <f t="array" ref="AC63">_xlfn.XLOOKUP(TRUE, EXACT(_xlfn.XLOOKUP(TRUE, EXACT(Table27[[#This Row],[Y2]], Table27[orig]), Table27[R]), Table27[orig]), Table27[Y2])</f>
        <v>v</v>
      </c>
      <c r="AD63" t="str" cm="1">
        <f t="array" ref="AD63">_xlfn.XLOOKUP(TRUE, EXACT(Table27[[#This Row],[L]], Table27[orig]), Table27[L])</f>
        <v>v</v>
      </c>
      <c r="AE63" t="str" cm="1">
        <f t="array" ref="AE63">_xlfn.XLOOKUP(TRUE, EXACT(Table27[[#This Row],[L2]], Table27[orig]), Table27[L])</f>
        <v>v</v>
      </c>
      <c r="AF63" t="str" cm="1">
        <f t="array" ref="AF63">_xlfn.XLOOKUP(TRUE, EXACT(Table27[[#This Row],[r-lower]], Table27[orig]), Table27[R''])</f>
        <v>v</v>
      </c>
      <c r="AG63" t="str" cm="1">
        <f t="array" ref="AG63">_xlfn.XLOOKUP(TRUE, EXACT(Table27[[#This Row],[T]], Table27[orig]), Table27[T])</f>
        <v>v</v>
      </c>
      <c r="AH63" t="str" cm="1">
        <f t="array" ref="AH63">_xlfn.XLOOKUP(TRUE, EXACT(Table27[[#This Row],[T2]], Table27[orig]), Table27[T])</f>
        <v>v</v>
      </c>
      <c r="AI63" t="str" cm="1">
        <f t="array" ref="AI63">_xlfn.XLOOKUP(TRUE, EXACT(Table27[[#This Row],[X]], Table27[orig]), Table27[L])</f>
        <v>j</v>
      </c>
      <c r="AJ63" t="str" cm="1">
        <f t="array" ref="AJ63">_xlfn.XLOOKUP(TRUE, EXACT(Table27[[#This Row],[r-lower]], Table27[orig]), Table27[r-lower])</f>
        <v>b</v>
      </c>
      <c r="AK63" t="str" cm="1">
        <f t="array" ref="AK63">_xlfn.XLOOKUP(TRUE, EXACT(Table27[[#This Row],[r2-lower]], Table27[orig]), Table27[r-lower])</f>
        <v>t</v>
      </c>
      <c r="AL63" t="str" cm="1">
        <f t="array" ref="AL63">_xlfn.XLOOKUP(TRUE, EXACT(Table27[[#This Row],[X'']], Table27[orig]), Table27[R])</f>
        <v>v</v>
      </c>
      <c r="AM63" t="str" cm="1">
        <f t="array" ref="AM63">_xlfn.XLOOKUP(TRUE, EXACT(Table27[[#This Row],[l-lower]], Table27[orig]), Table27[l-lower])</f>
        <v>v</v>
      </c>
      <c r="AN63" t="str" cm="1">
        <f t="array" ref="AN63">_xlfn.XLOOKUP(TRUE, EXACT(Table27[[#This Row],[l2-lower]], Table27[orig]), Table27[l-lower])</f>
        <v>v</v>
      </c>
      <c r="AO63" t="str" cm="1">
        <f t="array" ref="AO63">_xlfn.XLOOKUP(TRUE, EXACT(Table27[[#This Row],[R]], Table27[orig]), Table27[L''])</f>
        <v>j</v>
      </c>
      <c r="AP63" t="str" cm="1">
        <f t="array" ref="AP63">_xlfn.XLOOKUP(TRUE, EXACT(Table27[[#This Row],[RL'']], Table27[orig]), Table27[RL''])</f>
        <v>b</v>
      </c>
      <c r="AQ63" t="str" cm="1">
        <f t="array" ref="AQ63">_xlfn.XLOOKUP(TRUE, EXACT(Table27[[#This Row],[R2L2]], Table27[orig]), Table27[RL''])</f>
        <v>t</v>
      </c>
      <c r="AR63" t="str">
        <f>Table29[[#This Row],[U]]</f>
        <v>v</v>
      </c>
      <c r="AS63" t="str" cm="1">
        <f t="array" ref="AS63">_xlfn.XLOOKUP(TRUE, EXACT(Table27[[#This Row],[U]], Table27[orig]), Table27[U])</f>
        <v>v</v>
      </c>
      <c r="AT63" t="str" cm="1">
        <f t="array" ref="AT63">_xlfn.XLOOKUP(TRUE, EXACT(Table27[[#This Row],[U2]], Table27[orig]), Table27[U])</f>
        <v>v</v>
      </c>
      <c r="AU63" t="str" cm="1">
        <f t="array" ref="AU63">_xlfn.XLOOKUP(TRUE, EXACT(_xlfn.XLOOKUP(TRUE, EXACT(Table27[[#This Row],[Z2]], Table27[orig]), Table27[U]), Table27[orig]), Table27[Z2])</f>
        <v>w</v>
      </c>
      <c r="AV63" t="str" cm="1">
        <f t="array" ref="AV63">_xlfn.XLOOKUP(TRUE, EXACT(Table27[[#This Row],[D]], Table27[orig]), Table27[D])</f>
        <v>x</v>
      </c>
      <c r="AW63" t="str" cm="1">
        <f t="array" ref="AW63">_xlfn.XLOOKUP(TRUE, EXACT(Table27[[#This Row],[D2]], Table27[orig]), Table27[D])</f>
        <v>u</v>
      </c>
      <c r="AX63" t="str" cm="1">
        <f t="array" ref="AX63">_xlfn.XLOOKUP(TRUE, EXACT(Table27[[#This Row],[u-lower]], Table27[orig]), Table27[U''])</f>
        <v>v</v>
      </c>
      <c r="AY63" t="str" cm="1">
        <f t="array" ref="AY63">_xlfn.XLOOKUP(TRUE, EXACT(Table27[[#This Row],[H]], Table27[orig]), Table27[H])</f>
        <v>v</v>
      </c>
      <c r="AZ63" t="str" cm="1">
        <f t="array" ref="AZ63">_xlfn.XLOOKUP(TRUE, EXACT(Table27[[#This Row],[H2]], Table27[orig]), Table27[H])</f>
        <v>v</v>
      </c>
      <c r="BA63" t="str" cm="1">
        <f t="array" ref="BA63">_xlfn.XLOOKUP(TRUE, EXACT(Table27[[#This Row],[Y]], Table27[orig]), Table27[D])</f>
        <v>v</v>
      </c>
      <c r="BB63" t="str" cm="1">
        <f t="array" ref="BB63">_xlfn.XLOOKUP(TRUE, EXACT(Table27[[#This Row],[u-lower]], Table27[orig]), Table27[u-lower])</f>
        <v>v</v>
      </c>
      <c r="BC63" t="str" cm="1">
        <f t="array" ref="BC63">_xlfn.XLOOKUP(TRUE, EXACT(Table27[[#This Row],[u2-lower]], Table27[orig]), Table27[u-lower])</f>
        <v>v</v>
      </c>
      <c r="BD63" t="str" cm="1">
        <f t="array" ref="BD63">_xlfn.XLOOKUP(TRUE, EXACT(Table27[[#This Row],[Y'']], Table27[orig]), Table27[U])</f>
        <v>w</v>
      </c>
      <c r="BE63" t="str" cm="1">
        <f t="array" ref="BE63">_xlfn.XLOOKUP(TRUE, EXACT(Table27[[#This Row],[d-lower]], Table27[orig]), Table27[d-lower])</f>
        <v>x</v>
      </c>
      <c r="BF63" t="str" cm="1">
        <f t="array" ref="BF63">_xlfn.XLOOKUP(TRUE, EXACT(Table27[[#This Row],[d2-lower]], Table27[orig]), Table27[d-lower])</f>
        <v>u</v>
      </c>
      <c r="BG63" t="str" cm="1">
        <f t="array" ref="BG63">_xlfn.XLOOKUP(TRUE, EXACT(Table27[[#This Row],[U]], Table27[orig]), Table27[D''])</f>
        <v>u</v>
      </c>
      <c r="BH63" t="str" cm="1">
        <f t="array" ref="BH63">_xlfn.XLOOKUP(TRUE, EXACT(Table27[[#This Row],[UD'']], Table27[orig]), Table27[UD''])</f>
        <v>x</v>
      </c>
      <c r="BI63" t="str" cm="1">
        <f t="array" ref="BI63">_xlfn.XLOOKUP(TRUE, EXACT(Table27[[#This Row],[U2D2]], Table27[orig]), Table27[UD''])</f>
        <v>w</v>
      </c>
      <c r="BJ63" t="str">
        <f>Table29[[#This Row],[F]]</f>
        <v>v</v>
      </c>
      <c r="BK63" t="str" cm="1">
        <f t="array" ref="BK63">_xlfn.XLOOKUP(TRUE, EXACT(Table27[[#This Row],[F]], Table27[orig]), Table27[F])</f>
        <v>v</v>
      </c>
      <c r="BL63" t="str" cm="1">
        <f t="array" ref="BL63">_xlfn.XLOOKUP(TRUE, EXACT(Table27[[#This Row],[F2]], Table27[orig]), Table27[F])</f>
        <v>v</v>
      </c>
      <c r="BM63" t="str" cm="1">
        <f t="array" ref="BM63">_xlfn.XLOOKUP(TRUE, EXACT(_xlfn.XLOOKUP(TRUE, EXACT(Table27[[#This Row],[X2]], Table27[orig]), Table27[F]), Table27[orig]), Table27[X2])</f>
        <v>v</v>
      </c>
      <c r="BN63" t="str" cm="1">
        <f t="array" ref="BN63">_xlfn.XLOOKUP(TRUE, EXACT(Table27[[#This Row],[B]], Table27[orig]), Table27[B])</f>
        <v>v</v>
      </c>
      <c r="BO63" t="str" cm="1">
        <f t="array" ref="BO63">_xlfn.XLOOKUP(TRUE, EXACT(Table27[[#This Row],[B2]], Table27[orig]), Table27[B])</f>
        <v>v</v>
      </c>
      <c r="BP63" t="str" cm="1">
        <f t="array" ref="BP63">_xlfn.XLOOKUP(TRUE, EXACT(Table27[[#This Row],[f-lower]], Table27[orig]), Table27[F''])</f>
        <v>g</v>
      </c>
      <c r="BQ63" t="str" cm="1">
        <f t="array" ref="BQ63">_xlfn.XLOOKUP(TRUE, EXACT(Table27[[#This Row],[S]], Table27[orig]), Table27[S])</f>
        <v>d</v>
      </c>
      <c r="BR63" t="str" cm="1">
        <f t="array" ref="BR63">_xlfn.XLOOKUP(TRUE, EXACT(Table27[[#This Row],[S2]], Table27[orig]), Table27[S])</f>
        <v>m</v>
      </c>
      <c r="BS63" t="str" cm="1">
        <f t="array" ref="BS63">_xlfn.XLOOKUP(TRUE, EXACT(Table27[[#This Row],[Z]], Table27[orig]), Table27[B])</f>
        <v>g</v>
      </c>
      <c r="BT63" t="str" cm="1">
        <f t="array" ref="BT63">_xlfn.XLOOKUP(TRUE, EXACT(Table27[[#This Row],[f-lower]], Table27[orig]), Table27[f-lower])</f>
        <v>d</v>
      </c>
      <c r="BU63" t="str" cm="1">
        <f t="array" ref="BU63">_xlfn.XLOOKUP(TRUE, EXACT(Table27[[#This Row],[f2-lower]], Table27[orig]), Table27[f-lower])</f>
        <v>m</v>
      </c>
      <c r="BV63" t="str" cm="1">
        <f t="array" ref="BV63">_xlfn.XLOOKUP(TRUE, EXACT(Table27[[#This Row],[Z'']], Table27[orig]), Table27[F])</f>
        <v>m</v>
      </c>
      <c r="BW63" t="str" cm="1">
        <f t="array" ref="BW63">_xlfn.XLOOKUP(TRUE, EXACT(Table27[[#This Row],[b-lower]], Table27[orig]), Table27[b-lower])</f>
        <v>d</v>
      </c>
      <c r="BX63" t="str" cm="1">
        <f t="array" ref="BX63">_xlfn.XLOOKUP(TRUE, EXACT(Table27[[#This Row],[b2-lower]], Table27[orig]), Table27[b-lower])</f>
        <v>g</v>
      </c>
      <c r="BY63" t="str" cm="1">
        <f t="array" ref="BY63">_xlfn.XLOOKUP(TRUE, EXACT(Table27[[#This Row],[F]], Table27[orig]), Table27[B''])</f>
        <v>v</v>
      </c>
      <c r="BZ63" t="str" cm="1">
        <f t="array" ref="BZ63">_xlfn.XLOOKUP(TRUE, EXACT(Table27[[#This Row],[FB'']], Table27[orig]), Table27[FB''])</f>
        <v>v</v>
      </c>
      <c r="CA63" t="str" cm="1">
        <f t="array" ref="CA63">_xlfn.XLOOKUP(TRUE, EXACT(Table27[[#This Row],[F2B2]], Table27[orig]), Table27[FB''])</f>
        <v>v</v>
      </c>
      <c r="CD63" t="s">
        <v>88</v>
      </c>
      <c r="CE63" t="str">
        <f>Table28[[#This Row],[orig]]</f>
        <v>v</v>
      </c>
      <c r="CF63" t="str">
        <f>Table29[[#This Row],[X]]</f>
        <v>j</v>
      </c>
      <c r="CG63" t="str" cm="1">
        <f t="array" ref="CG63">_xlfn.XLOOKUP(TRUE, EXACT(Table28[[#This Row],[X]], Table28[orig]), Table28[X])</f>
        <v>b</v>
      </c>
      <c r="CH63" t="str" cm="1">
        <f t="array" ref="CH63">_xlfn.XLOOKUP(TRUE, EXACT(Table28[[#This Row],[X2]], Table28[orig]), Table28[X])</f>
        <v>t</v>
      </c>
      <c r="CI63" t="str">
        <f>Table29[[#This Row],[Y]]</f>
        <v>u</v>
      </c>
      <c r="CJ63" t="str" cm="1">
        <f t="array" ref="CJ63">_xlfn.XLOOKUP(TRUE, EXACT(Table28[[#This Row],[Y]], Table28[orig]), Table28[Y])</f>
        <v>x</v>
      </c>
      <c r="CK63" t="str" cm="1">
        <f t="array" ref="CK63">_xlfn.XLOOKUP(TRUE, EXACT(Table28[[#This Row],[Y2]], Table28[orig]), Table28[Y])</f>
        <v>w</v>
      </c>
      <c r="CL63" t="str">
        <f>Table29[[#This Row],[Z]]</f>
        <v>g</v>
      </c>
      <c r="CM63" t="str" cm="1">
        <f t="array" ref="CM63">_xlfn.XLOOKUP(TRUE, EXACT(Table28[[#This Row],[Z]], Table28[orig]), Table28[Z])</f>
        <v>d</v>
      </c>
      <c r="CN63" t="str" cm="1">
        <f t="array" ref="CN63">_xlfn.XLOOKUP(TRUE, EXACT(Table28[[#This Row],[Z2]], Table28[orig]), Table28[Z])</f>
        <v>m</v>
      </c>
      <c r="CO63" t="str" cm="1">
        <f t="array" ref="CO63">_xlfn.XLOOKUP(TRUE, EXACT(Table28[[#This Row],[Z]], Table28[orig]), Table28[X])</f>
        <v>f</v>
      </c>
      <c r="CP63" t="str" cm="1">
        <f t="array" ref="CP63">_xlfn.XLOOKUP(TRUE, EXACT(Table28[[#This Row],[Y'']], Table28[orig]), Table28[X''])</f>
        <v>q</v>
      </c>
      <c r="CQ63" t="str" cm="1">
        <f t="array" ref="CQ63">_xlfn.XLOOKUP(TRUE, EXACT(Table28[[#This Row],[Y]], Table28[orig]), Table28[X''])</f>
        <v>s</v>
      </c>
      <c r="CR63" t="str" cm="1">
        <f t="array" ref="CR63">_xlfn.XLOOKUP(TRUE, EXACT(Table28[[#This Row],[Z'']], Table28[orig]), Table28[X])</f>
        <v>n</v>
      </c>
      <c r="CS63" t="str" cm="1">
        <f t="array" ref="CS63">_xlfn.XLOOKUP(TRUE, EXACT(Table28[[#This Row],[Z'']], Table28[orig]), Table28[X''])</f>
        <v>p</v>
      </c>
      <c r="CT63" t="str" cm="1">
        <f t="array" ref="CT63">_xlfn.XLOOKUP(TRUE, EXACT(Table28[[#This Row],[Y'']], Table28[orig]), Table28[X])</f>
        <v>k</v>
      </c>
      <c r="CU63" t="str" cm="1">
        <f t="array" ref="CU63">_xlfn.XLOOKUP(TRUE, EXACT(Table28[[#This Row],[Y]], Table28[orig]), Table28[X])</f>
        <v>i</v>
      </c>
      <c r="CV63" t="str" cm="1">
        <f t="array" ref="CV63">_xlfn.XLOOKUP(TRUE, EXACT(Table28[[#This Row],[Z]], Table28[orig]), Table28[X''])</f>
        <v>h</v>
      </c>
      <c r="CW63" t="str" cm="1">
        <f t="array" ref="CW63">_xlfn.XLOOKUP(TRUE, EXACT(Table28[[#This Row],[Y'']], Table28[orig]), Table28[X2])</f>
        <v>c</v>
      </c>
      <c r="CX63" t="str" cm="1">
        <f t="array" ref="CX63">_xlfn.XLOOKUP(TRUE, EXACT(Table28[[#This Row],[Y]], Table28[orig]), Table28[X2])</f>
        <v>a</v>
      </c>
      <c r="CY63" t="str" cm="1">
        <f t="array" ref="CY63">_xlfn.XLOOKUP(TRUE, EXACT(Table28[[#This Row],[Z]], Table28[orig]), Table28[X2])</f>
        <v>e</v>
      </c>
      <c r="CZ63" t="str" cm="1">
        <f t="array" ref="CZ63">_xlfn.XLOOKUP(TRUE, EXACT(Table28[[#This Row],[Z'']], Table28[orig]), Table28[X2])</f>
        <v>o</v>
      </c>
      <c r="DA63" t="str" cm="1">
        <f t="array" ref="DA63">_xlfn.XLOOKUP(TRUE, EXACT(Table28[[#This Row],[Z2]], Table28[orig]), Table28[X])</f>
        <v>r</v>
      </c>
      <c r="DB63" t="str" cm="1">
        <f t="array" ref="DB63">_xlfn.XLOOKUP(TRUE, EXACT(Table28[[#This Row],[Z2]], Table28[orig]), Table28[X''])</f>
        <v>l</v>
      </c>
      <c r="DE63" s="4" t="s">
        <v>88</v>
      </c>
      <c r="DF63" s="4" t="str" cm="1">
        <f t="array" ref="DF63">_xlfn.XLOOKUP(TRUE, EXACT(Table28[[#This Row],[I]], Table29[orig]), Table29[T-reflection])</f>
        <v>x</v>
      </c>
      <c r="DG63" s="4" t="str" cm="1">
        <f t="array" ref="DG63">_xlfn.XLOOKUP(TRUE, EXACT(Table28[[#This Row],[X]], Table29[orig]), Table29[T-reflection])</f>
        <v>l</v>
      </c>
      <c r="DH63" t="str" cm="1">
        <f t="array" ref="DH63">_xlfn.XLOOKUP(TRUE, EXACT(Table28[[#This Row],[X2]], Table29[orig]), Table29[T-reflection])</f>
        <v>d</v>
      </c>
      <c r="DI63" t="str" cm="1">
        <f t="array" ref="DI63">_xlfn.XLOOKUP(TRUE, EXACT(Table28[[#This Row],[X'']], Table29[orig]), Table29[T-reflection])</f>
        <v>r</v>
      </c>
      <c r="DJ63" s="4" t="str" cm="1">
        <f t="array" ref="DJ63">_xlfn.XLOOKUP(TRUE, EXACT(Table28[[#This Row],[Y]], Table29[orig]), Table29[T-reflection])</f>
        <v>u</v>
      </c>
      <c r="DK63" t="str" cm="1">
        <f t="array" ref="DK63">_xlfn.XLOOKUP(TRUE, EXACT(Table28[[#This Row],[Y2]], Table29[orig]), Table29[T-reflection])</f>
        <v>v</v>
      </c>
      <c r="DL63" t="str" cm="1">
        <f t="array" ref="DL63">_xlfn.XLOOKUP(TRUE, EXACT(Table28[[#This Row],[Y'']], Table29[orig]), Table29[T-reflection])</f>
        <v>w</v>
      </c>
      <c r="DM63" s="4" t="str" cm="1">
        <f t="array" ref="DM63">_xlfn.XLOOKUP(TRUE, EXACT(Table28[[#This Row],[Z]], Table29[orig]), Table29[T-reflection])</f>
        <v>o</v>
      </c>
      <c r="DN63" t="str" cm="1">
        <f t="array" ref="DN63">_xlfn.XLOOKUP(TRUE, EXACT(Table28[[#This Row],[Z2]], Table29[orig]), Table29[T-reflection])</f>
        <v>b</v>
      </c>
      <c r="DO63" t="str" cm="1">
        <f t="array" ref="DO63">_xlfn.XLOOKUP(TRUE, EXACT(Table28[[#This Row],[Z'']], Table29[orig]), Table29[T-reflection])</f>
        <v>e</v>
      </c>
      <c r="DP63" t="str" cm="1">
        <f t="array" ref="DP63">_xlfn.XLOOKUP(TRUE, EXACT(Table28[[#This Row],[Z X]], Table29[orig]), Table29[T-reflection])</f>
        <v>p</v>
      </c>
      <c r="DQ63" t="str" cm="1">
        <f t="array" ref="DQ63">_xlfn.XLOOKUP(TRUE, EXACT(Table28[[#This Row],[Y'' X'']], Table29[orig]), Table29[T-reflection])</f>
        <v>q</v>
      </c>
      <c r="DR63" t="str" cm="1">
        <f t="array" ref="DR63">_xlfn.XLOOKUP(TRUE, EXACT(Table28[[#This Row],[Y X'']], Table29[orig]), Table29[T-reflection])</f>
        <v>s</v>
      </c>
      <c r="DS63" t="str" cm="1">
        <f t="array" ref="DS63">_xlfn.XLOOKUP(TRUE, EXACT(Table28[[#This Row],[Z'' X]], Table29[orig]), Table29[T-reflection])</f>
        <v>h</v>
      </c>
      <c r="DT63" t="str" cm="1">
        <f t="array" ref="DT63">_xlfn.XLOOKUP(TRUE, EXACT(Table28[[#This Row],[Z'' X'']], Table29[orig]), Table29[T-reflection])</f>
        <v>f</v>
      </c>
      <c r="DU63" t="str" cm="1">
        <f t="array" ref="DU63">_xlfn.XLOOKUP(TRUE, EXACT(Table28[[#This Row],[Y'' X]], Table29[orig]), Table29[T-reflection])</f>
        <v>k</v>
      </c>
      <c r="DV63" t="str" cm="1">
        <f t="array" ref="DV63">_xlfn.XLOOKUP(TRUE, EXACT(Table28[[#This Row],[Y X]], Table29[orig]), Table29[T-reflection])</f>
        <v>i</v>
      </c>
      <c r="DW63" t="str" cm="1">
        <f t="array" ref="DW63">_xlfn.XLOOKUP(TRUE, EXACT(Table28[[#This Row],[Z X'']], Table29[orig]), Table29[T-reflection])</f>
        <v>n</v>
      </c>
      <c r="DX63" t="str" cm="1">
        <f t="array" ref="DX63">_xlfn.XLOOKUP(TRUE, EXACT(Table28[[#This Row],[Y'' X2]], Table29[orig]), Table29[T-reflection])</f>
        <v>c</v>
      </c>
      <c r="DY63" t="str" cm="1">
        <f t="array" ref="DY63">_xlfn.XLOOKUP(TRUE, EXACT(Table28[[#This Row],[Y X2]], Table29[orig]), Table29[T-reflection])</f>
        <v>a</v>
      </c>
      <c r="DZ63" t="str" cm="1">
        <f t="array" ref="DZ63">_xlfn.XLOOKUP(TRUE, EXACT(Table28[[#This Row],[Z X2]], Table29[orig]), Table29[T-reflection])</f>
        <v>m</v>
      </c>
      <c r="EA63" t="str" cm="1">
        <f t="array" ref="EA63">_xlfn.XLOOKUP(TRUE, EXACT(Table28[[#This Row],[Z'' X2]], Table29[orig]), Table29[T-reflection])</f>
        <v>g</v>
      </c>
      <c r="EB63" t="str" cm="1">
        <f t="array" ref="EB63">_xlfn.XLOOKUP(TRUE, EXACT(Table28[[#This Row],[Z2 X]], Table29[orig]), Table29[T-reflection])</f>
        <v>t</v>
      </c>
      <c r="EC63" t="str" cm="1">
        <f t="array" ref="EC63">_xlfn.XLOOKUP(TRUE, EXACT(Table28[[#This Row],[Z2 X'']], Table29[orig]), Table29[T-reflection])</f>
        <v>j</v>
      </c>
    </row>
    <row r="64" spans="1:164" x14ac:dyDescent="0.2">
      <c r="B64" t="s">
        <v>137</v>
      </c>
      <c r="C64" t="s">
        <v>137</v>
      </c>
      <c r="D64" t="s">
        <v>86</v>
      </c>
      <c r="E64" t="s">
        <v>88</v>
      </c>
      <c r="F64" t="s">
        <v>131</v>
      </c>
      <c r="G64" t="s">
        <v>137</v>
      </c>
      <c r="H64" t="s">
        <v>33</v>
      </c>
      <c r="I64" t="s">
        <v>53</v>
      </c>
      <c r="J64" t="s">
        <v>137</v>
      </c>
      <c r="K64" t="s">
        <v>137</v>
      </c>
      <c r="L64" t="s">
        <v>137</v>
      </c>
      <c r="O64" t="s">
        <v>137</v>
      </c>
      <c r="P64" t="str">
        <f>Table27[[#This Row],[orig]]</f>
        <v>w</v>
      </c>
      <c r="Q64" t="str">
        <f>Table29[[#This Row],[X]]</f>
        <v>k</v>
      </c>
      <c r="R64" t="str" cm="1">
        <f t="array" ref="R64">_xlfn.XLOOKUP(TRUE, EXACT(Table27[[#This Row],[X]], Table27[orig]), Table27[X])</f>
        <v>c</v>
      </c>
      <c r="S64" t="str" cm="1">
        <f t="array" ref="S64">_xlfn.XLOOKUP(TRUE, EXACT(Table27[[#This Row],[X2]], Table27[orig]), Table27[X])</f>
        <v>q</v>
      </c>
      <c r="T64" t="str">
        <f>Table29[[#This Row],[Y]]</f>
        <v>v</v>
      </c>
      <c r="U64" t="str" cm="1">
        <f t="array" ref="U64">_xlfn.XLOOKUP(TRUE, EXACT(Table27[[#This Row],[Y]], Table27[orig]), Table27[Y])</f>
        <v>u</v>
      </c>
      <c r="V64" t="str" cm="1">
        <f t="array" ref="V64">_xlfn.XLOOKUP(TRUE, EXACT(Table27[[#This Row],[Y2]], Table27[orig]), Table27[Y])</f>
        <v>x</v>
      </c>
      <c r="W64" t="str">
        <f>Table29[[#This Row],[Z]]</f>
        <v>h</v>
      </c>
      <c r="X64" t="str" cm="1">
        <f t="array" ref="X64">_xlfn.XLOOKUP(TRUE, EXACT(Table27[[#This Row],[Z]], Table27[orig]), Table27[Z])</f>
        <v>a</v>
      </c>
      <c r="Y64" t="str" cm="1">
        <f t="array" ref="Y64">_xlfn.XLOOKUP(TRUE, EXACT(Table27[[#This Row],[Z2]], Table27[orig]), Table27[Z])</f>
        <v>n</v>
      </c>
      <c r="Z64" t="str">
        <f>Table29[[#This Row],[R]]</f>
        <v>w</v>
      </c>
      <c r="AA64" t="str" cm="1">
        <f t="array" ref="AA64">_xlfn.XLOOKUP(TRUE, EXACT(Table27[[#This Row],[R]], Table27[orig]), Table27[R])</f>
        <v>w</v>
      </c>
      <c r="AB64" t="str" cm="1">
        <f t="array" ref="AB64">_xlfn.XLOOKUP(TRUE, EXACT(Table27[[#This Row],[R2]], Table27[orig]), Table27[R])</f>
        <v>w</v>
      </c>
      <c r="AC64" t="str" cm="1">
        <f t="array" ref="AC64">_xlfn.XLOOKUP(TRUE, EXACT(_xlfn.XLOOKUP(TRUE, EXACT(Table27[[#This Row],[Y2]], Table27[orig]), Table27[R]), Table27[orig]), Table27[Y2])</f>
        <v>w</v>
      </c>
      <c r="AD64" t="str" cm="1">
        <f t="array" ref="AD64">_xlfn.XLOOKUP(TRUE, EXACT(Table27[[#This Row],[L]], Table27[orig]), Table27[L])</f>
        <v>w</v>
      </c>
      <c r="AE64" t="str" cm="1">
        <f t="array" ref="AE64">_xlfn.XLOOKUP(TRUE, EXACT(Table27[[#This Row],[L2]], Table27[orig]), Table27[L])</f>
        <v>w</v>
      </c>
      <c r="AF64" t="str" cm="1">
        <f t="array" ref="AF64">_xlfn.XLOOKUP(TRUE, EXACT(Table27[[#This Row],[r-lower]], Table27[orig]), Table27[R''])</f>
        <v>k</v>
      </c>
      <c r="AG64" t="str" cm="1">
        <f t="array" ref="AG64">_xlfn.XLOOKUP(TRUE, EXACT(Table27[[#This Row],[T]], Table27[orig]), Table27[T])</f>
        <v>c</v>
      </c>
      <c r="AH64" t="str" cm="1">
        <f t="array" ref="AH64">_xlfn.XLOOKUP(TRUE, EXACT(Table27[[#This Row],[T2]], Table27[orig]), Table27[T])</f>
        <v>q</v>
      </c>
      <c r="AI64" t="str" cm="1">
        <f t="array" ref="AI64">_xlfn.XLOOKUP(TRUE, EXACT(Table27[[#This Row],[X]], Table27[orig]), Table27[L])</f>
        <v>k</v>
      </c>
      <c r="AJ64" t="str" cm="1">
        <f t="array" ref="AJ64">_xlfn.XLOOKUP(TRUE, EXACT(Table27[[#This Row],[r-lower]], Table27[orig]), Table27[r-lower])</f>
        <v>c</v>
      </c>
      <c r="AK64" t="str" cm="1">
        <f t="array" ref="AK64">_xlfn.XLOOKUP(TRUE, EXACT(Table27[[#This Row],[r2-lower]], Table27[orig]), Table27[r-lower])</f>
        <v>q</v>
      </c>
      <c r="AL64" t="str" cm="1">
        <f t="array" ref="AL64">_xlfn.XLOOKUP(TRUE, EXACT(Table27[[#This Row],[X'']], Table27[orig]), Table27[R])</f>
        <v>q</v>
      </c>
      <c r="AM64" t="str" cm="1">
        <f t="array" ref="AM64">_xlfn.XLOOKUP(TRUE, EXACT(Table27[[#This Row],[l-lower]], Table27[orig]), Table27[l-lower])</f>
        <v>c</v>
      </c>
      <c r="AN64" t="str" cm="1">
        <f t="array" ref="AN64">_xlfn.XLOOKUP(TRUE, EXACT(Table27[[#This Row],[l2-lower]], Table27[orig]), Table27[l-lower])</f>
        <v>k</v>
      </c>
      <c r="AO64" t="str" cm="1">
        <f t="array" ref="AO64">_xlfn.XLOOKUP(TRUE, EXACT(Table27[[#This Row],[R]], Table27[orig]), Table27[L''])</f>
        <v>w</v>
      </c>
      <c r="AP64" t="str" cm="1">
        <f t="array" ref="AP64">_xlfn.XLOOKUP(TRUE, EXACT(Table27[[#This Row],[RL'']], Table27[orig]), Table27[RL''])</f>
        <v>w</v>
      </c>
      <c r="AQ64" t="str" cm="1">
        <f t="array" ref="AQ64">_xlfn.XLOOKUP(TRUE, EXACT(Table27[[#This Row],[R2L2]], Table27[orig]), Table27[RL''])</f>
        <v>w</v>
      </c>
      <c r="AR64" t="str">
        <f>Table29[[#This Row],[U]]</f>
        <v>w</v>
      </c>
      <c r="AS64" t="str" cm="1">
        <f t="array" ref="AS64">_xlfn.XLOOKUP(TRUE, EXACT(Table27[[#This Row],[U]], Table27[orig]), Table27[U])</f>
        <v>w</v>
      </c>
      <c r="AT64" t="str" cm="1">
        <f t="array" ref="AT64">_xlfn.XLOOKUP(TRUE, EXACT(Table27[[#This Row],[U2]], Table27[orig]), Table27[U])</f>
        <v>w</v>
      </c>
      <c r="AU64" t="str" cm="1">
        <f t="array" ref="AU64">_xlfn.XLOOKUP(TRUE, EXACT(_xlfn.XLOOKUP(TRUE, EXACT(Table27[[#This Row],[Z2]], Table27[orig]), Table27[U]), Table27[orig]), Table27[Z2])</f>
        <v>x</v>
      </c>
      <c r="AV64" t="str" cm="1">
        <f t="array" ref="AV64">_xlfn.XLOOKUP(TRUE, EXACT(Table27[[#This Row],[D]], Table27[orig]), Table27[D])</f>
        <v>u</v>
      </c>
      <c r="AW64" t="str" cm="1">
        <f t="array" ref="AW64">_xlfn.XLOOKUP(TRUE, EXACT(Table27[[#This Row],[D2]], Table27[orig]), Table27[D])</f>
        <v>v</v>
      </c>
      <c r="AX64" t="str" cm="1">
        <f t="array" ref="AX64">_xlfn.XLOOKUP(TRUE, EXACT(Table27[[#This Row],[u-lower]], Table27[orig]), Table27[U''])</f>
        <v>w</v>
      </c>
      <c r="AY64" t="str" cm="1">
        <f t="array" ref="AY64">_xlfn.XLOOKUP(TRUE, EXACT(Table27[[#This Row],[H]], Table27[orig]), Table27[H])</f>
        <v>w</v>
      </c>
      <c r="AZ64" t="str" cm="1">
        <f t="array" ref="AZ64">_xlfn.XLOOKUP(TRUE, EXACT(Table27[[#This Row],[H2]], Table27[orig]), Table27[H])</f>
        <v>w</v>
      </c>
      <c r="BA64" t="str" cm="1">
        <f t="array" ref="BA64">_xlfn.XLOOKUP(TRUE, EXACT(Table27[[#This Row],[Y]], Table27[orig]), Table27[D])</f>
        <v>w</v>
      </c>
      <c r="BB64" t="str" cm="1">
        <f t="array" ref="BB64">_xlfn.XLOOKUP(TRUE, EXACT(Table27[[#This Row],[u-lower]], Table27[orig]), Table27[u-lower])</f>
        <v>w</v>
      </c>
      <c r="BC64" t="str" cm="1">
        <f t="array" ref="BC64">_xlfn.XLOOKUP(TRUE, EXACT(Table27[[#This Row],[u2-lower]], Table27[orig]), Table27[u-lower])</f>
        <v>w</v>
      </c>
      <c r="BD64" t="str" cm="1">
        <f t="array" ref="BD64">_xlfn.XLOOKUP(TRUE, EXACT(Table27[[#This Row],[Y'']], Table27[orig]), Table27[U])</f>
        <v>x</v>
      </c>
      <c r="BE64" t="str" cm="1">
        <f t="array" ref="BE64">_xlfn.XLOOKUP(TRUE, EXACT(Table27[[#This Row],[d-lower]], Table27[orig]), Table27[d-lower])</f>
        <v>u</v>
      </c>
      <c r="BF64" t="str" cm="1">
        <f t="array" ref="BF64">_xlfn.XLOOKUP(TRUE, EXACT(Table27[[#This Row],[d2-lower]], Table27[orig]), Table27[d-lower])</f>
        <v>v</v>
      </c>
      <c r="BG64" t="str" cm="1">
        <f t="array" ref="BG64">_xlfn.XLOOKUP(TRUE, EXACT(Table27[[#This Row],[U]], Table27[orig]), Table27[D''])</f>
        <v>v</v>
      </c>
      <c r="BH64" t="str" cm="1">
        <f t="array" ref="BH64">_xlfn.XLOOKUP(TRUE, EXACT(Table27[[#This Row],[UD'']], Table27[orig]), Table27[UD''])</f>
        <v>u</v>
      </c>
      <c r="BI64" t="str" cm="1">
        <f t="array" ref="BI64">_xlfn.XLOOKUP(TRUE, EXACT(Table27[[#This Row],[U2D2]], Table27[orig]), Table27[UD''])</f>
        <v>x</v>
      </c>
      <c r="BJ64" t="str">
        <f>Table29[[#This Row],[F]]</f>
        <v>w</v>
      </c>
      <c r="BK64" t="str" cm="1">
        <f t="array" ref="BK64">_xlfn.XLOOKUP(TRUE, EXACT(Table27[[#This Row],[F]], Table27[orig]), Table27[F])</f>
        <v>w</v>
      </c>
      <c r="BL64" t="str" cm="1">
        <f t="array" ref="BL64">_xlfn.XLOOKUP(TRUE, EXACT(Table27[[#This Row],[F2]], Table27[orig]), Table27[F])</f>
        <v>w</v>
      </c>
      <c r="BM64" t="str" cm="1">
        <f t="array" ref="BM64">_xlfn.XLOOKUP(TRUE, EXACT(_xlfn.XLOOKUP(TRUE, EXACT(Table27[[#This Row],[X2]], Table27[orig]), Table27[F]), Table27[orig]), Table27[X2])</f>
        <v>n</v>
      </c>
      <c r="BN64" t="str" cm="1">
        <f t="array" ref="BN64">_xlfn.XLOOKUP(TRUE, EXACT(Table27[[#This Row],[B]], Table27[orig]), Table27[B])</f>
        <v>a</v>
      </c>
      <c r="BO64" t="str" cm="1">
        <f t="array" ref="BO64">_xlfn.XLOOKUP(TRUE, EXACT(Table27[[#This Row],[B2]], Table27[orig]), Table27[B])</f>
        <v>h</v>
      </c>
      <c r="BP64" t="str" cm="1">
        <f t="array" ref="BP64">_xlfn.XLOOKUP(TRUE, EXACT(Table27[[#This Row],[f-lower]], Table27[orig]), Table27[F''])</f>
        <v>w</v>
      </c>
      <c r="BQ64" t="str" cm="1">
        <f t="array" ref="BQ64">_xlfn.XLOOKUP(TRUE, EXACT(Table27[[#This Row],[S]], Table27[orig]), Table27[S])</f>
        <v>w</v>
      </c>
      <c r="BR64" t="str" cm="1">
        <f t="array" ref="BR64">_xlfn.XLOOKUP(TRUE, EXACT(Table27[[#This Row],[S2]], Table27[orig]), Table27[S])</f>
        <v>w</v>
      </c>
      <c r="BS64" t="str" cm="1">
        <f t="array" ref="BS64">_xlfn.XLOOKUP(TRUE, EXACT(Table27[[#This Row],[Z]], Table27[orig]), Table27[B])</f>
        <v>w</v>
      </c>
      <c r="BT64" t="str" cm="1">
        <f t="array" ref="BT64">_xlfn.XLOOKUP(TRUE, EXACT(Table27[[#This Row],[f-lower]], Table27[orig]), Table27[f-lower])</f>
        <v>w</v>
      </c>
      <c r="BU64" t="str" cm="1">
        <f t="array" ref="BU64">_xlfn.XLOOKUP(TRUE, EXACT(Table27[[#This Row],[f2-lower]], Table27[orig]), Table27[f-lower])</f>
        <v>w</v>
      </c>
      <c r="BV64" t="str" cm="1">
        <f t="array" ref="BV64">_xlfn.XLOOKUP(TRUE, EXACT(Table27[[#This Row],[Z'']], Table27[orig]), Table27[F])</f>
        <v>n</v>
      </c>
      <c r="BW64" t="str" cm="1">
        <f t="array" ref="BW64">_xlfn.XLOOKUP(TRUE, EXACT(Table27[[#This Row],[b-lower]], Table27[orig]), Table27[b-lower])</f>
        <v>a</v>
      </c>
      <c r="BX64" t="str" cm="1">
        <f t="array" ref="BX64">_xlfn.XLOOKUP(TRUE, EXACT(Table27[[#This Row],[b2-lower]], Table27[orig]), Table27[b-lower])</f>
        <v>h</v>
      </c>
      <c r="BY64" t="str" cm="1">
        <f t="array" ref="BY64">_xlfn.XLOOKUP(TRUE, EXACT(Table27[[#This Row],[F]], Table27[orig]), Table27[B''])</f>
        <v>h</v>
      </c>
      <c r="BZ64" t="str" cm="1">
        <f t="array" ref="BZ64">_xlfn.XLOOKUP(TRUE, EXACT(Table27[[#This Row],[FB'']], Table27[orig]), Table27[FB''])</f>
        <v>a</v>
      </c>
      <c r="CA64" t="str" cm="1">
        <f t="array" ref="CA64">_xlfn.XLOOKUP(TRUE, EXACT(Table27[[#This Row],[F2B2]], Table27[orig]), Table27[FB''])</f>
        <v>n</v>
      </c>
      <c r="CD64" t="s">
        <v>137</v>
      </c>
      <c r="CE64" t="str">
        <f>Table28[[#This Row],[orig]]</f>
        <v>w</v>
      </c>
      <c r="CF64" t="str">
        <f>Table29[[#This Row],[X]]</f>
        <v>k</v>
      </c>
      <c r="CG64" t="str" cm="1">
        <f t="array" ref="CG64">_xlfn.XLOOKUP(TRUE, EXACT(Table28[[#This Row],[X]], Table28[orig]), Table28[X])</f>
        <v>c</v>
      </c>
      <c r="CH64" t="str" cm="1">
        <f t="array" ref="CH64">_xlfn.XLOOKUP(TRUE, EXACT(Table28[[#This Row],[X2]], Table28[orig]), Table28[X])</f>
        <v>q</v>
      </c>
      <c r="CI64" t="str">
        <f>Table29[[#This Row],[Y]]</f>
        <v>v</v>
      </c>
      <c r="CJ64" t="str" cm="1">
        <f t="array" ref="CJ64">_xlfn.XLOOKUP(TRUE, EXACT(Table28[[#This Row],[Y]], Table28[orig]), Table28[Y])</f>
        <v>u</v>
      </c>
      <c r="CK64" t="str" cm="1">
        <f t="array" ref="CK64">_xlfn.XLOOKUP(TRUE, EXACT(Table28[[#This Row],[Y2]], Table28[orig]), Table28[Y])</f>
        <v>x</v>
      </c>
      <c r="CL64" t="str">
        <f>Table29[[#This Row],[Z]]</f>
        <v>h</v>
      </c>
      <c r="CM64" t="str" cm="1">
        <f t="array" ref="CM64">_xlfn.XLOOKUP(TRUE, EXACT(Table28[[#This Row],[Z]], Table28[orig]), Table28[Z])</f>
        <v>a</v>
      </c>
      <c r="CN64" t="str" cm="1">
        <f t="array" ref="CN64">_xlfn.XLOOKUP(TRUE, EXACT(Table28[[#This Row],[Z2]], Table28[orig]), Table28[Z])</f>
        <v>n</v>
      </c>
      <c r="CO64" t="str" cm="1">
        <f t="array" ref="CO64">_xlfn.XLOOKUP(TRUE, EXACT(Table28[[#This Row],[Z]], Table28[orig]), Table28[X])</f>
        <v>g</v>
      </c>
      <c r="CP64" t="str" cm="1">
        <f t="array" ref="CP64">_xlfn.XLOOKUP(TRUE, EXACT(Table28[[#This Row],[Y'']], Table28[orig]), Table28[X''])</f>
        <v>r</v>
      </c>
      <c r="CQ64" t="str" cm="1">
        <f t="array" ref="CQ64">_xlfn.XLOOKUP(TRUE, EXACT(Table28[[#This Row],[Y]], Table28[orig]), Table28[X''])</f>
        <v>t</v>
      </c>
      <c r="CR64" t="str" cm="1">
        <f t="array" ref="CR64">_xlfn.XLOOKUP(TRUE, EXACT(Table28[[#This Row],[Z'']], Table28[orig]), Table28[X])</f>
        <v>o</v>
      </c>
      <c r="CS64" t="str" cm="1">
        <f t="array" ref="CS64">_xlfn.XLOOKUP(TRUE, EXACT(Table28[[#This Row],[Z'']], Table28[orig]), Table28[X''])</f>
        <v>m</v>
      </c>
      <c r="CT64" t="str" cm="1">
        <f t="array" ref="CT64">_xlfn.XLOOKUP(TRUE, EXACT(Table28[[#This Row],[Y'']], Table28[orig]), Table28[X])</f>
        <v>l</v>
      </c>
      <c r="CU64" t="str" cm="1">
        <f t="array" ref="CU64">_xlfn.XLOOKUP(TRUE, EXACT(Table28[[#This Row],[Y]], Table28[orig]), Table28[X])</f>
        <v>j</v>
      </c>
      <c r="CV64" t="str" cm="1">
        <f t="array" ref="CV64">_xlfn.XLOOKUP(TRUE, EXACT(Table28[[#This Row],[Z]], Table28[orig]), Table28[X''])</f>
        <v>e</v>
      </c>
      <c r="CW64" t="str" cm="1">
        <f t="array" ref="CW64">_xlfn.XLOOKUP(TRUE, EXACT(Table28[[#This Row],[Y'']], Table28[orig]), Table28[X2])</f>
        <v>d</v>
      </c>
      <c r="CX64" t="str" cm="1">
        <f t="array" ref="CX64">_xlfn.XLOOKUP(TRUE, EXACT(Table28[[#This Row],[Y]], Table28[orig]), Table28[X2])</f>
        <v>b</v>
      </c>
      <c r="CY64" t="str" cm="1">
        <f t="array" ref="CY64">_xlfn.XLOOKUP(TRUE, EXACT(Table28[[#This Row],[Z]], Table28[orig]), Table28[X2])</f>
        <v>f</v>
      </c>
      <c r="CZ64" t="str" cm="1">
        <f t="array" ref="CZ64">_xlfn.XLOOKUP(TRUE, EXACT(Table28[[#This Row],[Z'']], Table28[orig]), Table28[X2])</f>
        <v>p</v>
      </c>
      <c r="DA64" t="str" cm="1">
        <f t="array" ref="DA64">_xlfn.XLOOKUP(TRUE, EXACT(Table28[[#This Row],[Z2]], Table28[orig]), Table28[X])</f>
        <v>s</v>
      </c>
      <c r="DB64" t="str" cm="1">
        <f t="array" ref="DB64">_xlfn.XLOOKUP(TRUE, EXACT(Table28[[#This Row],[Z2]], Table28[orig]), Table28[X''])</f>
        <v>i</v>
      </c>
      <c r="DE64" s="6" t="s">
        <v>137</v>
      </c>
      <c r="DF64" s="6" t="str" cm="1">
        <f t="array" ref="DF64">_xlfn.XLOOKUP(TRUE, EXACT(Table28[[#This Row],[I]], Table29[orig]), Table29[T-reflection])</f>
        <v>w</v>
      </c>
      <c r="DG64" s="6" t="str" cm="1">
        <f t="array" ref="DG64">_xlfn.XLOOKUP(TRUE, EXACT(Table28[[#This Row],[X]], Table29[orig]), Table29[T-reflection])</f>
        <v>k</v>
      </c>
      <c r="DH64" t="str" cm="1">
        <f t="array" ref="DH64">_xlfn.XLOOKUP(TRUE, EXACT(Table28[[#This Row],[X2]], Table29[orig]), Table29[T-reflection])</f>
        <v>c</v>
      </c>
      <c r="DI64" t="str" cm="1">
        <f t="array" ref="DI64">_xlfn.XLOOKUP(TRUE, EXACT(Table28[[#This Row],[X'']], Table29[orig]), Table29[T-reflection])</f>
        <v>q</v>
      </c>
      <c r="DJ64" s="6" t="str" cm="1">
        <f t="array" ref="DJ64">_xlfn.XLOOKUP(TRUE, EXACT(Table28[[#This Row],[Y]], Table29[orig]), Table29[T-reflection])</f>
        <v>x</v>
      </c>
      <c r="DK64" t="str" cm="1">
        <f t="array" ref="DK64">_xlfn.XLOOKUP(TRUE, EXACT(Table28[[#This Row],[Y2]], Table29[orig]), Table29[T-reflection])</f>
        <v>u</v>
      </c>
      <c r="DL64" t="str" cm="1">
        <f t="array" ref="DL64">_xlfn.XLOOKUP(TRUE, EXACT(Table28[[#This Row],[Y'']], Table29[orig]), Table29[T-reflection])</f>
        <v>v</v>
      </c>
      <c r="DM64" s="6" t="str" cm="1">
        <f t="array" ref="DM64">_xlfn.XLOOKUP(TRUE, EXACT(Table28[[#This Row],[Z]], Table29[orig]), Table29[T-reflection])</f>
        <v>n</v>
      </c>
      <c r="DN64" t="str" cm="1">
        <f t="array" ref="DN64">_xlfn.XLOOKUP(TRUE, EXACT(Table28[[#This Row],[Z2]], Table29[orig]), Table29[T-reflection])</f>
        <v>a</v>
      </c>
      <c r="DO64" t="str" cm="1">
        <f t="array" ref="DO64">_xlfn.XLOOKUP(TRUE, EXACT(Table28[[#This Row],[Z'']], Table29[orig]), Table29[T-reflection])</f>
        <v>h</v>
      </c>
      <c r="DP64" t="str" cm="1">
        <f t="array" ref="DP64">_xlfn.XLOOKUP(TRUE, EXACT(Table28[[#This Row],[Z X]], Table29[orig]), Table29[T-reflection])</f>
        <v>o</v>
      </c>
      <c r="DQ64" t="str" cm="1">
        <f t="array" ref="DQ64">_xlfn.XLOOKUP(TRUE, EXACT(Table28[[#This Row],[Y'' X'']], Table29[orig]), Table29[T-reflection])</f>
        <v>t</v>
      </c>
      <c r="DR64" t="str" cm="1">
        <f t="array" ref="DR64">_xlfn.XLOOKUP(TRUE, EXACT(Table28[[#This Row],[Y X'']], Table29[orig]), Table29[T-reflection])</f>
        <v>r</v>
      </c>
      <c r="DS64" t="str" cm="1">
        <f t="array" ref="DS64">_xlfn.XLOOKUP(TRUE, EXACT(Table28[[#This Row],[Z'' X]], Table29[orig]), Table29[T-reflection])</f>
        <v>g</v>
      </c>
      <c r="DT64" t="str" cm="1">
        <f t="array" ref="DT64">_xlfn.XLOOKUP(TRUE, EXACT(Table28[[#This Row],[Z'' X'']], Table29[orig]), Table29[T-reflection])</f>
        <v>e</v>
      </c>
      <c r="DU64" t="str" cm="1">
        <f t="array" ref="DU64">_xlfn.XLOOKUP(TRUE, EXACT(Table28[[#This Row],[Y'' X]], Table29[orig]), Table29[T-reflection])</f>
        <v>j</v>
      </c>
      <c r="DV64" t="str" cm="1">
        <f t="array" ref="DV64">_xlfn.XLOOKUP(TRUE, EXACT(Table28[[#This Row],[Y X]], Table29[orig]), Table29[T-reflection])</f>
        <v>l</v>
      </c>
      <c r="DW64" t="str" cm="1">
        <f t="array" ref="DW64">_xlfn.XLOOKUP(TRUE, EXACT(Table28[[#This Row],[Z X'']], Table29[orig]), Table29[T-reflection])</f>
        <v>m</v>
      </c>
      <c r="DX64" t="str" cm="1">
        <f t="array" ref="DX64">_xlfn.XLOOKUP(TRUE, EXACT(Table28[[#This Row],[Y'' X2]], Table29[orig]), Table29[T-reflection])</f>
        <v>b</v>
      </c>
      <c r="DY64" t="str" cm="1">
        <f t="array" ref="DY64">_xlfn.XLOOKUP(TRUE, EXACT(Table28[[#This Row],[Y X2]], Table29[orig]), Table29[T-reflection])</f>
        <v>d</v>
      </c>
      <c r="DZ64" t="str" cm="1">
        <f t="array" ref="DZ64">_xlfn.XLOOKUP(TRUE, EXACT(Table28[[#This Row],[Z X2]], Table29[orig]), Table29[T-reflection])</f>
        <v>p</v>
      </c>
      <c r="EA64" t="str" cm="1">
        <f t="array" ref="EA64">_xlfn.XLOOKUP(TRUE, EXACT(Table28[[#This Row],[Z'' X2]], Table29[orig]), Table29[T-reflection])</f>
        <v>f</v>
      </c>
      <c r="EB64" t="str" cm="1">
        <f t="array" ref="EB64">_xlfn.XLOOKUP(TRUE, EXACT(Table28[[#This Row],[Z2 X]], Table29[orig]), Table29[T-reflection])</f>
        <v>s</v>
      </c>
      <c r="EC64" t="str" cm="1">
        <f t="array" ref="EC64">_xlfn.XLOOKUP(TRUE, EXACT(Table28[[#This Row],[Z2 X'']], Table29[orig]), Table29[T-reflection])</f>
        <v>i</v>
      </c>
    </row>
    <row r="65" spans="2:133" x14ac:dyDescent="0.2">
      <c r="B65" t="s">
        <v>138</v>
      </c>
      <c r="C65" t="s">
        <v>138</v>
      </c>
      <c r="D65" t="s">
        <v>44</v>
      </c>
      <c r="E65" t="s">
        <v>137</v>
      </c>
      <c r="F65" t="s">
        <v>130</v>
      </c>
      <c r="G65" t="s">
        <v>88</v>
      </c>
      <c r="H65" t="s">
        <v>36</v>
      </c>
      <c r="I65" t="s">
        <v>138</v>
      </c>
      <c r="J65" t="s">
        <v>138</v>
      </c>
      <c r="K65" t="s">
        <v>138</v>
      </c>
      <c r="L65" t="s">
        <v>138</v>
      </c>
      <c r="O65" t="s">
        <v>138</v>
      </c>
      <c r="P65" t="str">
        <f>Table27[[#This Row],[orig]]</f>
        <v>x</v>
      </c>
      <c r="Q65" t="str">
        <f>Table29[[#This Row],[X]]</f>
        <v>l</v>
      </c>
      <c r="R65" t="str" cm="1">
        <f t="array" ref="R65">_xlfn.XLOOKUP(TRUE, EXACT(Table27[[#This Row],[X]], Table27[orig]), Table27[X])</f>
        <v>d</v>
      </c>
      <c r="S65" t="str" cm="1">
        <f t="array" ref="S65">_xlfn.XLOOKUP(TRUE, EXACT(Table27[[#This Row],[X2]], Table27[orig]), Table27[X])</f>
        <v>r</v>
      </c>
      <c r="T65" t="str">
        <f>Table29[[#This Row],[Y]]</f>
        <v>w</v>
      </c>
      <c r="U65" t="str" cm="1">
        <f t="array" ref="U65">_xlfn.XLOOKUP(TRUE, EXACT(Table27[[#This Row],[Y]], Table27[orig]), Table27[Y])</f>
        <v>v</v>
      </c>
      <c r="V65" t="str" cm="1">
        <f t="array" ref="V65">_xlfn.XLOOKUP(TRUE, EXACT(Table27[[#This Row],[Y2]], Table27[orig]), Table27[Y])</f>
        <v>u</v>
      </c>
      <c r="W65" t="str">
        <f>Table29[[#This Row],[Z]]</f>
        <v>e</v>
      </c>
      <c r="X65" t="str" cm="1">
        <f t="array" ref="X65">_xlfn.XLOOKUP(TRUE, EXACT(Table27[[#This Row],[Z]], Table27[orig]), Table27[Z])</f>
        <v>b</v>
      </c>
      <c r="Y65" t="str" cm="1">
        <f t="array" ref="Y65">_xlfn.XLOOKUP(TRUE, EXACT(Table27[[#This Row],[Z2]], Table27[orig]), Table27[Z])</f>
        <v>o</v>
      </c>
      <c r="Z65" t="str">
        <f>Table29[[#This Row],[R]]</f>
        <v>x</v>
      </c>
      <c r="AA65" t="str" cm="1">
        <f t="array" ref="AA65">_xlfn.XLOOKUP(TRUE, EXACT(Table27[[#This Row],[R]], Table27[orig]), Table27[R])</f>
        <v>x</v>
      </c>
      <c r="AB65" t="str" cm="1">
        <f t="array" ref="AB65">_xlfn.XLOOKUP(TRUE, EXACT(Table27[[#This Row],[R2]], Table27[orig]), Table27[R])</f>
        <v>x</v>
      </c>
      <c r="AC65" t="str" cm="1">
        <f t="array" ref="AC65">_xlfn.XLOOKUP(TRUE, EXACT(_xlfn.XLOOKUP(TRUE, EXACT(Table27[[#This Row],[Y2]], Table27[orig]), Table27[R]), Table27[orig]), Table27[Y2])</f>
        <v>r</v>
      </c>
      <c r="AD65" t="str" cm="1">
        <f t="array" ref="AD65">_xlfn.XLOOKUP(TRUE, EXACT(Table27[[#This Row],[L]], Table27[orig]), Table27[L])</f>
        <v>d</v>
      </c>
      <c r="AE65" t="str" cm="1">
        <f t="array" ref="AE65">_xlfn.XLOOKUP(TRUE, EXACT(Table27[[#This Row],[L2]], Table27[orig]), Table27[L])</f>
        <v>l</v>
      </c>
      <c r="AF65" t="str" cm="1">
        <f t="array" ref="AF65">_xlfn.XLOOKUP(TRUE, EXACT(Table27[[#This Row],[r-lower]], Table27[orig]), Table27[R''])</f>
        <v>x</v>
      </c>
      <c r="AG65" t="str" cm="1">
        <f t="array" ref="AG65">_xlfn.XLOOKUP(TRUE, EXACT(Table27[[#This Row],[T]], Table27[orig]), Table27[T])</f>
        <v>x</v>
      </c>
      <c r="AH65" t="str" cm="1">
        <f t="array" ref="AH65">_xlfn.XLOOKUP(TRUE, EXACT(Table27[[#This Row],[T2]], Table27[orig]), Table27[T])</f>
        <v>x</v>
      </c>
      <c r="AI65" t="str" cm="1">
        <f t="array" ref="AI65">_xlfn.XLOOKUP(TRUE, EXACT(Table27[[#This Row],[X]], Table27[orig]), Table27[L])</f>
        <v>x</v>
      </c>
      <c r="AJ65" t="str" cm="1">
        <f t="array" ref="AJ65">_xlfn.XLOOKUP(TRUE, EXACT(Table27[[#This Row],[r-lower]], Table27[orig]), Table27[r-lower])</f>
        <v>x</v>
      </c>
      <c r="AK65" t="str" cm="1">
        <f t="array" ref="AK65">_xlfn.XLOOKUP(TRUE, EXACT(Table27[[#This Row],[r2-lower]], Table27[orig]), Table27[r-lower])</f>
        <v>x</v>
      </c>
      <c r="AL65" t="str" cm="1">
        <f t="array" ref="AL65">_xlfn.XLOOKUP(TRUE, EXACT(Table27[[#This Row],[X'']], Table27[orig]), Table27[R])</f>
        <v>r</v>
      </c>
      <c r="AM65" t="str" cm="1">
        <f t="array" ref="AM65">_xlfn.XLOOKUP(TRUE, EXACT(Table27[[#This Row],[l-lower]], Table27[orig]), Table27[l-lower])</f>
        <v>d</v>
      </c>
      <c r="AN65" t="str" cm="1">
        <f t="array" ref="AN65">_xlfn.XLOOKUP(TRUE, EXACT(Table27[[#This Row],[l2-lower]], Table27[orig]), Table27[l-lower])</f>
        <v>l</v>
      </c>
      <c r="AO65" t="str" cm="1">
        <f t="array" ref="AO65">_xlfn.XLOOKUP(TRUE, EXACT(Table27[[#This Row],[R]], Table27[orig]), Table27[L''])</f>
        <v>l</v>
      </c>
      <c r="AP65" t="str" cm="1">
        <f t="array" ref="AP65">_xlfn.XLOOKUP(TRUE, EXACT(Table27[[#This Row],[RL'']], Table27[orig]), Table27[RL''])</f>
        <v>d</v>
      </c>
      <c r="AQ65" t="str" cm="1">
        <f t="array" ref="AQ65">_xlfn.XLOOKUP(TRUE, EXACT(Table27[[#This Row],[R2L2]], Table27[orig]), Table27[RL''])</f>
        <v>r</v>
      </c>
      <c r="AR65" t="str">
        <f>Table29[[#This Row],[U]]</f>
        <v>x</v>
      </c>
      <c r="AS65" t="str" cm="1">
        <f t="array" ref="AS65">_xlfn.XLOOKUP(TRUE, EXACT(Table27[[#This Row],[U]], Table27[orig]), Table27[U])</f>
        <v>x</v>
      </c>
      <c r="AT65" t="str" cm="1">
        <f t="array" ref="AT65">_xlfn.XLOOKUP(TRUE, EXACT(Table27[[#This Row],[U2]], Table27[orig]), Table27[U])</f>
        <v>x</v>
      </c>
      <c r="AU65" t="str" cm="1">
        <f t="array" ref="AU65">_xlfn.XLOOKUP(TRUE, EXACT(_xlfn.XLOOKUP(TRUE, EXACT(Table27[[#This Row],[Z2]], Table27[orig]), Table27[U]), Table27[orig]), Table27[Z2])</f>
        <v>u</v>
      </c>
      <c r="AV65" t="str" cm="1">
        <f t="array" ref="AV65">_xlfn.XLOOKUP(TRUE, EXACT(Table27[[#This Row],[D]], Table27[orig]), Table27[D])</f>
        <v>v</v>
      </c>
      <c r="AW65" t="str" cm="1">
        <f t="array" ref="AW65">_xlfn.XLOOKUP(TRUE, EXACT(Table27[[#This Row],[D2]], Table27[orig]), Table27[D])</f>
        <v>w</v>
      </c>
      <c r="AX65" t="str" cm="1">
        <f t="array" ref="AX65">_xlfn.XLOOKUP(TRUE, EXACT(Table27[[#This Row],[u-lower]], Table27[orig]), Table27[U''])</f>
        <v>x</v>
      </c>
      <c r="AY65" t="str" cm="1">
        <f t="array" ref="AY65">_xlfn.XLOOKUP(TRUE, EXACT(Table27[[#This Row],[H]], Table27[orig]), Table27[H])</f>
        <v>x</v>
      </c>
      <c r="AZ65" t="str" cm="1">
        <f t="array" ref="AZ65">_xlfn.XLOOKUP(TRUE, EXACT(Table27[[#This Row],[H2]], Table27[orig]), Table27[H])</f>
        <v>x</v>
      </c>
      <c r="BA65" t="str" cm="1">
        <f t="array" ref="BA65">_xlfn.XLOOKUP(TRUE, EXACT(Table27[[#This Row],[Y]], Table27[orig]), Table27[D])</f>
        <v>x</v>
      </c>
      <c r="BB65" t="str" cm="1">
        <f t="array" ref="BB65">_xlfn.XLOOKUP(TRUE, EXACT(Table27[[#This Row],[u-lower]], Table27[orig]), Table27[u-lower])</f>
        <v>x</v>
      </c>
      <c r="BC65" t="str" cm="1">
        <f t="array" ref="BC65">_xlfn.XLOOKUP(TRUE, EXACT(Table27[[#This Row],[u2-lower]], Table27[orig]), Table27[u-lower])</f>
        <v>x</v>
      </c>
      <c r="BD65" t="str" cm="1">
        <f t="array" ref="BD65">_xlfn.XLOOKUP(TRUE, EXACT(Table27[[#This Row],[Y'']], Table27[orig]), Table27[U])</f>
        <v>u</v>
      </c>
      <c r="BE65" t="str" cm="1">
        <f t="array" ref="BE65">_xlfn.XLOOKUP(TRUE, EXACT(Table27[[#This Row],[d-lower]], Table27[orig]), Table27[d-lower])</f>
        <v>v</v>
      </c>
      <c r="BF65" t="str" cm="1">
        <f t="array" ref="BF65">_xlfn.XLOOKUP(TRUE, EXACT(Table27[[#This Row],[d2-lower]], Table27[orig]), Table27[d-lower])</f>
        <v>w</v>
      </c>
      <c r="BG65" t="str" cm="1">
        <f t="array" ref="BG65">_xlfn.XLOOKUP(TRUE, EXACT(Table27[[#This Row],[U]], Table27[orig]), Table27[D''])</f>
        <v>w</v>
      </c>
      <c r="BH65" t="str" cm="1">
        <f t="array" ref="BH65">_xlfn.XLOOKUP(TRUE, EXACT(Table27[[#This Row],[UD'']], Table27[orig]), Table27[UD''])</f>
        <v>v</v>
      </c>
      <c r="BI65" t="str" cm="1">
        <f t="array" ref="BI65">_xlfn.XLOOKUP(TRUE, EXACT(Table27[[#This Row],[U2D2]], Table27[orig]), Table27[UD''])</f>
        <v>u</v>
      </c>
      <c r="BJ65" t="str">
        <f>Table29[[#This Row],[F]]</f>
        <v>x</v>
      </c>
      <c r="BK65" t="str" cm="1">
        <f t="array" ref="BK65">_xlfn.XLOOKUP(TRUE, EXACT(Table27[[#This Row],[F]], Table27[orig]), Table27[F])</f>
        <v>x</v>
      </c>
      <c r="BL65" t="str" cm="1">
        <f t="array" ref="BL65">_xlfn.XLOOKUP(TRUE, EXACT(Table27[[#This Row],[F2]], Table27[orig]), Table27[F])</f>
        <v>x</v>
      </c>
      <c r="BM65" t="str" cm="1">
        <f t="array" ref="BM65">_xlfn.XLOOKUP(TRUE, EXACT(_xlfn.XLOOKUP(TRUE, EXACT(Table27[[#This Row],[X2]], Table27[orig]), Table27[F]), Table27[orig]), Table27[X2])</f>
        <v>x</v>
      </c>
      <c r="BN65" t="str" cm="1">
        <f t="array" ref="BN65">_xlfn.XLOOKUP(TRUE, EXACT(Table27[[#This Row],[B]], Table27[orig]), Table27[B])</f>
        <v>x</v>
      </c>
      <c r="BO65" t="str" cm="1">
        <f t="array" ref="BO65">_xlfn.XLOOKUP(TRUE, EXACT(Table27[[#This Row],[B2]], Table27[orig]), Table27[B])</f>
        <v>x</v>
      </c>
      <c r="BP65" t="str" cm="1">
        <f t="array" ref="BP65">_xlfn.XLOOKUP(TRUE, EXACT(Table27[[#This Row],[f-lower]], Table27[orig]), Table27[F''])</f>
        <v>e</v>
      </c>
      <c r="BQ65" t="str" cm="1">
        <f t="array" ref="BQ65">_xlfn.XLOOKUP(TRUE, EXACT(Table27[[#This Row],[S]], Table27[orig]), Table27[S])</f>
        <v>b</v>
      </c>
      <c r="BR65" t="str" cm="1">
        <f t="array" ref="BR65">_xlfn.XLOOKUP(TRUE, EXACT(Table27[[#This Row],[S2]], Table27[orig]), Table27[S])</f>
        <v>o</v>
      </c>
      <c r="BS65" t="str" cm="1">
        <f t="array" ref="BS65">_xlfn.XLOOKUP(TRUE, EXACT(Table27[[#This Row],[Z]], Table27[orig]), Table27[B])</f>
        <v>e</v>
      </c>
      <c r="BT65" t="str" cm="1">
        <f t="array" ref="BT65">_xlfn.XLOOKUP(TRUE, EXACT(Table27[[#This Row],[f-lower]], Table27[orig]), Table27[f-lower])</f>
        <v>b</v>
      </c>
      <c r="BU65" t="str" cm="1">
        <f t="array" ref="BU65">_xlfn.XLOOKUP(TRUE, EXACT(Table27[[#This Row],[f2-lower]], Table27[orig]), Table27[f-lower])</f>
        <v>o</v>
      </c>
      <c r="BV65" t="str" cm="1">
        <f t="array" ref="BV65">_xlfn.XLOOKUP(TRUE, EXACT(Table27[[#This Row],[Z'']], Table27[orig]), Table27[F])</f>
        <v>o</v>
      </c>
      <c r="BW65" t="str" cm="1">
        <f t="array" ref="BW65">_xlfn.XLOOKUP(TRUE, EXACT(Table27[[#This Row],[b-lower]], Table27[orig]), Table27[b-lower])</f>
        <v>b</v>
      </c>
      <c r="BX65" t="str" cm="1">
        <f t="array" ref="BX65">_xlfn.XLOOKUP(TRUE, EXACT(Table27[[#This Row],[b2-lower]], Table27[orig]), Table27[b-lower])</f>
        <v>e</v>
      </c>
      <c r="BY65" t="str" cm="1">
        <f t="array" ref="BY65">_xlfn.XLOOKUP(TRUE, EXACT(Table27[[#This Row],[F]], Table27[orig]), Table27[B''])</f>
        <v>x</v>
      </c>
      <c r="BZ65" t="str" cm="1">
        <f t="array" ref="BZ65">_xlfn.XLOOKUP(TRUE, EXACT(Table27[[#This Row],[FB'']], Table27[orig]), Table27[FB''])</f>
        <v>x</v>
      </c>
      <c r="CA65" t="str" cm="1">
        <f t="array" ref="CA65">_xlfn.XLOOKUP(TRUE, EXACT(Table27[[#This Row],[F2B2]], Table27[orig]), Table27[FB''])</f>
        <v>x</v>
      </c>
      <c r="CD65" t="s">
        <v>138</v>
      </c>
      <c r="CE65" t="str">
        <f>Table28[[#This Row],[orig]]</f>
        <v>x</v>
      </c>
      <c r="CF65" t="str">
        <f>Table29[[#This Row],[X]]</f>
        <v>l</v>
      </c>
      <c r="CG65" t="str" cm="1">
        <f t="array" ref="CG65">_xlfn.XLOOKUP(TRUE, EXACT(Table28[[#This Row],[X]], Table28[orig]), Table28[X])</f>
        <v>d</v>
      </c>
      <c r="CH65" t="str" cm="1">
        <f t="array" ref="CH65">_xlfn.XLOOKUP(TRUE, EXACT(Table28[[#This Row],[X2]], Table28[orig]), Table28[X])</f>
        <v>r</v>
      </c>
      <c r="CI65" t="str">
        <f>Table29[[#This Row],[Y]]</f>
        <v>w</v>
      </c>
      <c r="CJ65" t="str" cm="1">
        <f t="array" ref="CJ65">_xlfn.XLOOKUP(TRUE, EXACT(Table28[[#This Row],[Y]], Table28[orig]), Table28[Y])</f>
        <v>v</v>
      </c>
      <c r="CK65" t="str" cm="1">
        <f t="array" ref="CK65">_xlfn.XLOOKUP(TRUE, EXACT(Table28[[#This Row],[Y2]], Table28[orig]), Table28[Y])</f>
        <v>u</v>
      </c>
      <c r="CL65" t="str">
        <f>Table29[[#This Row],[Z]]</f>
        <v>e</v>
      </c>
      <c r="CM65" t="str" cm="1">
        <f t="array" ref="CM65">_xlfn.XLOOKUP(TRUE, EXACT(Table28[[#This Row],[Z]], Table28[orig]), Table28[Z])</f>
        <v>b</v>
      </c>
      <c r="CN65" t="str" cm="1">
        <f t="array" ref="CN65">_xlfn.XLOOKUP(TRUE, EXACT(Table28[[#This Row],[Z2]], Table28[orig]), Table28[Z])</f>
        <v>o</v>
      </c>
      <c r="CO65" t="str" cm="1">
        <f t="array" ref="CO65">_xlfn.XLOOKUP(TRUE, EXACT(Table28[[#This Row],[Z]], Table28[orig]), Table28[X])</f>
        <v>h</v>
      </c>
      <c r="CP65" t="str" cm="1">
        <f t="array" ref="CP65">_xlfn.XLOOKUP(TRUE, EXACT(Table28[[#This Row],[Y'']], Table28[orig]), Table28[X''])</f>
        <v>s</v>
      </c>
      <c r="CQ65" t="str" cm="1">
        <f t="array" ref="CQ65">_xlfn.XLOOKUP(TRUE, EXACT(Table28[[#This Row],[Y]], Table28[orig]), Table28[X''])</f>
        <v>q</v>
      </c>
      <c r="CR65" t="str" cm="1">
        <f t="array" ref="CR65">_xlfn.XLOOKUP(TRUE, EXACT(Table28[[#This Row],[Z'']], Table28[orig]), Table28[X])</f>
        <v>p</v>
      </c>
      <c r="CS65" t="str" cm="1">
        <f t="array" ref="CS65">_xlfn.XLOOKUP(TRUE, EXACT(Table28[[#This Row],[Z'']], Table28[orig]), Table28[X''])</f>
        <v>n</v>
      </c>
      <c r="CT65" t="str" cm="1">
        <f t="array" ref="CT65">_xlfn.XLOOKUP(TRUE, EXACT(Table28[[#This Row],[Y'']], Table28[orig]), Table28[X])</f>
        <v>i</v>
      </c>
      <c r="CU65" t="str" cm="1">
        <f t="array" ref="CU65">_xlfn.XLOOKUP(TRUE, EXACT(Table28[[#This Row],[Y]], Table28[orig]), Table28[X])</f>
        <v>k</v>
      </c>
      <c r="CV65" t="str" cm="1">
        <f t="array" ref="CV65">_xlfn.XLOOKUP(TRUE, EXACT(Table28[[#This Row],[Z]], Table28[orig]), Table28[X''])</f>
        <v>f</v>
      </c>
      <c r="CW65" t="str" cm="1">
        <f t="array" ref="CW65">_xlfn.XLOOKUP(TRUE, EXACT(Table28[[#This Row],[Y'']], Table28[orig]), Table28[X2])</f>
        <v>a</v>
      </c>
      <c r="CX65" t="str" cm="1">
        <f t="array" ref="CX65">_xlfn.XLOOKUP(TRUE, EXACT(Table28[[#This Row],[Y]], Table28[orig]), Table28[X2])</f>
        <v>c</v>
      </c>
      <c r="CY65" t="str" cm="1">
        <f t="array" ref="CY65">_xlfn.XLOOKUP(TRUE, EXACT(Table28[[#This Row],[Z]], Table28[orig]), Table28[X2])</f>
        <v>g</v>
      </c>
      <c r="CZ65" t="str" cm="1">
        <f t="array" ref="CZ65">_xlfn.XLOOKUP(TRUE, EXACT(Table28[[#This Row],[Z'']], Table28[orig]), Table28[X2])</f>
        <v>m</v>
      </c>
      <c r="DA65" t="str" cm="1">
        <f t="array" ref="DA65">_xlfn.XLOOKUP(TRUE, EXACT(Table28[[#This Row],[Z2]], Table28[orig]), Table28[X])</f>
        <v>t</v>
      </c>
      <c r="DB65" t="str" cm="1">
        <f t="array" ref="DB65">_xlfn.XLOOKUP(TRUE, EXACT(Table28[[#This Row],[Z2]], Table28[orig]), Table28[X''])</f>
        <v>j</v>
      </c>
      <c r="DE65" s="4" t="s">
        <v>138</v>
      </c>
      <c r="DF65" s="4" t="str" cm="1">
        <f t="array" ref="DF65">_xlfn.XLOOKUP(TRUE, EXACT(Table28[[#This Row],[I]], Table29[orig]), Table29[T-reflection])</f>
        <v>v</v>
      </c>
      <c r="DG65" s="4" t="str" cm="1">
        <f t="array" ref="DG65">_xlfn.XLOOKUP(TRUE, EXACT(Table28[[#This Row],[X]], Table29[orig]), Table29[T-reflection])</f>
        <v>j</v>
      </c>
      <c r="DH65" t="str" cm="1">
        <f t="array" ref="DH65">_xlfn.XLOOKUP(TRUE, EXACT(Table28[[#This Row],[X2]], Table29[orig]), Table29[T-reflection])</f>
        <v>b</v>
      </c>
      <c r="DI65" t="str" cm="1">
        <f t="array" ref="DI65">_xlfn.XLOOKUP(TRUE, EXACT(Table28[[#This Row],[X'']], Table29[orig]), Table29[T-reflection])</f>
        <v>t</v>
      </c>
      <c r="DJ65" s="4" t="str" cm="1">
        <f t="array" ref="DJ65">_xlfn.XLOOKUP(TRUE, EXACT(Table28[[#This Row],[Y]], Table29[orig]), Table29[T-reflection])</f>
        <v>w</v>
      </c>
      <c r="DK65" t="str" cm="1">
        <f t="array" ref="DK65">_xlfn.XLOOKUP(TRUE, EXACT(Table28[[#This Row],[Y2]], Table29[orig]), Table29[T-reflection])</f>
        <v>x</v>
      </c>
      <c r="DL65" t="str" cm="1">
        <f t="array" ref="DL65">_xlfn.XLOOKUP(TRUE, EXACT(Table28[[#This Row],[Y'']], Table29[orig]), Table29[T-reflection])</f>
        <v>u</v>
      </c>
      <c r="DM65" s="4" t="str" cm="1">
        <f t="array" ref="DM65">_xlfn.XLOOKUP(TRUE, EXACT(Table28[[#This Row],[Z]], Table29[orig]), Table29[T-reflection])</f>
        <v>m</v>
      </c>
      <c r="DN65" t="str" cm="1">
        <f t="array" ref="DN65">_xlfn.XLOOKUP(TRUE, EXACT(Table28[[#This Row],[Z2]], Table29[orig]), Table29[T-reflection])</f>
        <v>d</v>
      </c>
      <c r="DO65" t="str" cm="1">
        <f t="array" ref="DO65">_xlfn.XLOOKUP(TRUE, EXACT(Table28[[#This Row],[Z'']], Table29[orig]), Table29[T-reflection])</f>
        <v>g</v>
      </c>
      <c r="DP65" t="str" cm="1">
        <f t="array" ref="DP65">_xlfn.XLOOKUP(TRUE, EXACT(Table28[[#This Row],[Z X]], Table29[orig]), Table29[T-reflection])</f>
        <v>n</v>
      </c>
      <c r="DQ65" t="str" cm="1">
        <f t="array" ref="DQ65">_xlfn.XLOOKUP(TRUE, EXACT(Table28[[#This Row],[Y'' X'']], Table29[orig]), Table29[T-reflection])</f>
        <v>s</v>
      </c>
      <c r="DR65" t="str" cm="1">
        <f t="array" ref="DR65">_xlfn.XLOOKUP(TRUE, EXACT(Table28[[#This Row],[Y X'']], Table29[orig]), Table29[T-reflection])</f>
        <v>q</v>
      </c>
      <c r="DS65" t="str" cm="1">
        <f t="array" ref="DS65">_xlfn.XLOOKUP(TRUE, EXACT(Table28[[#This Row],[Z'' X]], Table29[orig]), Table29[T-reflection])</f>
        <v>f</v>
      </c>
      <c r="DT65" t="str" cm="1">
        <f t="array" ref="DT65">_xlfn.XLOOKUP(TRUE, EXACT(Table28[[#This Row],[Z'' X'']], Table29[orig]), Table29[T-reflection])</f>
        <v>h</v>
      </c>
      <c r="DU65" t="str" cm="1">
        <f t="array" ref="DU65">_xlfn.XLOOKUP(TRUE, EXACT(Table28[[#This Row],[Y'' X]], Table29[orig]), Table29[T-reflection])</f>
        <v>i</v>
      </c>
      <c r="DV65" t="str" cm="1">
        <f t="array" ref="DV65">_xlfn.XLOOKUP(TRUE, EXACT(Table28[[#This Row],[Y X]], Table29[orig]), Table29[T-reflection])</f>
        <v>k</v>
      </c>
      <c r="DW65" t="str" cm="1">
        <f t="array" ref="DW65">_xlfn.XLOOKUP(TRUE, EXACT(Table28[[#This Row],[Z X'']], Table29[orig]), Table29[T-reflection])</f>
        <v>p</v>
      </c>
      <c r="DX65" t="str" cm="1">
        <f t="array" ref="DX65">_xlfn.XLOOKUP(TRUE, EXACT(Table28[[#This Row],[Y'' X2]], Table29[orig]), Table29[T-reflection])</f>
        <v>a</v>
      </c>
      <c r="DY65" t="str" cm="1">
        <f t="array" ref="DY65">_xlfn.XLOOKUP(TRUE, EXACT(Table28[[#This Row],[Y X2]], Table29[orig]), Table29[T-reflection])</f>
        <v>c</v>
      </c>
      <c r="DZ65" t="str" cm="1">
        <f t="array" ref="DZ65">_xlfn.XLOOKUP(TRUE, EXACT(Table28[[#This Row],[Z X2]], Table29[orig]), Table29[T-reflection])</f>
        <v>o</v>
      </c>
      <c r="EA65" t="str" cm="1">
        <f t="array" ref="EA65">_xlfn.XLOOKUP(TRUE, EXACT(Table28[[#This Row],[Z'' X2]], Table29[orig]), Table29[T-reflection])</f>
        <v>e</v>
      </c>
      <c r="EB65" t="str" cm="1">
        <f t="array" ref="EB65">_xlfn.XLOOKUP(TRUE, EXACT(Table28[[#This Row],[Z2 X]], Table29[orig]), Table29[T-reflection])</f>
        <v>r</v>
      </c>
      <c r="EC65" t="str" cm="1">
        <f t="array" ref="EC65">_xlfn.XLOOKUP(TRUE, EXACT(Table28[[#This Row],[Z2 X'']], Table29[orig]), Table29[T-reflection])</f>
        <v>l</v>
      </c>
    </row>
    <row r="68" spans="2:133" ht="16" thickBot="1" x14ac:dyDescent="0.25"/>
    <row r="69" spans="2:133" ht="16" thickTop="1" x14ac:dyDescent="0.2">
      <c r="B69" s="12" t="s">
        <v>156</v>
      </c>
      <c r="C69" s="13"/>
      <c r="D69" s="13"/>
      <c r="E69" s="13"/>
      <c r="F69" s="13"/>
      <c r="G69" s="13"/>
      <c r="H69" s="13"/>
      <c r="I69" s="14"/>
    </row>
    <row r="70" spans="2:133" x14ac:dyDescent="0.2">
      <c r="B70" s="15" t="s">
        <v>158</v>
      </c>
      <c r="I70" s="16"/>
    </row>
    <row r="71" spans="2:133" x14ac:dyDescent="0.2">
      <c r="B71" s="15" t="s">
        <v>159</v>
      </c>
      <c r="I71" s="16"/>
    </row>
    <row r="72" spans="2:133" x14ac:dyDescent="0.2">
      <c r="B72" s="17"/>
      <c r="I72" s="16"/>
    </row>
    <row r="73" spans="2:133" x14ac:dyDescent="0.2">
      <c r="B73" s="15" t="s">
        <v>154</v>
      </c>
      <c r="C73" t="s">
        <v>124</v>
      </c>
      <c r="E73" s="1" t="s">
        <v>157</v>
      </c>
      <c r="F73" t="s">
        <v>134</v>
      </c>
      <c r="H73" s="1" t="s">
        <v>155</v>
      </c>
      <c r="I73" s="16" t="s">
        <v>34</v>
      </c>
    </row>
    <row r="74" spans="2:133" x14ac:dyDescent="0.2">
      <c r="B74" s="18" t="s">
        <v>66</v>
      </c>
      <c r="C74" t="str" cm="1">
        <f t="array" ref="C74">_xlfn.XLOOKUP(TRUE, EXACT(C73, Table27[orig]), Table27[D2])</f>
        <v>green</v>
      </c>
      <c r="E74" s="10" t="s">
        <v>3</v>
      </c>
      <c r="F74" t="str" cm="1">
        <f t="array" ref="F74">_xlfn.XLOOKUP(TRUE, EXACT(F73, Table28[orig]), Table28[Y])</f>
        <v>k</v>
      </c>
      <c r="H74" s="11" t="s">
        <v>18</v>
      </c>
      <c r="I74" s="16" t="str" cm="1">
        <f t="array" ref="I74">_xlfn.XLOOKUP(TRUE, EXACT(I73, Table30[orig]), Table30[Y'' T-reflection])</f>
        <v>a</v>
      </c>
    </row>
    <row r="75" spans="2:133" x14ac:dyDescent="0.2">
      <c r="B75" s="18" t="s">
        <v>106</v>
      </c>
      <c r="C75" t="str" cm="1">
        <f t="array" ref="C75">_xlfn.XLOOKUP(TRUE, EXACT(C74, Table27[orig]), Table27[l2-lower])</f>
        <v>green</v>
      </c>
      <c r="E75" s="10" t="s">
        <v>92</v>
      </c>
      <c r="F75" t="str" cm="1">
        <f t="array" ref="F75">_xlfn.XLOOKUP(TRUE, EXACT(F74, Table28[orig]), Table28[Z X])</f>
        <v>d</v>
      </c>
      <c r="H75" s="11" t="s">
        <v>19</v>
      </c>
      <c r="I75" s="16" t="str" cm="1">
        <f t="array" ref="I75">_xlfn.XLOOKUP(TRUE, EXACT(I74, Table30[orig]), Table30[Y2 T-reflection])</f>
        <v>c</v>
      </c>
    </row>
    <row r="76" spans="2:133" x14ac:dyDescent="0.2">
      <c r="B76" s="18" t="s">
        <v>104</v>
      </c>
      <c r="C76" t="str" cm="1">
        <f t="array" ref="C76">_xlfn.XLOOKUP(TRUE, EXACT(C75, Table27[orig]), Table27[r''-lower])</f>
        <v>green</v>
      </c>
      <c r="E76" s="10" t="s">
        <v>93</v>
      </c>
      <c r="F76" t="str" cm="1">
        <f t="array" ref="F76">_xlfn.XLOOKUP(TRUE, EXACT(F75, Table28[orig]), Table28[Y X''])</f>
        <v>i</v>
      </c>
      <c r="H76" s="11" t="s">
        <v>16</v>
      </c>
      <c r="I76" s="16" t="str" cm="1">
        <f t="array" ref="I76">_xlfn.XLOOKUP(TRUE, EXACT(I75, Table30[orig]), Table30[X2 T-reflection])</f>
        <v>w</v>
      </c>
    </row>
    <row r="77" spans="2:133" x14ac:dyDescent="0.2">
      <c r="B77" s="18" t="s">
        <v>85</v>
      </c>
      <c r="C77" t="str" cm="1">
        <f t="array" ref="C77">_xlfn.XLOOKUP(TRUE, EXACT(C76, Table27[orig]), Table27[UD''])</f>
        <v>green</v>
      </c>
      <c r="E77" s="10" t="s">
        <v>4</v>
      </c>
      <c r="F77" t="str" cm="1">
        <f t="array" ref="F77">_xlfn.XLOOKUP(TRUE, EXACT(F76, Table28[orig]), Table28[Y''])</f>
        <v>m</v>
      </c>
      <c r="H77" s="11" t="s">
        <v>22</v>
      </c>
      <c r="I77" s="16" t="str" cm="1">
        <f t="array" ref="I77">_xlfn.XLOOKUP(TRUE, EXACT(I76, Table30[orig]), Table30[Z2 T-reflection])</f>
        <v>a</v>
      </c>
    </row>
    <row r="78" spans="2:133" x14ac:dyDescent="0.2">
      <c r="B78" s="18" t="s">
        <v>45</v>
      </c>
      <c r="C78" t="str" cm="1">
        <f t="array" ref="C78">_xlfn.XLOOKUP(TRUE, EXACT(C77, Table27[orig]), Table27[F])</f>
        <v>green</v>
      </c>
      <c r="E78" s="10" t="s">
        <v>94</v>
      </c>
      <c r="F78" t="str" cm="1">
        <f t="array" ref="F78">_xlfn.XLOOKUP(TRUE, EXACT(F77, Table28[orig]), Table28[Z'' X])</f>
        <v>r</v>
      </c>
      <c r="H78" s="11" t="s">
        <v>24</v>
      </c>
      <c r="I78" s="16" t="str" cm="1">
        <f t="array" ref="I78">_xlfn.XLOOKUP(TRUE, EXACT(I77, Table30[orig]), Table30[Y'' X T-reflection])</f>
        <v>t</v>
      </c>
    </row>
    <row r="79" spans="2:133" x14ac:dyDescent="0.2">
      <c r="B79" s="18" t="s">
        <v>139</v>
      </c>
      <c r="C79" t="str" cm="1">
        <f t="array" ref="C79">_xlfn.XLOOKUP(TRUE, EXACT(C78, Table27[orig]), Table27[b''-lower])</f>
        <v>white</v>
      </c>
      <c r="E79" s="10" t="s">
        <v>10</v>
      </c>
      <c r="F79" t="str" cm="1">
        <f t="array" ref="F79">_xlfn.XLOOKUP(TRUE, EXACT(F78, Table28[orig]), Table28[Y'' X])</f>
        <v>e</v>
      </c>
      <c r="H79" s="11" t="s">
        <v>17</v>
      </c>
      <c r="I79" s="16" t="str" cm="1">
        <f t="array" ref="I79">_xlfn.XLOOKUP(TRUE, EXACT(I78, Table30[orig]), Table30[Y T-reflection])</f>
        <v>f</v>
      </c>
    </row>
    <row r="80" spans="2:133" x14ac:dyDescent="0.2">
      <c r="B80" s="18" t="s">
        <v>89</v>
      </c>
      <c r="C80" t="str" cm="1">
        <f t="array" ref="C80">_xlfn.XLOOKUP(TRUE, EXACT(C79, Table27[orig]), Table27[U2D2])</f>
        <v>white</v>
      </c>
      <c r="E80" s="10" t="s">
        <v>96</v>
      </c>
      <c r="F80" t="str" cm="1">
        <f t="array" ref="F80">_xlfn.XLOOKUP(TRUE, EXACT(F79, Table28[orig]), Table28[Y X])</f>
        <v>w</v>
      </c>
      <c r="H80" s="11" t="s">
        <v>20</v>
      </c>
      <c r="I80" s="16" t="str" cm="1">
        <f t="array" ref="I80">_xlfn.XLOOKUP(TRUE, EXACT(I79, Table30[orig]), Table30[Z T-reflection])</f>
        <v>c</v>
      </c>
    </row>
    <row r="81" spans="2:9" x14ac:dyDescent="0.2">
      <c r="B81" s="18" t="s">
        <v>111</v>
      </c>
      <c r="C81" t="str" cm="1">
        <f t="array" ref="C81">_xlfn.XLOOKUP(TRUE, EXACT(C80, Table27[orig]), Table27[d-lower])</f>
        <v>white</v>
      </c>
      <c r="E81" s="10" t="s">
        <v>97</v>
      </c>
      <c r="F81" t="str" cm="1">
        <f t="array" ref="F81">_xlfn.XLOOKUP(TRUE, EXACT(F80, Table28[orig]), Table28[Z X''])</f>
        <v>e</v>
      </c>
      <c r="H81" s="11" t="s">
        <v>26</v>
      </c>
      <c r="I81" s="16" t="str" cm="1">
        <f t="array" ref="I81">_xlfn.XLOOKUP(TRUE, EXACT(I80, Table30[orig]), Table30[Z2 X'' T-reflection])</f>
        <v>s</v>
      </c>
    </row>
    <row r="82" spans="2:9" x14ac:dyDescent="0.2">
      <c r="B82" s="18" t="s">
        <v>107</v>
      </c>
      <c r="C82" t="str" cm="1">
        <f t="array" ref="C82">_xlfn.XLOOKUP(TRUE, EXACT(C81, Table27[orig]), Table27[l''-lower])</f>
        <v>orange</v>
      </c>
      <c r="E82" s="10" t="s">
        <v>98</v>
      </c>
      <c r="F82" t="str" cm="1">
        <f t="array" ref="F82">_xlfn.XLOOKUP(TRUE, EXACT(F81, Table28[orig]), Table28[Y'' X2])</f>
        <v>s</v>
      </c>
      <c r="H82" s="11" t="s">
        <v>144</v>
      </c>
      <c r="I82" s="16" t="str" cm="1">
        <f t="array" ref="I82">_xlfn.XLOOKUP(TRUE, EXACT(I81, Table30[orig]), Table30[Y X'' T-reflection])</f>
        <v>h</v>
      </c>
    </row>
    <row r="83" spans="2:9" x14ac:dyDescent="0.2">
      <c r="B83" s="18" t="s">
        <v>54</v>
      </c>
      <c r="C83" t="str" cm="1">
        <f t="array" ref="C83">_xlfn.XLOOKUP(TRUE, EXACT(C82, Table27[orig]), Table27[U])</f>
        <v>orange</v>
      </c>
      <c r="E83" s="10" t="s">
        <v>1</v>
      </c>
      <c r="F83" t="str" cm="1">
        <f t="array" ref="F83">_xlfn.XLOOKUP(TRUE, EXACT(F82, Table28[orig]), Table28[X''])</f>
        <v>a</v>
      </c>
      <c r="H83" s="11" t="s">
        <v>147</v>
      </c>
      <c r="I83" s="16" t="str" cm="1">
        <f t="array" ref="I83">_xlfn.XLOOKUP(TRUE, EXACT(I82, Table30[orig]), Table30[Y X T-reflection])</f>
        <v>x</v>
      </c>
    </row>
    <row r="84" spans="2:9" x14ac:dyDescent="0.2">
      <c r="B84" s="18" t="s">
        <v>117</v>
      </c>
      <c r="C84" t="str" cm="1">
        <f t="array" ref="C84">_xlfn.XLOOKUP(TRUE, EXACT(C83, Table27[orig]), Table27[b-lower])</f>
        <v>orange</v>
      </c>
      <c r="E84" s="10" t="s">
        <v>0</v>
      </c>
      <c r="F84" t="str" cm="1">
        <f t="array" ref="F84">_xlfn.XLOOKUP(TRUE, EXACT(F83, Table28[orig]), Table28[X])</f>
        <v>s</v>
      </c>
      <c r="H84" s="11" t="s">
        <v>152</v>
      </c>
      <c r="I84" s="16" t="str" cm="1">
        <f t="array" ref="I84">_xlfn.XLOOKUP(TRUE, EXACT(I83, Table30[orig]), Table30[Z'' X2 T-reflection])</f>
        <v>e</v>
      </c>
    </row>
    <row r="85" spans="2:9" x14ac:dyDescent="0.2">
      <c r="B85" s="18" t="s">
        <v>1</v>
      </c>
      <c r="C85" t="str" cm="1">
        <f t="array" ref="C85">_xlfn.XLOOKUP(TRUE, EXACT(C84, Table27[orig]), Table27[X''])</f>
        <v>white</v>
      </c>
      <c r="E85" s="10" t="s">
        <v>100</v>
      </c>
      <c r="F85" t="str" cm="1">
        <f t="array" ref="F85">_xlfn.XLOOKUP(TRUE, EXACT(F84, Table28[orig]), Table28[Z X2])</f>
        <v>l</v>
      </c>
      <c r="H85" s="11" t="s">
        <v>23</v>
      </c>
      <c r="I85" s="16" t="str" cm="1">
        <f t="array" ref="I85">_xlfn.XLOOKUP(TRUE, EXACT(I84, Table30[orig]), Table30[Y'' X'' T-reflection])</f>
        <v>u</v>
      </c>
    </row>
    <row r="86" spans="2:9" x14ac:dyDescent="0.2">
      <c r="B86" s="18" t="s">
        <v>4</v>
      </c>
      <c r="C86" t="str" cm="1">
        <f t="array" ref="C86">_xlfn.XLOOKUP(TRUE, EXACT(C85, Table27[orig]), Table27[Y''])</f>
        <v>white</v>
      </c>
      <c r="E86" s="10" t="s">
        <v>7</v>
      </c>
      <c r="F86" t="str" cm="1">
        <f t="array" ref="F86">_xlfn.XLOOKUP(TRUE, EXACT(F85, Table28[orig]), Table28[Z''])</f>
        <v>k</v>
      </c>
      <c r="H86" s="11" t="s">
        <v>146</v>
      </c>
      <c r="I86" s="16" t="str" cm="1">
        <f t="array" ref="I86">_xlfn.XLOOKUP(TRUE, EXACT(I85, Table30[orig]), Table30[Z'' X'' T-reflection])</f>
        <v>g</v>
      </c>
    </row>
    <row r="87" spans="2:9" x14ac:dyDescent="0.2">
      <c r="B87" s="18" t="s">
        <v>27</v>
      </c>
      <c r="C87" t="str" cm="1">
        <f t="array" ref="C87">_xlfn.XLOOKUP(TRUE, EXACT(C86, Table27[orig]), Table27[R])</f>
        <v>white</v>
      </c>
      <c r="E87" s="10" t="s">
        <v>11</v>
      </c>
      <c r="F87" t="str" cm="1">
        <f t="array" ref="F87">_xlfn.XLOOKUP(TRUE, EXACT(F86, Table28[orig]), Table28[Z2 X])</f>
        <v>a</v>
      </c>
      <c r="H87" s="11" t="s">
        <v>143</v>
      </c>
      <c r="I87" s="16" t="str" cm="1">
        <f t="array" ref="I87">_xlfn.XLOOKUP(TRUE, EXACT(I86, Table30[orig]), Table30[Z X T-reflection])</f>
        <v>t</v>
      </c>
    </row>
    <row r="88" spans="2:9" x14ac:dyDescent="0.2">
      <c r="B88" s="18" t="s">
        <v>108</v>
      </c>
      <c r="C88" t="str" cm="1">
        <f t="array" ref="C88">_xlfn.XLOOKUP(TRUE, EXACT(C87, Table27[orig]), Table27[u-lower])</f>
        <v>white</v>
      </c>
      <c r="E88" s="10" t="s">
        <v>9</v>
      </c>
      <c r="F88" t="str" cm="1">
        <f t="array" ref="F88">_xlfn.XLOOKUP(TRUE, EXACT(F87, Table28[orig]), Table28[Y'' X''])</f>
        <v>l</v>
      </c>
      <c r="H88" s="11" t="s">
        <v>15</v>
      </c>
      <c r="I88" s="16" t="str" cm="1">
        <f t="array" ref="I88">_xlfn.XLOOKUP(TRUE, EXACT(I87, Table30[orig]), Table30[X'' T-reflection])</f>
        <v>d</v>
      </c>
    </row>
    <row r="89" spans="2:9" x14ac:dyDescent="0.2">
      <c r="B89" s="18" t="s">
        <v>40</v>
      </c>
      <c r="C89" t="str" cm="1">
        <f t="array" ref="C89">_xlfn.XLOOKUP(TRUE, EXACT(C88, Table27[orig]), Table27[D])</f>
        <v>white</v>
      </c>
      <c r="E89" s="10" t="s">
        <v>8</v>
      </c>
      <c r="F89" t="str" cm="1">
        <f t="array" ref="F89">_xlfn.XLOOKUP(TRUE, EXACT(F88, Table28[orig]), Table28[Z2])</f>
        <v>j</v>
      </c>
      <c r="H89" s="11" t="s">
        <v>14</v>
      </c>
      <c r="I89" s="16" t="str" cm="1">
        <f t="array" ref="I89">_xlfn.XLOOKUP(TRUE, EXACT(I88, Table30[orig]), Table30[X T-reflection])</f>
        <v>t</v>
      </c>
    </row>
    <row r="90" spans="2:9" x14ac:dyDescent="0.2">
      <c r="B90" s="18" t="s">
        <v>62</v>
      </c>
      <c r="C90" t="str" cm="1">
        <f t="array" ref="C90">_xlfn.XLOOKUP(TRUE, EXACT(C89, Table27[orig]), Table27[B''])</f>
        <v>white</v>
      </c>
      <c r="E90" s="10" t="s">
        <v>5</v>
      </c>
      <c r="F90" t="str" cm="1">
        <f t="array" ref="F90">_xlfn.XLOOKUP(TRUE, EXACT(F89, Table28[orig]), Table28[Y2])</f>
        <v>r</v>
      </c>
      <c r="H90" s="11" t="s">
        <v>148</v>
      </c>
      <c r="I90" s="16" t="str" cm="1">
        <f t="array" ref="I90">_xlfn.XLOOKUP(TRUE, EXACT(I89, Table30[orig]), Table30[Z X'' T-reflection])</f>
        <v>a</v>
      </c>
    </row>
    <row r="91" spans="2:9" x14ac:dyDescent="0.2">
      <c r="B91" s="18" t="s">
        <v>49</v>
      </c>
      <c r="C91" t="str" cm="1">
        <f t="array" ref="C91">_xlfn.XLOOKUP(TRUE, EXACT(C90, Table27[orig]), Table27[T''])</f>
        <v>red</v>
      </c>
      <c r="E91" s="10" t="s">
        <v>101</v>
      </c>
      <c r="F91" t="str" cm="1">
        <f t="array" ref="F91">_xlfn.XLOOKUP(TRUE, EXACT(F90, Table28[orig]), Table28[Z'' X2])</f>
        <v>i</v>
      </c>
      <c r="H91" s="11" t="s">
        <v>25</v>
      </c>
      <c r="I91" s="16" t="str" cm="1">
        <f t="array" ref="I91">_xlfn.XLOOKUP(TRUE, EXACT(I90, Table30[orig]), Table30[Z2 X T-reflection])</f>
        <v>k</v>
      </c>
    </row>
    <row r="92" spans="2:9" x14ac:dyDescent="0.2">
      <c r="B92" s="18" t="s">
        <v>56</v>
      </c>
      <c r="C92" t="str" cm="1">
        <f t="array" ref="C92">_xlfn.XLOOKUP(TRUE, EXACT(C91, Table27[orig]), Table27[D''])</f>
        <v>red</v>
      </c>
      <c r="E92" s="10" t="s">
        <v>95</v>
      </c>
      <c r="F92" t="str" cm="1">
        <f t="array" ref="F92">_xlfn.XLOOKUP(TRUE, EXACT(F91, Table28[orig]), Table28[Z'' X''])</f>
        <v>x</v>
      </c>
      <c r="H92" s="11" t="s">
        <v>145</v>
      </c>
      <c r="I92" s="16" t="str" cm="1">
        <f t="array" ref="I92">_xlfn.XLOOKUP(TRUE, EXACT(I91, Table30[orig]), Table30[Z'' X T-reflection])</f>
        <v>d</v>
      </c>
    </row>
    <row r="93" spans="2:9" x14ac:dyDescent="0.2">
      <c r="B93" s="18" t="s">
        <v>110</v>
      </c>
      <c r="C93" t="str" cm="1">
        <f t="array" ref="C93">_xlfn.XLOOKUP(TRUE, EXACT(C92, Table27[orig]), Table27[u''-lower])</f>
        <v>blue</v>
      </c>
      <c r="E93" s="10" t="s">
        <v>6</v>
      </c>
      <c r="F93" t="str" cm="1">
        <f t="array" ref="F93">_xlfn.XLOOKUP(TRUE, EXACT(F92, Table28[orig]), Table28[Z])</f>
        <v>e</v>
      </c>
      <c r="H93" s="11" t="s">
        <v>149</v>
      </c>
      <c r="I93" s="16" t="str" cm="1">
        <f t="array" ref="I93">_xlfn.XLOOKUP(TRUE, EXACT(I92, Table30[orig]), Table30[Y'' X2 T-reflection])</f>
        <v>w</v>
      </c>
    </row>
    <row r="94" spans="2:9" x14ac:dyDescent="0.2">
      <c r="B94" s="18" t="s">
        <v>70</v>
      </c>
      <c r="C94" t="str" cm="1">
        <f t="array" ref="C94">_xlfn.XLOOKUP(TRUE, EXACT(C93, Table27[orig]), Table27[R2L2])</f>
        <v>blue</v>
      </c>
      <c r="E94" s="10" t="s">
        <v>2</v>
      </c>
      <c r="F94" t="str" cm="1">
        <f t="array" ref="F94">_xlfn.XLOOKUP(TRUE, EXACT(F93, Table28[orig]), Table28[X2])</f>
        <v>g</v>
      </c>
      <c r="H94" s="11" t="s">
        <v>150</v>
      </c>
      <c r="I94" s="16" t="str" cm="1">
        <f t="array" ref="I94">_xlfn.XLOOKUP(TRUE, EXACT(I93, Table30[orig]), Table30[Y X2 T-reflection])</f>
        <v>d</v>
      </c>
    </row>
    <row r="95" spans="2:9" x14ac:dyDescent="0.2">
      <c r="B95" s="18" t="s">
        <v>75</v>
      </c>
      <c r="C95" t="str" cm="1">
        <f t="array" ref="C95">_xlfn.XLOOKUP(TRUE, EXACT(C94, Table27[orig]), Table27[B2])</f>
        <v>blue</v>
      </c>
      <c r="E95" s="10" t="s">
        <v>99</v>
      </c>
      <c r="F95" t="str" cm="1">
        <f t="array" ref="F95">_xlfn.XLOOKUP(TRUE, EXACT(F94, Table28[orig]), Table28[Y X2])</f>
        <v>i</v>
      </c>
      <c r="H95" s="11" t="s">
        <v>21</v>
      </c>
      <c r="I95" s="16" t="str" cm="1">
        <f t="array" ref="I95">_xlfn.XLOOKUP(TRUE, EXACT(I94, Table30[orig]), Table30[Z'' T-reflection])</f>
        <v>o</v>
      </c>
    </row>
    <row r="96" spans="2:9" x14ac:dyDescent="0.2">
      <c r="B96" s="18" t="s">
        <v>83</v>
      </c>
      <c r="C96" t="str" cm="1">
        <f t="array" ref="C96">_xlfn.XLOOKUP(TRUE, EXACT(C95, Table27[orig]), Table27[F2B2])</f>
        <v>blue</v>
      </c>
      <c r="E96" s="10" t="s">
        <v>12</v>
      </c>
      <c r="F96" s="3" t="str" cm="1">
        <f t="array" ref="F96">_xlfn.XLOOKUP(TRUE, EXACT(F95, Table28[orig]), Table28[Z2 X''])</f>
        <v>w</v>
      </c>
      <c r="H96" s="11" t="s">
        <v>151</v>
      </c>
      <c r="I96" s="19" t="str" cm="1">
        <f t="array" ref="I96">_xlfn.XLOOKUP(TRUE, EXACT(I95, Table30[orig]), Table30[Z X2 T-reflection])</f>
        <v>b</v>
      </c>
    </row>
    <row r="97" spans="2:9" x14ac:dyDescent="0.2">
      <c r="B97" s="18" t="s">
        <v>6</v>
      </c>
      <c r="C97" t="str" cm="1">
        <f t="array" ref="C97">_xlfn.XLOOKUP(TRUE, EXACT(C96, Table27[orig]), Table27[Z])</f>
        <v>yellow</v>
      </c>
      <c r="I97" s="16"/>
    </row>
    <row r="98" spans="2:9" x14ac:dyDescent="0.2">
      <c r="B98" s="18" t="s">
        <v>2</v>
      </c>
      <c r="C98" t="str" cm="1">
        <f t="array" ref="C98">_xlfn.XLOOKUP(TRUE, EXACT(C97, Table27[orig]), Table27[X2])</f>
        <v>white</v>
      </c>
      <c r="I98" s="16"/>
    </row>
    <row r="99" spans="2:9" x14ac:dyDescent="0.2">
      <c r="B99" s="18" t="s">
        <v>29</v>
      </c>
      <c r="C99" t="str" cm="1">
        <f t="array" ref="C99">_xlfn.XLOOKUP(TRUE, EXACT(C98, Table27[orig]), Table27[R''])</f>
        <v>white</v>
      </c>
      <c r="I99" s="16"/>
    </row>
    <row r="100" spans="2:9" x14ac:dyDescent="0.2">
      <c r="B100" s="18" t="s">
        <v>72</v>
      </c>
      <c r="C100" t="str" cm="1">
        <f t="array" ref="C100">_xlfn.XLOOKUP(TRUE, EXACT(C99, Table27[orig]), Table27[H2])</f>
        <v>white</v>
      </c>
      <c r="I100" s="16"/>
    </row>
    <row r="101" spans="2:9" x14ac:dyDescent="0.2">
      <c r="B101" s="18" t="s">
        <v>102</v>
      </c>
      <c r="C101" t="str" cm="1">
        <f t="array" ref="C101">_xlfn.XLOOKUP(TRUE, EXACT(C100, Table27[orig]), Table27[r-lower])</f>
        <v>orange</v>
      </c>
      <c r="I101" s="16"/>
    </row>
    <row r="102" spans="2:9" x14ac:dyDescent="0.2">
      <c r="B102" s="18" t="s">
        <v>48</v>
      </c>
      <c r="C102" t="str" cm="1">
        <f t="array" ref="C102">_xlfn.XLOOKUP(TRUE, EXACT(C101, Table27[orig]), Table27[T])</f>
        <v>yellow</v>
      </c>
      <c r="I102" s="16"/>
    </row>
    <row r="103" spans="2:9" x14ac:dyDescent="0.2">
      <c r="B103" s="18" t="s">
        <v>65</v>
      </c>
      <c r="C103" t="str" cm="1">
        <f t="array" ref="C103">_xlfn.XLOOKUP(TRUE, EXACT(C102, Table27[orig]), Table27[F2])</f>
        <v>yellow</v>
      </c>
      <c r="I103" s="16"/>
    </row>
    <row r="104" spans="2:9" x14ac:dyDescent="0.2">
      <c r="B104" s="18" t="s">
        <v>114</v>
      </c>
      <c r="C104" t="str" cm="1">
        <f t="array" ref="C104">_xlfn.XLOOKUP(TRUE, EXACT(C103, Table27[orig]), Table27[f-lower])</f>
        <v>green</v>
      </c>
      <c r="I104" s="16"/>
    </row>
    <row r="105" spans="2:9" x14ac:dyDescent="0.2">
      <c r="B105" s="18" t="s">
        <v>31</v>
      </c>
      <c r="C105" t="str" cm="1">
        <f t="array" ref="C105">_xlfn.XLOOKUP(TRUE, EXACT(C104, Table27[orig]), Table27[R2])</f>
        <v>green</v>
      </c>
      <c r="I105" s="16"/>
    </row>
    <row r="106" spans="2:9" x14ac:dyDescent="0.2">
      <c r="B106" s="18" t="s">
        <v>5</v>
      </c>
      <c r="C106" t="str" cm="1">
        <f t="array" ref="C106">_xlfn.XLOOKUP(TRUE, EXACT(C105, Table27[orig]), Table27[Y2])</f>
        <v>blue</v>
      </c>
      <c r="I106" s="16"/>
    </row>
    <row r="107" spans="2:9" x14ac:dyDescent="0.2">
      <c r="B107" s="18" t="s">
        <v>82</v>
      </c>
      <c r="C107" t="str" cm="1">
        <f t="array" ref="C107">_xlfn.XLOOKUP(TRUE, EXACT(C106, Table27[orig]), Table27[FB''])</f>
        <v>blue</v>
      </c>
      <c r="I107" s="16"/>
    </row>
    <row r="108" spans="2:9" x14ac:dyDescent="0.2">
      <c r="B108" s="18" t="s">
        <v>8</v>
      </c>
      <c r="C108" t="str" cm="1">
        <f t="array" ref="C108">_xlfn.XLOOKUP(TRUE, EXACT(C107, Table27[orig]), Table27[Z2])</f>
        <v>green</v>
      </c>
      <c r="I108" s="16"/>
    </row>
    <row r="109" spans="2:9" x14ac:dyDescent="0.2">
      <c r="B109" s="18" t="s">
        <v>109</v>
      </c>
      <c r="C109" t="str" cm="1">
        <f t="array" ref="C109">_xlfn.XLOOKUP(TRUE, EXACT(C108, Table27[orig]), Table27[u2-lower])</f>
        <v>blue</v>
      </c>
      <c r="I109" s="16"/>
    </row>
    <row r="110" spans="2:9" x14ac:dyDescent="0.2">
      <c r="B110" s="18" t="s">
        <v>51</v>
      </c>
      <c r="C110" t="str" cm="1">
        <f t="array" ref="C110">_xlfn.XLOOKUP(TRUE, EXACT(C109, Table27[orig]), Table27[S])</f>
        <v>yellow</v>
      </c>
      <c r="I110" s="16"/>
    </row>
    <row r="111" spans="2:9" x14ac:dyDescent="0.2">
      <c r="B111" s="18" t="s">
        <v>103</v>
      </c>
      <c r="C111" t="str" cm="1">
        <f t="array" ref="C111">_xlfn.XLOOKUP(TRUE, EXACT(C110, Table27[orig]), Table27[r2-lower])</f>
        <v>white</v>
      </c>
      <c r="I111" s="16"/>
    </row>
    <row r="112" spans="2:9" x14ac:dyDescent="0.2">
      <c r="B112" s="18" t="s">
        <v>7</v>
      </c>
      <c r="C112" t="str" cm="1">
        <f t="array" ref="C112">_xlfn.XLOOKUP(TRUE, EXACT(C111, Table27[orig]), Table27[Z''])</f>
        <v>green</v>
      </c>
      <c r="I112" s="16"/>
    </row>
    <row r="113" spans="2:9" x14ac:dyDescent="0.2">
      <c r="B113" s="18" t="s">
        <v>32</v>
      </c>
      <c r="C113" t="str" cm="1">
        <f t="array" ref="C113">_xlfn.XLOOKUP(TRUE, EXACT(C112, Table27[orig]), Table27[L2])</f>
        <v>green</v>
      </c>
      <c r="I113" s="16"/>
    </row>
    <row r="114" spans="2:9" x14ac:dyDescent="0.2">
      <c r="B114" s="18" t="s">
        <v>118</v>
      </c>
      <c r="C114" t="str" cm="1">
        <f t="array" ref="C114">_xlfn.XLOOKUP(TRUE, EXACT(C113, Table27[orig]), Table27[b2-lower])</f>
        <v>blue</v>
      </c>
      <c r="I114" s="16"/>
    </row>
    <row r="115" spans="2:9" x14ac:dyDescent="0.2">
      <c r="B115" s="18" t="s">
        <v>50</v>
      </c>
      <c r="C115" t="str" cm="1">
        <f t="array" ref="C115">_xlfn.XLOOKUP(TRUE, EXACT(C114, Table27[orig]), Table27[R''L])</f>
        <v>blue</v>
      </c>
      <c r="I115" s="16"/>
    </row>
    <row r="116" spans="2:9" x14ac:dyDescent="0.2">
      <c r="B116" s="18" t="s">
        <v>28</v>
      </c>
      <c r="C116" t="str" cm="1">
        <f t="array" ref="C116">_xlfn.XLOOKUP(TRUE, EXACT(C115, Table27[orig]), Table27[L''])</f>
        <v>blue</v>
      </c>
      <c r="I116" s="16"/>
    </row>
    <row r="117" spans="2:9" x14ac:dyDescent="0.2">
      <c r="B117" s="18" t="s">
        <v>112</v>
      </c>
      <c r="C117" t="str" cm="1">
        <f t="array" ref="C117">_xlfn.XLOOKUP(TRUE, EXACT(C116, Table27[orig]), Table27[d2-lower])</f>
        <v>green</v>
      </c>
      <c r="I117" s="16"/>
    </row>
    <row r="118" spans="2:9" x14ac:dyDescent="0.2">
      <c r="B118" s="18" t="s">
        <v>116</v>
      </c>
      <c r="C118" t="str" cm="1">
        <f t="array" ref="C118">_xlfn.XLOOKUP(TRUE, EXACT(C117, Table27[orig]), Table27[f''-lower])</f>
        <v>yellow</v>
      </c>
      <c r="I118" s="16"/>
    </row>
    <row r="119" spans="2:9" x14ac:dyDescent="0.2">
      <c r="B119" s="18" t="s">
        <v>84</v>
      </c>
      <c r="C119" t="str" cm="1">
        <f t="array" ref="C119">_xlfn.XLOOKUP(TRUE, EXACT(C118, Table27[orig]), Table27[U''D])</f>
        <v>yellow</v>
      </c>
      <c r="I119" s="16"/>
    </row>
    <row r="120" spans="2:9" x14ac:dyDescent="0.2">
      <c r="B120" s="18" t="s">
        <v>113</v>
      </c>
      <c r="C120" t="str" cm="1">
        <f t="array" ref="C120">_xlfn.XLOOKUP(TRUE, EXACT(C119, Table27[orig]), Table27[d''-lower])</f>
        <v>yellow</v>
      </c>
      <c r="I120" s="16"/>
    </row>
    <row r="121" spans="2:9" x14ac:dyDescent="0.2">
      <c r="B121" s="18" t="s">
        <v>105</v>
      </c>
      <c r="C121" t="str" cm="1">
        <f t="array" ref="C121">_xlfn.XLOOKUP(TRUE, EXACT(C120, Table27[orig]), Table27[l-lower])</f>
        <v>orange</v>
      </c>
      <c r="I121" s="16"/>
    </row>
    <row r="122" spans="2:9" x14ac:dyDescent="0.2">
      <c r="B122" s="18" t="s">
        <v>115</v>
      </c>
      <c r="C122" t="str" cm="1">
        <f t="array" ref="C122">_xlfn.XLOOKUP(TRUE, EXACT(C121, Table27[orig]), Table27[f2-lower])</f>
        <v>orange</v>
      </c>
      <c r="I122" s="16"/>
    </row>
    <row r="123" spans="2:9" x14ac:dyDescent="0.2">
      <c r="B123" s="18" t="s">
        <v>76</v>
      </c>
      <c r="C123" t="str" cm="1">
        <f t="array" ref="C123">_xlfn.XLOOKUP(TRUE, EXACT(C122, Table27[orig]), Table27[U2])</f>
        <v>orange</v>
      </c>
      <c r="I123" s="16"/>
    </row>
    <row r="124" spans="2:9" x14ac:dyDescent="0.2">
      <c r="B124" s="18" t="s">
        <v>71</v>
      </c>
      <c r="C124" t="str" cm="1">
        <f t="array" ref="C124">_xlfn.XLOOKUP(TRUE, EXACT(C123, Table27[orig]), Table27[S2])</f>
        <v>orange</v>
      </c>
      <c r="I124" s="16"/>
    </row>
    <row r="125" spans="2:9" x14ac:dyDescent="0.2">
      <c r="B125" s="18" t="s">
        <v>78</v>
      </c>
      <c r="C125" t="str" cm="1">
        <f t="array" ref="C125">_xlfn.XLOOKUP(TRUE, EXACT(C124, Table27[orig]), Table27[F''B])</f>
        <v>orange</v>
      </c>
      <c r="I125" s="16"/>
    </row>
    <row r="126" spans="2:9" x14ac:dyDescent="0.2">
      <c r="B126" s="18" t="s">
        <v>68</v>
      </c>
      <c r="C126" t="str" cm="1">
        <f t="array" ref="C126">_xlfn.XLOOKUP(TRUE, EXACT(C125, Table27[orig]), Table27[T2])</f>
        <v>red</v>
      </c>
      <c r="I126" s="16"/>
    </row>
    <row r="127" spans="2:9" x14ac:dyDescent="0.2">
      <c r="B127" s="18" t="s">
        <v>55</v>
      </c>
      <c r="C127" t="str" cm="1">
        <f t="array" ref="C127">_xlfn.XLOOKUP(TRUE, EXACT(C126, Table27[orig]), Table27[F''])</f>
        <v>red</v>
      </c>
      <c r="I127" s="16"/>
    </row>
    <row r="128" spans="2:9" x14ac:dyDescent="0.2">
      <c r="B128" s="18" t="s">
        <v>52</v>
      </c>
      <c r="C128" t="str" cm="1">
        <f t="array" ref="C128">_xlfn.XLOOKUP(TRUE, EXACT(C127, Table27[orig]), Table27[H''])</f>
        <v>blue</v>
      </c>
      <c r="I128" s="16"/>
    </row>
    <row r="129" spans="2:9" x14ac:dyDescent="0.2">
      <c r="B129" s="18" t="s">
        <v>57</v>
      </c>
      <c r="C129" t="str" cm="1">
        <f t="array" ref="C129">_xlfn.XLOOKUP(TRUE, EXACT(C128, Table27[orig]), Table27[RL''])</f>
        <v>blue</v>
      </c>
      <c r="I129" s="16"/>
    </row>
    <row r="130" spans="2:9" x14ac:dyDescent="0.2">
      <c r="B130" s="18" t="s">
        <v>63</v>
      </c>
      <c r="C130" t="str" cm="1">
        <f t="array" ref="C130">_xlfn.XLOOKUP(TRUE, EXACT(C129, Table27[orig]), Table27[U''])</f>
        <v>blue</v>
      </c>
      <c r="I130" s="16"/>
    </row>
    <row r="131" spans="2:9" x14ac:dyDescent="0.2">
      <c r="B131" s="18" t="s">
        <v>3</v>
      </c>
      <c r="C131" t="str" cm="1">
        <f t="array" ref="C131">_xlfn.XLOOKUP(TRUE, EXACT(C130, Table27[orig]), Table27[Y])</f>
        <v>red</v>
      </c>
      <c r="I131" s="16"/>
    </row>
    <row r="132" spans="2:9" x14ac:dyDescent="0.2">
      <c r="B132" s="18" t="s">
        <v>0</v>
      </c>
      <c r="C132" t="str" cm="1">
        <f t="array" ref="C132">_xlfn.XLOOKUP(TRUE, EXACT(C131, Table27[orig]), Table27[X])</f>
        <v>white</v>
      </c>
      <c r="I132" s="16"/>
    </row>
    <row r="133" spans="2:9" x14ac:dyDescent="0.2">
      <c r="B133" s="18" t="s">
        <v>38</v>
      </c>
      <c r="C133" t="str" cm="1">
        <f t="array" ref="C133">_xlfn.XLOOKUP(TRUE, EXACT(C132, Table27[orig]), Table27[B])</f>
        <v>white</v>
      </c>
      <c r="I133" s="16"/>
    </row>
    <row r="134" spans="2:9" x14ac:dyDescent="0.2">
      <c r="B134" s="18" t="s">
        <v>59</v>
      </c>
      <c r="C134" t="str" cm="1">
        <f t="array" ref="C134">_xlfn.XLOOKUP(TRUE, EXACT(C133, Table27[orig]), Table27[H])</f>
        <v>white</v>
      </c>
      <c r="I134" s="16"/>
    </row>
    <row r="135" spans="2:9" x14ac:dyDescent="0.2">
      <c r="B135" s="18" t="s">
        <v>30</v>
      </c>
      <c r="C135" t="str" cm="1">
        <f t="array" ref="C135">_xlfn.XLOOKUP(TRUE, EXACT(C134, Table27[orig]), Table27[L])</f>
        <v>white</v>
      </c>
      <c r="I135" s="16"/>
    </row>
    <row r="136" spans="2:9" ht="16" thickBot="1" x14ac:dyDescent="0.25">
      <c r="B136" s="20" t="s">
        <v>58</v>
      </c>
      <c r="C136" s="21" t="str" cm="1">
        <f t="array" ref="C136">_xlfn.XLOOKUP(TRUE, EXACT(C135, Table27[orig]), Table27[S''])</f>
        <v>green</v>
      </c>
      <c r="D136" s="22"/>
      <c r="E136" s="22"/>
      <c r="F136" s="22"/>
      <c r="G136" s="22"/>
      <c r="H136" s="22"/>
      <c r="I136" s="23"/>
    </row>
    <row r="137" spans="2:9" ht="16" thickTop="1" x14ac:dyDescent="0.2"/>
  </sheetData>
  <mergeCells count="1">
    <mergeCell ref="A12:A17"/>
  </mergeCells>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D865F-5977-7644-B9E2-430784BA45EF}">
  <dimension ref="A1:K55"/>
  <sheetViews>
    <sheetView workbookViewId="0">
      <selection activeCell="M13" sqref="M13"/>
    </sheetView>
  </sheetViews>
  <sheetFormatPr baseColWidth="10" defaultRowHeight="15" x14ac:dyDescent="0.2"/>
  <cols>
    <col min="6" max="6" width="12.1640625" customWidth="1"/>
    <col min="7" max="7" width="12.5" customWidth="1"/>
    <col min="8" max="8" width="12.1640625" customWidth="1"/>
  </cols>
  <sheetData>
    <row r="1" spans="1:11" x14ac:dyDescent="0.2">
      <c r="A1" t="s">
        <v>41</v>
      </c>
      <c r="B1" t="s">
        <v>90</v>
      </c>
      <c r="C1" t="s">
        <v>0</v>
      </c>
      <c r="D1" t="s">
        <v>3</v>
      </c>
      <c r="E1" t="s">
        <v>6</v>
      </c>
      <c r="F1" t="s">
        <v>13</v>
      </c>
      <c r="G1" t="s">
        <v>42</v>
      </c>
      <c r="H1" t="s">
        <v>43</v>
      </c>
      <c r="I1" t="s">
        <v>27</v>
      </c>
      <c r="J1" t="s">
        <v>54</v>
      </c>
      <c r="K1" t="s">
        <v>45</v>
      </c>
    </row>
    <row r="2" spans="1:11" x14ac:dyDescent="0.2">
      <c r="A2" t="s">
        <v>120</v>
      </c>
      <c r="B2" t="s">
        <v>120</v>
      </c>
      <c r="C2" t="s">
        <v>125</v>
      </c>
      <c r="D2" t="s">
        <v>120</v>
      </c>
      <c r="E2" t="s">
        <v>121</v>
      </c>
      <c r="F2" t="s">
        <v>120</v>
      </c>
      <c r="G2" t="s">
        <v>123</v>
      </c>
      <c r="H2" t="s">
        <v>120</v>
      </c>
      <c r="I2" t="s">
        <v>120</v>
      </c>
      <c r="J2" t="s">
        <v>120</v>
      </c>
      <c r="K2" t="s">
        <v>120</v>
      </c>
    </row>
    <row r="3" spans="1:11" x14ac:dyDescent="0.2">
      <c r="A3" t="s">
        <v>121</v>
      </c>
      <c r="B3" t="s">
        <v>121</v>
      </c>
      <c r="C3" t="s">
        <v>121</v>
      </c>
      <c r="D3" t="s">
        <v>122</v>
      </c>
      <c r="E3" t="s">
        <v>123</v>
      </c>
      <c r="F3" t="s">
        <v>124</v>
      </c>
      <c r="G3" t="s">
        <v>121</v>
      </c>
      <c r="H3" t="s">
        <v>121</v>
      </c>
      <c r="I3" t="s">
        <v>121</v>
      </c>
      <c r="J3" t="s">
        <v>121</v>
      </c>
      <c r="K3" t="s">
        <v>121</v>
      </c>
    </row>
    <row r="4" spans="1:11" x14ac:dyDescent="0.2">
      <c r="A4" t="s">
        <v>122</v>
      </c>
      <c r="B4" t="s">
        <v>122</v>
      </c>
      <c r="C4" t="s">
        <v>120</v>
      </c>
      <c r="D4" t="s">
        <v>124</v>
      </c>
      <c r="E4" t="s">
        <v>122</v>
      </c>
      <c r="F4" t="s">
        <v>122</v>
      </c>
      <c r="G4" t="s">
        <v>122</v>
      </c>
      <c r="H4" t="s">
        <v>125</v>
      </c>
      <c r="I4" t="s">
        <v>122</v>
      </c>
      <c r="J4" t="s">
        <v>122</v>
      </c>
      <c r="K4" t="s">
        <v>122</v>
      </c>
    </row>
    <row r="5" spans="1:11" x14ac:dyDescent="0.2">
      <c r="A5" t="s">
        <v>123</v>
      </c>
      <c r="B5" t="s">
        <v>123</v>
      </c>
      <c r="C5" t="s">
        <v>122</v>
      </c>
      <c r="D5" t="s">
        <v>123</v>
      </c>
      <c r="E5" t="s">
        <v>124</v>
      </c>
      <c r="F5" t="s">
        <v>123</v>
      </c>
      <c r="G5" t="s">
        <v>120</v>
      </c>
      <c r="H5" t="s">
        <v>123</v>
      </c>
      <c r="I5" t="s">
        <v>123</v>
      </c>
      <c r="J5" t="s">
        <v>123</v>
      </c>
      <c r="K5" t="s">
        <v>123</v>
      </c>
    </row>
    <row r="6" spans="1:11" x14ac:dyDescent="0.2">
      <c r="A6" t="s">
        <v>124</v>
      </c>
      <c r="B6" t="s">
        <v>124</v>
      </c>
      <c r="C6" t="s">
        <v>124</v>
      </c>
      <c r="D6" t="s">
        <v>125</v>
      </c>
      <c r="E6" t="s">
        <v>120</v>
      </c>
      <c r="F6" t="s">
        <v>121</v>
      </c>
      <c r="G6" t="s">
        <v>124</v>
      </c>
      <c r="H6" t="s">
        <v>124</v>
      </c>
      <c r="I6" t="s">
        <v>124</v>
      </c>
      <c r="J6" t="s">
        <v>124</v>
      </c>
      <c r="K6" t="s">
        <v>124</v>
      </c>
    </row>
    <row r="7" spans="1:11" x14ac:dyDescent="0.2">
      <c r="A7" t="s">
        <v>125</v>
      </c>
      <c r="B7" t="s">
        <v>125</v>
      </c>
      <c r="C7" t="s">
        <v>123</v>
      </c>
      <c r="D7" t="s">
        <v>121</v>
      </c>
      <c r="E7" t="s">
        <v>125</v>
      </c>
      <c r="F7" t="s">
        <v>125</v>
      </c>
      <c r="G7" t="s">
        <v>125</v>
      </c>
      <c r="H7" t="s">
        <v>122</v>
      </c>
      <c r="I7" t="s">
        <v>125</v>
      </c>
      <c r="J7" t="s">
        <v>125</v>
      </c>
      <c r="K7" t="s">
        <v>125</v>
      </c>
    </row>
    <row r="8" spans="1:11" x14ac:dyDescent="0.2">
      <c r="A8" t="s">
        <v>37</v>
      </c>
      <c r="B8" t="s">
        <v>37</v>
      </c>
      <c r="C8" t="s">
        <v>51</v>
      </c>
      <c r="D8" t="s">
        <v>38</v>
      </c>
      <c r="E8" t="s">
        <v>74</v>
      </c>
      <c r="F8" t="s">
        <v>38</v>
      </c>
      <c r="G8" t="s">
        <v>0</v>
      </c>
      <c r="H8" t="s">
        <v>40</v>
      </c>
      <c r="I8" t="s">
        <v>37</v>
      </c>
      <c r="J8" t="s">
        <v>38</v>
      </c>
      <c r="K8" t="s">
        <v>37</v>
      </c>
    </row>
    <row r="9" spans="1:11" x14ac:dyDescent="0.2">
      <c r="A9" t="s">
        <v>38</v>
      </c>
      <c r="B9" t="s">
        <v>38</v>
      </c>
      <c r="C9" t="s">
        <v>48</v>
      </c>
      <c r="D9" t="s">
        <v>39</v>
      </c>
      <c r="E9" t="s">
        <v>128</v>
      </c>
      <c r="F9" t="s">
        <v>37</v>
      </c>
      <c r="G9" t="s">
        <v>129</v>
      </c>
      <c r="H9" t="s">
        <v>39</v>
      </c>
      <c r="I9" t="s">
        <v>48</v>
      </c>
      <c r="J9" t="s">
        <v>39</v>
      </c>
      <c r="K9" t="s">
        <v>38</v>
      </c>
    </row>
    <row r="10" spans="1:11" x14ac:dyDescent="0.2">
      <c r="A10" t="s">
        <v>39</v>
      </c>
      <c r="B10" t="s">
        <v>39</v>
      </c>
      <c r="C10" t="s">
        <v>79</v>
      </c>
      <c r="D10" t="s">
        <v>40</v>
      </c>
      <c r="E10" t="s">
        <v>77</v>
      </c>
      <c r="F10" t="s">
        <v>40</v>
      </c>
      <c r="G10" t="s">
        <v>81</v>
      </c>
      <c r="H10" t="s">
        <v>38</v>
      </c>
      <c r="I10" t="s">
        <v>79</v>
      </c>
      <c r="J10" t="s">
        <v>40</v>
      </c>
      <c r="K10" t="s">
        <v>77</v>
      </c>
    </row>
    <row r="11" spans="1:11" x14ac:dyDescent="0.2">
      <c r="A11" t="s">
        <v>40</v>
      </c>
      <c r="B11" t="s">
        <v>40</v>
      </c>
      <c r="C11" t="s">
        <v>27</v>
      </c>
      <c r="D11" t="s">
        <v>37</v>
      </c>
      <c r="E11" t="s">
        <v>127</v>
      </c>
      <c r="F11" t="s">
        <v>39</v>
      </c>
      <c r="G11" t="s">
        <v>54</v>
      </c>
      <c r="H11" t="s">
        <v>37</v>
      </c>
      <c r="I11" t="s">
        <v>40</v>
      </c>
      <c r="J11" t="s">
        <v>37</v>
      </c>
      <c r="K11" t="s">
        <v>127</v>
      </c>
    </row>
    <row r="12" spans="1:11" x14ac:dyDescent="0.2">
      <c r="A12" t="s">
        <v>126</v>
      </c>
      <c r="B12" t="s">
        <v>126</v>
      </c>
      <c r="C12" t="s">
        <v>59</v>
      </c>
      <c r="D12" t="s">
        <v>79</v>
      </c>
      <c r="E12" t="s">
        <v>38</v>
      </c>
      <c r="F12" t="s">
        <v>74</v>
      </c>
      <c r="G12" t="s">
        <v>59</v>
      </c>
      <c r="H12" t="s">
        <v>45</v>
      </c>
      <c r="I12" t="s">
        <v>126</v>
      </c>
      <c r="J12" t="s">
        <v>79</v>
      </c>
      <c r="K12" t="s">
        <v>126</v>
      </c>
    </row>
    <row r="13" spans="1:11" x14ac:dyDescent="0.2">
      <c r="A13" t="s">
        <v>45</v>
      </c>
      <c r="B13" t="s">
        <v>45</v>
      </c>
      <c r="C13" t="s">
        <v>126</v>
      </c>
      <c r="D13" t="s">
        <v>27</v>
      </c>
      <c r="E13" t="s">
        <v>39</v>
      </c>
      <c r="F13" t="s">
        <v>127</v>
      </c>
      <c r="G13" t="s">
        <v>61</v>
      </c>
      <c r="H13" t="s">
        <v>126</v>
      </c>
      <c r="I13" t="s">
        <v>45</v>
      </c>
      <c r="J13" t="s">
        <v>27</v>
      </c>
      <c r="K13" t="s">
        <v>39</v>
      </c>
    </row>
    <row r="14" spans="1:11" x14ac:dyDescent="0.2">
      <c r="A14" t="s">
        <v>61</v>
      </c>
      <c r="B14" t="s">
        <v>61</v>
      </c>
      <c r="C14" t="s">
        <v>45</v>
      </c>
      <c r="D14" t="s">
        <v>51</v>
      </c>
      <c r="E14" t="s">
        <v>40</v>
      </c>
      <c r="F14" t="s">
        <v>77</v>
      </c>
      <c r="G14" t="s">
        <v>45</v>
      </c>
      <c r="H14" t="s">
        <v>59</v>
      </c>
      <c r="I14" t="s">
        <v>61</v>
      </c>
      <c r="J14" t="s">
        <v>61</v>
      </c>
      <c r="K14" t="s">
        <v>40</v>
      </c>
    </row>
    <row r="15" spans="1:11" x14ac:dyDescent="0.2">
      <c r="A15" t="s">
        <v>59</v>
      </c>
      <c r="B15" t="s">
        <v>59</v>
      </c>
      <c r="C15" t="s">
        <v>61</v>
      </c>
      <c r="D15" t="s">
        <v>48</v>
      </c>
      <c r="E15" t="s">
        <v>37</v>
      </c>
      <c r="F15" t="s">
        <v>128</v>
      </c>
      <c r="G15" t="s">
        <v>126</v>
      </c>
      <c r="H15" t="s">
        <v>61</v>
      </c>
      <c r="I15" t="s">
        <v>59</v>
      </c>
      <c r="J15" t="s">
        <v>59</v>
      </c>
      <c r="K15" t="s">
        <v>59</v>
      </c>
    </row>
    <row r="16" spans="1:11" x14ac:dyDescent="0.2">
      <c r="A16" t="s">
        <v>90</v>
      </c>
      <c r="B16" t="s">
        <v>90</v>
      </c>
      <c r="C16" t="s">
        <v>37</v>
      </c>
      <c r="D16" t="s">
        <v>126</v>
      </c>
      <c r="E16" t="s">
        <v>64</v>
      </c>
      <c r="F16" t="s">
        <v>64</v>
      </c>
      <c r="G16" t="s">
        <v>30</v>
      </c>
      <c r="H16" t="s">
        <v>27</v>
      </c>
      <c r="I16" t="s">
        <v>90</v>
      </c>
      <c r="J16" t="s">
        <v>126</v>
      </c>
      <c r="K16" t="s">
        <v>64</v>
      </c>
    </row>
    <row r="17" spans="1:11" x14ac:dyDescent="0.2">
      <c r="A17" t="s">
        <v>64</v>
      </c>
      <c r="B17" t="s">
        <v>64</v>
      </c>
      <c r="C17" t="s">
        <v>38</v>
      </c>
      <c r="D17" t="s">
        <v>45</v>
      </c>
      <c r="E17" t="s">
        <v>69</v>
      </c>
      <c r="F17" t="s">
        <v>90</v>
      </c>
      <c r="G17" t="s">
        <v>69</v>
      </c>
      <c r="H17" t="s">
        <v>79</v>
      </c>
      <c r="I17" t="s">
        <v>38</v>
      </c>
      <c r="J17" t="s">
        <v>45</v>
      </c>
      <c r="K17" t="s">
        <v>69</v>
      </c>
    </row>
    <row r="18" spans="1:11" x14ac:dyDescent="0.2">
      <c r="A18" t="s">
        <v>69</v>
      </c>
      <c r="B18" t="s">
        <v>69</v>
      </c>
      <c r="C18" t="s">
        <v>39</v>
      </c>
      <c r="D18" t="s">
        <v>61</v>
      </c>
      <c r="E18" t="s">
        <v>30</v>
      </c>
      <c r="F18" t="s">
        <v>30</v>
      </c>
      <c r="G18" t="s">
        <v>64</v>
      </c>
      <c r="H18" t="s">
        <v>48</v>
      </c>
      <c r="I18" t="s">
        <v>39</v>
      </c>
      <c r="J18" t="s">
        <v>69</v>
      </c>
      <c r="K18" t="s">
        <v>30</v>
      </c>
    </row>
    <row r="19" spans="1:11" x14ac:dyDescent="0.2">
      <c r="A19" t="s">
        <v>30</v>
      </c>
      <c r="B19" t="s">
        <v>30</v>
      </c>
      <c r="C19" t="s">
        <v>40</v>
      </c>
      <c r="D19" t="s">
        <v>59</v>
      </c>
      <c r="E19" t="s">
        <v>90</v>
      </c>
      <c r="F19" t="s">
        <v>69</v>
      </c>
      <c r="G19" t="s">
        <v>90</v>
      </c>
      <c r="H19" t="s">
        <v>51</v>
      </c>
      <c r="I19" t="s">
        <v>30</v>
      </c>
      <c r="J19" t="s">
        <v>30</v>
      </c>
      <c r="K19" t="s">
        <v>90</v>
      </c>
    </row>
    <row r="20" spans="1:11" x14ac:dyDescent="0.2">
      <c r="A20" t="s">
        <v>127</v>
      </c>
      <c r="B20" t="s">
        <v>127</v>
      </c>
      <c r="C20" t="s">
        <v>74</v>
      </c>
      <c r="D20" t="s">
        <v>90</v>
      </c>
      <c r="E20" t="s">
        <v>81</v>
      </c>
      <c r="F20" t="s">
        <v>45</v>
      </c>
      <c r="G20" t="s">
        <v>77</v>
      </c>
      <c r="H20" t="s">
        <v>74</v>
      </c>
      <c r="I20" t="s">
        <v>74</v>
      </c>
      <c r="J20" t="s">
        <v>90</v>
      </c>
      <c r="K20" t="s">
        <v>81</v>
      </c>
    </row>
    <row r="21" spans="1:11" x14ac:dyDescent="0.2">
      <c r="A21" t="s">
        <v>74</v>
      </c>
      <c r="B21" t="s">
        <v>74</v>
      </c>
      <c r="C21" t="s">
        <v>128</v>
      </c>
      <c r="D21" t="s">
        <v>64</v>
      </c>
      <c r="E21" t="s">
        <v>129</v>
      </c>
      <c r="F21" t="s">
        <v>126</v>
      </c>
      <c r="G21" t="s">
        <v>128</v>
      </c>
      <c r="H21" t="s">
        <v>127</v>
      </c>
      <c r="I21" t="s">
        <v>128</v>
      </c>
      <c r="J21" t="s">
        <v>64</v>
      </c>
      <c r="K21" t="s">
        <v>74</v>
      </c>
    </row>
    <row r="22" spans="1:11" x14ac:dyDescent="0.2">
      <c r="A22" t="s">
        <v>128</v>
      </c>
      <c r="B22" t="s">
        <v>128</v>
      </c>
      <c r="C22" t="s">
        <v>77</v>
      </c>
      <c r="D22" t="s">
        <v>69</v>
      </c>
      <c r="E22" t="s">
        <v>0</v>
      </c>
      <c r="F22" t="s">
        <v>59</v>
      </c>
      <c r="G22" t="s">
        <v>74</v>
      </c>
      <c r="H22" t="s">
        <v>48</v>
      </c>
      <c r="I22" t="s">
        <v>77</v>
      </c>
      <c r="J22" t="s">
        <v>128</v>
      </c>
      <c r="K22" t="s">
        <v>128</v>
      </c>
    </row>
    <row r="23" spans="1:11" x14ac:dyDescent="0.2">
      <c r="A23" t="s">
        <v>77</v>
      </c>
      <c r="B23" t="s">
        <v>77</v>
      </c>
      <c r="C23" t="s">
        <v>127</v>
      </c>
      <c r="D23" t="s">
        <v>30</v>
      </c>
      <c r="E23" t="s">
        <v>54</v>
      </c>
      <c r="F23" t="s">
        <v>61</v>
      </c>
      <c r="G23" t="s">
        <v>127</v>
      </c>
      <c r="H23" t="s">
        <v>38</v>
      </c>
      <c r="I23" t="s">
        <v>127</v>
      </c>
      <c r="J23" t="s">
        <v>77</v>
      </c>
      <c r="K23" t="s">
        <v>54</v>
      </c>
    </row>
    <row r="24" spans="1:11" x14ac:dyDescent="0.2">
      <c r="A24" t="s">
        <v>79</v>
      </c>
      <c r="B24" t="s">
        <v>79</v>
      </c>
      <c r="C24" t="s">
        <v>129</v>
      </c>
      <c r="D24" t="s">
        <v>127</v>
      </c>
      <c r="E24" t="s">
        <v>48</v>
      </c>
      <c r="F24" t="s">
        <v>27</v>
      </c>
      <c r="G24" t="s">
        <v>48</v>
      </c>
      <c r="H24" t="s">
        <v>64</v>
      </c>
      <c r="I24" t="s">
        <v>129</v>
      </c>
      <c r="J24" t="s">
        <v>127</v>
      </c>
      <c r="K24" t="s">
        <v>79</v>
      </c>
    </row>
    <row r="25" spans="1:11" x14ac:dyDescent="0.2">
      <c r="A25" t="s">
        <v>27</v>
      </c>
      <c r="B25" t="s">
        <v>27</v>
      </c>
      <c r="C25" t="s">
        <v>0</v>
      </c>
      <c r="D25" t="s">
        <v>74</v>
      </c>
      <c r="E25" t="s">
        <v>79</v>
      </c>
      <c r="F25" t="s">
        <v>79</v>
      </c>
      <c r="G25" t="s">
        <v>51</v>
      </c>
      <c r="H25" t="s">
        <v>90</v>
      </c>
      <c r="I25" t="s">
        <v>27</v>
      </c>
      <c r="J25" t="s">
        <v>74</v>
      </c>
      <c r="K25" t="s">
        <v>27</v>
      </c>
    </row>
    <row r="26" spans="1:11" x14ac:dyDescent="0.2">
      <c r="A26" t="s">
        <v>51</v>
      </c>
      <c r="B26" t="s">
        <v>51</v>
      </c>
      <c r="C26" t="s">
        <v>54</v>
      </c>
      <c r="D26" t="s">
        <v>128</v>
      </c>
      <c r="E26" t="s">
        <v>27</v>
      </c>
      <c r="F26" t="s">
        <v>48</v>
      </c>
      <c r="G26" t="s">
        <v>27</v>
      </c>
      <c r="H26" t="s">
        <v>30</v>
      </c>
      <c r="I26" t="s">
        <v>51</v>
      </c>
      <c r="J26" t="s">
        <v>51</v>
      </c>
      <c r="K26" t="s">
        <v>51</v>
      </c>
    </row>
    <row r="27" spans="1:11" x14ac:dyDescent="0.2">
      <c r="A27" t="s">
        <v>48</v>
      </c>
      <c r="B27" t="s">
        <v>48</v>
      </c>
      <c r="C27" t="s">
        <v>81</v>
      </c>
      <c r="D27" t="s">
        <v>77</v>
      </c>
      <c r="E27" t="s">
        <v>51</v>
      </c>
      <c r="F27" t="s">
        <v>51</v>
      </c>
      <c r="G27" t="s">
        <v>79</v>
      </c>
      <c r="H27" t="s">
        <v>69</v>
      </c>
      <c r="I27" t="s">
        <v>81</v>
      </c>
      <c r="J27" t="s">
        <v>48</v>
      </c>
      <c r="K27" t="s">
        <v>48</v>
      </c>
    </row>
    <row r="28" spans="1:11" x14ac:dyDescent="0.2">
      <c r="A28" t="s">
        <v>54</v>
      </c>
      <c r="B28" t="s">
        <v>54</v>
      </c>
      <c r="C28" t="s">
        <v>90</v>
      </c>
      <c r="D28" t="s">
        <v>0</v>
      </c>
      <c r="E28" t="s">
        <v>45</v>
      </c>
      <c r="F28" t="s">
        <v>81</v>
      </c>
      <c r="G28" t="s">
        <v>40</v>
      </c>
      <c r="H28" t="s">
        <v>0</v>
      </c>
      <c r="I28" t="s">
        <v>54</v>
      </c>
      <c r="J28" t="s">
        <v>54</v>
      </c>
      <c r="K28" t="s">
        <v>45</v>
      </c>
    </row>
    <row r="29" spans="1:11" x14ac:dyDescent="0.2">
      <c r="A29" t="s">
        <v>81</v>
      </c>
      <c r="B29" t="s">
        <v>81</v>
      </c>
      <c r="C29" t="s">
        <v>64</v>
      </c>
      <c r="D29" t="s">
        <v>54</v>
      </c>
      <c r="E29" t="s">
        <v>61</v>
      </c>
      <c r="F29" t="s">
        <v>54</v>
      </c>
      <c r="G29" t="s">
        <v>39</v>
      </c>
      <c r="H29" t="s">
        <v>129</v>
      </c>
      <c r="I29" t="s">
        <v>64</v>
      </c>
      <c r="J29" t="s">
        <v>81</v>
      </c>
      <c r="K29" t="s">
        <v>61</v>
      </c>
    </row>
    <row r="30" spans="1:11" x14ac:dyDescent="0.2">
      <c r="A30" t="s">
        <v>129</v>
      </c>
      <c r="B30" t="s">
        <v>129</v>
      </c>
      <c r="C30" t="s">
        <v>69</v>
      </c>
      <c r="D30" t="s">
        <v>81</v>
      </c>
      <c r="E30" t="s">
        <v>59</v>
      </c>
      <c r="F30" t="s">
        <v>0</v>
      </c>
      <c r="G30" t="s">
        <v>38</v>
      </c>
      <c r="H30" t="s">
        <v>81</v>
      </c>
      <c r="I30" t="s">
        <v>69</v>
      </c>
      <c r="J30" t="s">
        <v>129</v>
      </c>
      <c r="K30" t="s">
        <v>129</v>
      </c>
    </row>
    <row r="31" spans="1:11" x14ac:dyDescent="0.2">
      <c r="A31" t="s">
        <v>0</v>
      </c>
      <c r="B31" t="s">
        <v>0</v>
      </c>
      <c r="C31" t="s">
        <v>30</v>
      </c>
      <c r="D31" t="s">
        <v>129</v>
      </c>
      <c r="E31" t="s">
        <v>126</v>
      </c>
      <c r="F31" t="s">
        <v>129</v>
      </c>
      <c r="G31" t="s">
        <v>37</v>
      </c>
      <c r="H31" t="s">
        <v>54</v>
      </c>
      <c r="I31" t="s">
        <v>0</v>
      </c>
      <c r="J31" t="s">
        <v>0</v>
      </c>
      <c r="K31" t="s">
        <v>0</v>
      </c>
    </row>
    <row r="32" spans="1:11" x14ac:dyDescent="0.2">
      <c r="A32" t="s">
        <v>33</v>
      </c>
      <c r="B32" t="s">
        <v>33</v>
      </c>
      <c r="C32" t="s">
        <v>135</v>
      </c>
      <c r="D32" t="s">
        <v>34</v>
      </c>
      <c r="E32" t="s">
        <v>73</v>
      </c>
      <c r="F32" t="s">
        <v>33</v>
      </c>
      <c r="G32" t="s">
        <v>137</v>
      </c>
      <c r="H32" t="s">
        <v>35</v>
      </c>
      <c r="I32" t="s">
        <v>33</v>
      </c>
      <c r="J32" t="s">
        <v>34</v>
      </c>
      <c r="K32" t="s">
        <v>33</v>
      </c>
    </row>
    <row r="33" spans="1:11" x14ac:dyDescent="0.2">
      <c r="A33" t="s">
        <v>34</v>
      </c>
      <c r="B33" t="s">
        <v>34</v>
      </c>
      <c r="C33" t="s">
        <v>136</v>
      </c>
      <c r="D33" t="s">
        <v>35</v>
      </c>
      <c r="E33" t="s">
        <v>134</v>
      </c>
      <c r="F33" t="s">
        <v>36</v>
      </c>
      <c r="G33" t="s">
        <v>88</v>
      </c>
      <c r="H33" t="s">
        <v>34</v>
      </c>
      <c r="I33" t="s">
        <v>136</v>
      </c>
      <c r="J33" t="s">
        <v>35</v>
      </c>
      <c r="K33" t="s">
        <v>34</v>
      </c>
    </row>
    <row r="34" spans="1:11" x14ac:dyDescent="0.2">
      <c r="A34" t="s">
        <v>35</v>
      </c>
      <c r="B34" t="s">
        <v>35</v>
      </c>
      <c r="C34" t="s">
        <v>80</v>
      </c>
      <c r="D34" t="s">
        <v>36</v>
      </c>
      <c r="E34" t="s">
        <v>87</v>
      </c>
      <c r="F34" t="s">
        <v>35</v>
      </c>
      <c r="G34" t="s">
        <v>53</v>
      </c>
      <c r="H34" t="s">
        <v>33</v>
      </c>
      <c r="I34" t="s">
        <v>35</v>
      </c>
      <c r="J34" t="s">
        <v>36</v>
      </c>
      <c r="K34" t="s">
        <v>87</v>
      </c>
    </row>
    <row r="35" spans="1:11" x14ac:dyDescent="0.2">
      <c r="A35" t="s">
        <v>36</v>
      </c>
      <c r="B35" t="s">
        <v>36</v>
      </c>
      <c r="C35" t="s">
        <v>46</v>
      </c>
      <c r="D35" t="s">
        <v>33</v>
      </c>
      <c r="E35" t="s">
        <v>133</v>
      </c>
      <c r="F35" t="s">
        <v>34</v>
      </c>
      <c r="G35" t="s">
        <v>138</v>
      </c>
      <c r="H35" t="s">
        <v>36</v>
      </c>
      <c r="I35" t="s">
        <v>36</v>
      </c>
      <c r="J35" t="s">
        <v>33</v>
      </c>
      <c r="K35" t="s">
        <v>36</v>
      </c>
    </row>
    <row r="36" spans="1:11" x14ac:dyDescent="0.2">
      <c r="A36" t="s">
        <v>130</v>
      </c>
      <c r="B36" t="s">
        <v>130</v>
      </c>
      <c r="C36" t="s">
        <v>131</v>
      </c>
      <c r="D36" t="s">
        <v>80</v>
      </c>
      <c r="E36" t="s">
        <v>34</v>
      </c>
      <c r="F36" t="s">
        <v>133</v>
      </c>
      <c r="G36" t="s">
        <v>60</v>
      </c>
      <c r="H36" t="s">
        <v>130</v>
      </c>
      <c r="I36" t="s">
        <v>130</v>
      </c>
      <c r="J36" t="s">
        <v>80</v>
      </c>
      <c r="K36" t="s">
        <v>130</v>
      </c>
    </row>
    <row r="37" spans="1:11" x14ac:dyDescent="0.2">
      <c r="A37" t="s">
        <v>47</v>
      </c>
      <c r="B37" t="s">
        <v>47</v>
      </c>
      <c r="C37" t="s">
        <v>130</v>
      </c>
      <c r="D37" t="s">
        <v>46</v>
      </c>
      <c r="E37" t="s">
        <v>35</v>
      </c>
      <c r="F37" t="s">
        <v>87</v>
      </c>
      <c r="G37" t="s">
        <v>47</v>
      </c>
      <c r="H37" t="s">
        <v>131</v>
      </c>
      <c r="I37" t="s">
        <v>47</v>
      </c>
      <c r="J37" t="s">
        <v>47</v>
      </c>
      <c r="K37" t="s">
        <v>35</v>
      </c>
    </row>
    <row r="38" spans="1:11" x14ac:dyDescent="0.2">
      <c r="A38" t="s">
        <v>60</v>
      </c>
      <c r="B38" t="s">
        <v>60</v>
      </c>
      <c r="C38" t="s">
        <v>47</v>
      </c>
      <c r="D38" t="s">
        <v>135</v>
      </c>
      <c r="E38" t="s">
        <v>36</v>
      </c>
      <c r="F38" t="s">
        <v>134</v>
      </c>
      <c r="G38" t="s">
        <v>130</v>
      </c>
      <c r="H38" t="s">
        <v>60</v>
      </c>
      <c r="I38" t="s">
        <v>60</v>
      </c>
      <c r="J38" t="s">
        <v>60</v>
      </c>
      <c r="K38" t="s">
        <v>60</v>
      </c>
    </row>
    <row r="39" spans="1:11" x14ac:dyDescent="0.2">
      <c r="A39" t="s">
        <v>131</v>
      </c>
      <c r="B39" t="s">
        <v>131</v>
      </c>
      <c r="C39" t="s">
        <v>60</v>
      </c>
      <c r="D39" t="s">
        <v>136</v>
      </c>
      <c r="E39" t="s">
        <v>33</v>
      </c>
      <c r="F39" t="s">
        <v>73</v>
      </c>
      <c r="G39" t="s">
        <v>131</v>
      </c>
      <c r="H39" t="s">
        <v>47</v>
      </c>
      <c r="I39" t="s">
        <v>131</v>
      </c>
      <c r="J39" t="s">
        <v>131</v>
      </c>
      <c r="K39" t="s">
        <v>131</v>
      </c>
    </row>
    <row r="40" spans="1:11" x14ac:dyDescent="0.2">
      <c r="A40" t="s">
        <v>132</v>
      </c>
      <c r="B40" t="s">
        <v>132</v>
      </c>
      <c r="C40" t="s">
        <v>33</v>
      </c>
      <c r="D40" t="s">
        <v>130</v>
      </c>
      <c r="E40" t="s">
        <v>67</v>
      </c>
      <c r="F40" t="s">
        <v>132</v>
      </c>
      <c r="G40" t="s">
        <v>86</v>
      </c>
      <c r="H40" t="s">
        <v>46</v>
      </c>
      <c r="I40" t="s">
        <v>132</v>
      </c>
      <c r="J40" t="s">
        <v>130</v>
      </c>
      <c r="K40" t="s">
        <v>67</v>
      </c>
    </row>
    <row r="41" spans="1:11" x14ac:dyDescent="0.2">
      <c r="A41" t="s">
        <v>67</v>
      </c>
      <c r="B41" t="s">
        <v>67</v>
      </c>
      <c r="C41" t="s">
        <v>34</v>
      </c>
      <c r="D41" t="s">
        <v>47</v>
      </c>
      <c r="E41" t="s">
        <v>86</v>
      </c>
      <c r="F41" t="s">
        <v>44</v>
      </c>
      <c r="G41" t="s">
        <v>67</v>
      </c>
      <c r="H41" t="s">
        <v>80</v>
      </c>
      <c r="I41" t="s">
        <v>34</v>
      </c>
      <c r="J41" t="s">
        <v>67</v>
      </c>
      <c r="K41" t="s">
        <v>86</v>
      </c>
    </row>
    <row r="42" spans="1:11" x14ac:dyDescent="0.2">
      <c r="A42" t="s">
        <v>86</v>
      </c>
      <c r="B42" t="s">
        <v>86</v>
      </c>
      <c r="C42" t="s">
        <v>35</v>
      </c>
      <c r="D42" t="s">
        <v>60</v>
      </c>
      <c r="E42" t="s">
        <v>44</v>
      </c>
      <c r="F42" t="s">
        <v>86</v>
      </c>
      <c r="G42" t="s">
        <v>132</v>
      </c>
      <c r="H42" t="s">
        <v>136</v>
      </c>
      <c r="I42" t="s">
        <v>86</v>
      </c>
      <c r="J42" t="s">
        <v>86</v>
      </c>
      <c r="K42" t="s">
        <v>44</v>
      </c>
    </row>
    <row r="43" spans="1:11" x14ac:dyDescent="0.2">
      <c r="A43" t="s">
        <v>44</v>
      </c>
      <c r="B43" t="s">
        <v>44</v>
      </c>
      <c r="C43" t="s">
        <v>36</v>
      </c>
      <c r="D43" t="s">
        <v>131</v>
      </c>
      <c r="E43" t="s">
        <v>132</v>
      </c>
      <c r="F43" t="s">
        <v>67</v>
      </c>
      <c r="G43" t="s">
        <v>44</v>
      </c>
      <c r="H43" t="s">
        <v>135</v>
      </c>
      <c r="I43" t="s">
        <v>44</v>
      </c>
      <c r="J43" t="s">
        <v>44</v>
      </c>
      <c r="K43" t="s">
        <v>132</v>
      </c>
    </row>
    <row r="44" spans="1:11" x14ac:dyDescent="0.2">
      <c r="A44" t="s">
        <v>133</v>
      </c>
      <c r="B44" t="s">
        <v>133</v>
      </c>
      <c r="C44" t="s">
        <v>73</v>
      </c>
      <c r="D44" t="s">
        <v>132</v>
      </c>
      <c r="E44" t="s">
        <v>88</v>
      </c>
      <c r="F44" t="s">
        <v>130</v>
      </c>
      <c r="G44" t="s">
        <v>134</v>
      </c>
      <c r="H44" t="s">
        <v>133</v>
      </c>
      <c r="I44" t="s">
        <v>73</v>
      </c>
      <c r="J44" t="s">
        <v>132</v>
      </c>
      <c r="K44" t="s">
        <v>133</v>
      </c>
    </row>
    <row r="45" spans="1:11" x14ac:dyDescent="0.2">
      <c r="A45" t="s">
        <v>73</v>
      </c>
      <c r="B45" t="s">
        <v>73</v>
      </c>
      <c r="C45" t="s">
        <v>134</v>
      </c>
      <c r="D45" t="s">
        <v>67</v>
      </c>
      <c r="E45" t="s">
        <v>137</v>
      </c>
      <c r="F45" t="s">
        <v>131</v>
      </c>
      <c r="G45" t="s">
        <v>73</v>
      </c>
      <c r="H45" t="s">
        <v>87</v>
      </c>
      <c r="I45" t="s">
        <v>134</v>
      </c>
      <c r="J45" t="s">
        <v>73</v>
      </c>
      <c r="K45" t="s">
        <v>73</v>
      </c>
    </row>
    <row r="46" spans="1:11" x14ac:dyDescent="0.2">
      <c r="A46" t="s">
        <v>134</v>
      </c>
      <c r="B46" t="s">
        <v>134</v>
      </c>
      <c r="C46" t="s">
        <v>87</v>
      </c>
      <c r="D46" t="s">
        <v>86</v>
      </c>
      <c r="E46" t="s">
        <v>138</v>
      </c>
      <c r="F46" t="s">
        <v>60</v>
      </c>
      <c r="G46" t="s">
        <v>133</v>
      </c>
      <c r="H46" t="s">
        <v>136</v>
      </c>
      <c r="I46" t="s">
        <v>87</v>
      </c>
      <c r="J46" t="s">
        <v>134</v>
      </c>
      <c r="K46" t="s">
        <v>134</v>
      </c>
    </row>
    <row r="47" spans="1:11" x14ac:dyDescent="0.2">
      <c r="A47" t="s">
        <v>87</v>
      </c>
      <c r="B47" t="s">
        <v>87</v>
      </c>
      <c r="C47" t="s">
        <v>133</v>
      </c>
      <c r="D47" t="s">
        <v>44</v>
      </c>
      <c r="E47" t="s">
        <v>53</v>
      </c>
      <c r="F47" t="s">
        <v>47</v>
      </c>
      <c r="G47" t="s">
        <v>87</v>
      </c>
      <c r="H47" t="s">
        <v>33</v>
      </c>
      <c r="I47" t="s">
        <v>133</v>
      </c>
      <c r="J47" t="s">
        <v>87</v>
      </c>
      <c r="K47" t="s">
        <v>53</v>
      </c>
    </row>
    <row r="48" spans="1:11" x14ac:dyDescent="0.2">
      <c r="A48" t="s">
        <v>80</v>
      </c>
      <c r="B48" t="s">
        <v>80</v>
      </c>
      <c r="C48" t="s">
        <v>137</v>
      </c>
      <c r="D48" t="s">
        <v>133</v>
      </c>
      <c r="E48" t="s">
        <v>136</v>
      </c>
      <c r="F48" t="s">
        <v>80</v>
      </c>
      <c r="G48" t="s">
        <v>136</v>
      </c>
      <c r="H48" t="s">
        <v>132</v>
      </c>
      <c r="I48" t="s">
        <v>80</v>
      </c>
      <c r="J48" t="s">
        <v>133</v>
      </c>
      <c r="K48" t="s">
        <v>80</v>
      </c>
    </row>
    <row r="49" spans="1:11" x14ac:dyDescent="0.2">
      <c r="A49" t="s">
        <v>46</v>
      </c>
      <c r="B49" t="s">
        <v>46</v>
      </c>
      <c r="C49" t="s">
        <v>138</v>
      </c>
      <c r="D49" t="s">
        <v>73</v>
      </c>
      <c r="E49" t="s">
        <v>80</v>
      </c>
      <c r="F49" t="s">
        <v>136</v>
      </c>
      <c r="G49" t="s">
        <v>135</v>
      </c>
      <c r="H49" t="s">
        <v>44</v>
      </c>
      <c r="I49" t="s">
        <v>46</v>
      </c>
      <c r="J49" t="s">
        <v>46</v>
      </c>
      <c r="K49" t="s">
        <v>46</v>
      </c>
    </row>
    <row r="50" spans="1:11" x14ac:dyDescent="0.2">
      <c r="A50" t="s">
        <v>135</v>
      </c>
      <c r="B50" t="s">
        <v>135</v>
      </c>
      <c r="C50" t="s">
        <v>53</v>
      </c>
      <c r="D50" t="s">
        <v>134</v>
      </c>
      <c r="E50" t="s">
        <v>46</v>
      </c>
      <c r="F50" t="s">
        <v>135</v>
      </c>
      <c r="G50" t="s">
        <v>46</v>
      </c>
      <c r="H50" t="s">
        <v>86</v>
      </c>
      <c r="I50" t="s">
        <v>135</v>
      </c>
      <c r="J50" t="s">
        <v>135</v>
      </c>
      <c r="K50" t="s">
        <v>135</v>
      </c>
    </row>
    <row r="51" spans="1:11" x14ac:dyDescent="0.2">
      <c r="A51" t="s">
        <v>136</v>
      </c>
      <c r="B51" t="s">
        <v>136</v>
      </c>
      <c r="C51" t="s">
        <v>88</v>
      </c>
      <c r="D51" t="s">
        <v>87</v>
      </c>
      <c r="E51" t="s">
        <v>135</v>
      </c>
      <c r="F51" t="s">
        <v>46</v>
      </c>
      <c r="G51" t="s">
        <v>80</v>
      </c>
      <c r="H51" t="s">
        <v>67</v>
      </c>
      <c r="I51" t="s">
        <v>88</v>
      </c>
      <c r="J51" t="s">
        <v>136</v>
      </c>
      <c r="K51" t="s">
        <v>136</v>
      </c>
    </row>
    <row r="52" spans="1:11" x14ac:dyDescent="0.2">
      <c r="A52" t="s">
        <v>53</v>
      </c>
      <c r="B52" t="s">
        <v>53</v>
      </c>
      <c r="C52" t="s">
        <v>132</v>
      </c>
      <c r="D52" t="s">
        <v>138</v>
      </c>
      <c r="E52" t="s">
        <v>47</v>
      </c>
      <c r="F52" t="s">
        <v>53</v>
      </c>
      <c r="G52" t="s">
        <v>35</v>
      </c>
      <c r="H52" t="s">
        <v>137</v>
      </c>
      <c r="I52" t="s">
        <v>53</v>
      </c>
      <c r="J52" t="s">
        <v>53</v>
      </c>
      <c r="K52" t="s">
        <v>47</v>
      </c>
    </row>
    <row r="53" spans="1:11" x14ac:dyDescent="0.2">
      <c r="A53" t="s">
        <v>88</v>
      </c>
      <c r="B53" t="s">
        <v>88</v>
      </c>
      <c r="C53" t="s">
        <v>67</v>
      </c>
      <c r="D53" t="s">
        <v>53</v>
      </c>
      <c r="E53" t="s">
        <v>60</v>
      </c>
      <c r="F53" t="s">
        <v>138</v>
      </c>
      <c r="G53" t="s">
        <v>34</v>
      </c>
      <c r="H53" t="s">
        <v>88</v>
      </c>
      <c r="I53" t="s">
        <v>67</v>
      </c>
      <c r="J53" t="s">
        <v>88</v>
      </c>
      <c r="K53" t="s">
        <v>88</v>
      </c>
    </row>
    <row r="54" spans="1:11" x14ac:dyDescent="0.2">
      <c r="A54" t="s">
        <v>137</v>
      </c>
      <c r="B54" t="s">
        <v>137</v>
      </c>
      <c r="C54" t="s">
        <v>86</v>
      </c>
      <c r="D54" t="s">
        <v>88</v>
      </c>
      <c r="E54" t="s">
        <v>131</v>
      </c>
      <c r="F54" t="s">
        <v>137</v>
      </c>
      <c r="G54" t="s">
        <v>33</v>
      </c>
      <c r="H54" t="s">
        <v>53</v>
      </c>
      <c r="I54" t="s">
        <v>137</v>
      </c>
      <c r="J54" t="s">
        <v>137</v>
      </c>
      <c r="K54" t="s">
        <v>137</v>
      </c>
    </row>
    <row r="55" spans="1:11" x14ac:dyDescent="0.2">
      <c r="A55" t="s">
        <v>138</v>
      </c>
      <c r="B55" t="s">
        <v>138</v>
      </c>
      <c r="C55" t="s">
        <v>44</v>
      </c>
      <c r="D55" t="s">
        <v>137</v>
      </c>
      <c r="E55" t="s">
        <v>130</v>
      </c>
      <c r="F55" t="s">
        <v>88</v>
      </c>
      <c r="G55" t="s">
        <v>36</v>
      </c>
      <c r="H55" t="s">
        <v>138</v>
      </c>
      <c r="I55" t="s">
        <v>138</v>
      </c>
      <c r="J55" t="s">
        <v>138</v>
      </c>
      <c r="K55" t="s">
        <v>138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79E2C-4919-EF44-B405-04D9961F28FD}">
  <dimension ref="A1:BM55"/>
  <sheetViews>
    <sheetView tabSelected="1" workbookViewId="0">
      <selection activeCell="M13" sqref="M13"/>
    </sheetView>
  </sheetViews>
  <sheetFormatPr baseColWidth="10" defaultRowHeight="15" x14ac:dyDescent="0.2"/>
  <sheetData>
    <row r="1" spans="1:65" x14ac:dyDescent="0.2">
      <c r="A1" t="s">
        <v>41</v>
      </c>
      <c r="B1" t="s">
        <v>90</v>
      </c>
      <c r="C1" t="s">
        <v>0</v>
      </c>
      <c r="D1" t="s">
        <v>2</v>
      </c>
      <c r="E1" t="s">
        <v>1</v>
      </c>
      <c r="F1" t="s">
        <v>3</v>
      </c>
      <c r="G1" t="s">
        <v>5</v>
      </c>
      <c r="H1" t="s">
        <v>4</v>
      </c>
      <c r="I1" t="s">
        <v>6</v>
      </c>
      <c r="J1" t="s">
        <v>8</v>
      </c>
      <c r="K1" t="s">
        <v>7</v>
      </c>
      <c r="L1" t="s">
        <v>27</v>
      </c>
      <c r="M1" t="s">
        <v>31</v>
      </c>
      <c r="N1" t="s">
        <v>29</v>
      </c>
      <c r="O1" t="s">
        <v>30</v>
      </c>
      <c r="P1" t="s">
        <v>32</v>
      </c>
      <c r="Q1" t="s">
        <v>28</v>
      </c>
      <c r="R1" t="s">
        <v>48</v>
      </c>
      <c r="S1" t="s">
        <v>68</v>
      </c>
      <c r="T1" t="s">
        <v>49</v>
      </c>
      <c r="U1" t="s">
        <v>102</v>
      </c>
      <c r="V1" t="s">
        <v>103</v>
      </c>
      <c r="W1" t="s">
        <v>104</v>
      </c>
      <c r="X1" t="s">
        <v>105</v>
      </c>
      <c r="Y1" t="s">
        <v>106</v>
      </c>
      <c r="Z1" t="s">
        <v>107</v>
      </c>
      <c r="AA1" t="s">
        <v>57</v>
      </c>
      <c r="AB1" t="s">
        <v>70</v>
      </c>
      <c r="AC1" t="s">
        <v>50</v>
      </c>
      <c r="AD1" t="s">
        <v>54</v>
      </c>
      <c r="AE1" t="s">
        <v>76</v>
      </c>
      <c r="AF1" t="s">
        <v>63</v>
      </c>
      <c r="AG1" t="s">
        <v>40</v>
      </c>
      <c r="AH1" t="s">
        <v>66</v>
      </c>
      <c r="AI1" t="s">
        <v>56</v>
      </c>
      <c r="AJ1" t="s">
        <v>59</v>
      </c>
      <c r="AK1" t="s">
        <v>72</v>
      </c>
      <c r="AL1" t="s">
        <v>52</v>
      </c>
      <c r="AM1" t="s">
        <v>108</v>
      </c>
      <c r="AN1" t="s">
        <v>109</v>
      </c>
      <c r="AO1" t="s">
        <v>110</v>
      </c>
      <c r="AP1" t="s">
        <v>111</v>
      </c>
      <c r="AQ1" t="s">
        <v>112</v>
      </c>
      <c r="AR1" t="s">
        <v>113</v>
      </c>
      <c r="AS1" t="s">
        <v>85</v>
      </c>
      <c r="AT1" t="s">
        <v>89</v>
      </c>
      <c r="AU1" t="s">
        <v>84</v>
      </c>
      <c r="AV1" t="s">
        <v>45</v>
      </c>
      <c r="AW1" t="s">
        <v>65</v>
      </c>
      <c r="AX1" t="s">
        <v>55</v>
      </c>
      <c r="AY1" t="s">
        <v>38</v>
      </c>
      <c r="AZ1" t="s">
        <v>75</v>
      </c>
      <c r="BA1" t="s">
        <v>62</v>
      </c>
      <c r="BB1" t="s">
        <v>51</v>
      </c>
      <c r="BC1" t="s">
        <v>71</v>
      </c>
      <c r="BD1" t="s">
        <v>58</v>
      </c>
      <c r="BE1" t="s">
        <v>114</v>
      </c>
      <c r="BF1" t="s">
        <v>115</v>
      </c>
      <c r="BG1" t="s">
        <v>116</v>
      </c>
      <c r="BH1" t="s">
        <v>117</v>
      </c>
      <c r="BI1" t="s">
        <v>118</v>
      </c>
      <c r="BJ1" t="s">
        <v>139</v>
      </c>
      <c r="BK1" t="s">
        <v>82</v>
      </c>
      <c r="BL1" t="s">
        <v>83</v>
      </c>
      <c r="BM1" t="s">
        <v>78</v>
      </c>
    </row>
    <row r="2" spans="1:65" x14ac:dyDescent="0.2">
      <c r="A2" t="s">
        <v>120</v>
      </c>
      <c r="B2" t="s">
        <v>120</v>
      </c>
      <c r="C2" t="s">
        <v>125</v>
      </c>
      <c r="D2" t="s">
        <v>123</v>
      </c>
      <c r="E2" t="s">
        <v>122</v>
      </c>
      <c r="F2" t="s">
        <v>120</v>
      </c>
      <c r="G2" t="s">
        <v>120</v>
      </c>
      <c r="H2" t="s">
        <v>120</v>
      </c>
      <c r="I2" t="s">
        <v>121</v>
      </c>
      <c r="J2" t="s">
        <v>123</v>
      </c>
      <c r="K2" t="s">
        <v>124</v>
      </c>
      <c r="L2" t="s">
        <v>120</v>
      </c>
      <c r="M2" t="s">
        <v>120</v>
      </c>
      <c r="N2" t="s">
        <v>120</v>
      </c>
      <c r="O2" t="s">
        <v>120</v>
      </c>
      <c r="P2" t="s">
        <v>120</v>
      </c>
      <c r="Q2" t="s">
        <v>120</v>
      </c>
      <c r="R2" t="s">
        <v>125</v>
      </c>
      <c r="S2" t="s">
        <v>123</v>
      </c>
      <c r="T2" t="s">
        <v>122</v>
      </c>
      <c r="U2" t="s">
        <v>125</v>
      </c>
      <c r="V2" t="s">
        <v>123</v>
      </c>
      <c r="W2" t="s">
        <v>122</v>
      </c>
      <c r="X2" t="s">
        <v>122</v>
      </c>
      <c r="Y2" t="s">
        <v>123</v>
      </c>
      <c r="Z2" t="s">
        <v>125</v>
      </c>
      <c r="AA2" t="s">
        <v>120</v>
      </c>
      <c r="AB2" t="s">
        <v>120</v>
      </c>
      <c r="AC2" t="s">
        <v>120</v>
      </c>
      <c r="AD2" t="s">
        <v>120</v>
      </c>
      <c r="AE2" t="s">
        <v>120</v>
      </c>
      <c r="AF2" t="s">
        <v>120</v>
      </c>
      <c r="AG2" t="s">
        <v>120</v>
      </c>
      <c r="AH2" t="s">
        <v>120</v>
      </c>
      <c r="AI2" t="s">
        <v>120</v>
      </c>
      <c r="AJ2" t="s">
        <v>120</v>
      </c>
      <c r="AK2" t="s">
        <v>120</v>
      </c>
      <c r="AL2" t="s">
        <v>120</v>
      </c>
      <c r="AM2" t="s">
        <v>120</v>
      </c>
      <c r="AN2" t="s">
        <v>120</v>
      </c>
      <c r="AO2" t="s">
        <v>120</v>
      </c>
      <c r="AP2" t="s">
        <v>120</v>
      </c>
      <c r="AQ2" t="s">
        <v>120</v>
      </c>
      <c r="AR2" t="s">
        <v>120</v>
      </c>
      <c r="AS2" t="s">
        <v>120</v>
      </c>
      <c r="AT2" t="s">
        <v>120</v>
      </c>
      <c r="AU2" t="s">
        <v>120</v>
      </c>
      <c r="AV2" t="s">
        <v>120</v>
      </c>
      <c r="AW2" t="s">
        <v>120</v>
      </c>
      <c r="AX2" t="s">
        <v>120</v>
      </c>
      <c r="AY2" t="s">
        <v>120</v>
      </c>
      <c r="AZ2" t="s">
        <v>120</v>
      </c>
      <c r="BA2" t="s">
        <v>120</v>
      </c>
      <c r="BB2" t="s">
        <v>121</v>
      </c>
      <c r="BC2" t="s">
        <v>123</v>
      </c>
      <c r="BD2" t="s">
        <v>124</v>
      </c>
      <c r="BE2" t="s">
        <v>121</v>
      </c>
      <c r="BF2" t="s">
        <v>123</v>
      </c>
      <c r="BG2" t="s">
        <v>124</v>
      </c>
      <c r="BH2" t="s">
        <v>124</v>
      </c>
      <c r="BI2" t="s">
        <v>123</v>
      </c>
      <c r="BJ2" t="s">
        <v>121</v>
      </c>
      <c r="BK2" t="s">
        <v>120</v>
      </c>
      <c r="BL2" t="s">
        <v>120</v>
      </c>
      <c r="BM2" t="s">
        <v>120</v>
      </c>
    </row>
    <row r="3" spans="1:65" x14ac:dyDescent="0.2">
      <c r="A3" t="s">
        <v>121</v>
      </c>
      <c r="B3" t="s">
        <v>121</v>
      </c>
      <c r="C3" t="s">
        <v>121</v>
      </c>
      <c r="D3" t="s">
        <v>121</v>
      </c>
      <c r="E3" t="s">
        <v>121</v>
      </c>
      <c r="F3" t="s">
        <v>122</v>
      </c>
      <c r="G3" t="s">
        <v>124</v>
      </c>
      <c r="H3" t="s">
        <v>125</v>
      </c>
      <c r="I3" t="s">
        <v>123</v>
      </c>
      <c r="J3" t="s">
        <v>124</v>
      </c>
      <c r="K3" t="s">
        <v>120</v>
      </c>
      <c r="L3" t="s">
        <v>121</v>
      </c>
      <c r="M3" t="s">
        <v>121</v>
      </c>
      <c r="N3" t="s">
        <v>121</v>
      </c>
      <c r="O3" t="s">
        <v>121</v>
      </c>
      <c r="P3" t="s">
        <v>121</v>
      </c>
      <c r="Q3" t="s">
        <v>121</v>
      </c>
      <c r="R3" t="s">
        <v>121</v>
      </c>
      <c r="S3" t="s">
        <v>121</v>
      </c>
      <c r="T3" t="s">
        <v>121</v>
      </c>
      <c r="U3" t="s">
        <v>121</v>
      </c>
      <c r="V3" t="s">
        <v>121</v>
      </c>
      <c r="W3" t="s">
        <v>121</v>
      </c>
      <c r="X3" t="s">
        <v>121</v>
      </c>
      <c r="Y3" t="s">
        <v>121</v>
      </c>
      <c r="Z3" t="s">
        <v>121</v>
      </c>
      <c r="AA3" t="s">
        <v>121</v>
      </c>
      <c r="AB3" t="s">
        <v>121</v>
      </c>
      <c r="AC3" t="s">
        <v>121</v>
      </c>
      <c r="AD3" t="s">
        <v>121</v>
      </c>
      <c r="AE3" t="s">
        <v>121</v>
      </c>
      <c r="AF3" t="s">
        <v>121</v>
      </c>
      <c r="AG3" t="s">
        <v>121</v>
      </c>
      <c r="AH3" t="s">
        <v>121</v>
      </c>
      <c r="AI3" t="s">
        <v>121</v>
      </c>
      <c r="AJ3" t="s">
        <v>122</v>
      </c>
      <c r="AK3" t="s">
        <v>124</v>
      </c>
      <c r="AL3" t="s">
        <v>125</v>
      </c>
      <c r="AM3" t="s">
        <v>122</v>
      </c>
      <c r="AN3" t="s">
        <v>124</v>
      </c>
      <c r="AO3" t="s">
        <v>125</v>
      </c>
      <c r="AP3" t="s">
        <v>125</v>
      </c>
      <c r="AQ3" t="s">
        <v>124</v>
      </c>
      <c r="AR3" t="s">
        <v>122</v>
      </c>
      <c r="AS3" t="s">
        <v>121</v>
      </c>
      <c r="AT3" t="s">
        <v>121</v>
      </c>
      <c r="AU3" t="s">
        <v>121</v>
      </c>
      <c r="AV3" t="s">
        <v>121</v>
      </c>
      <c r="AW3" t="s">
        <v>121</v>
      </c>
      <c r="AX3" t="s">
        <v>121</v>
      </c>
      <c r="AY3" t="s">
        <v>121</v>
      </c>
      <c r="AZ3" t="s">
        <v>121</v>
      </c>
      <c r="BA3" t="s">
        <v>121</v>
      </c>
      <c r="BB3" t="s">
        <v>123</v>
      </c>
      <c r="BC3" t="s">
        <v>124</v>
      </c>
      <c r="BD3" t="s">
        <v>120</v>
      </c>
      <c r="BE3" t="s">
        <v>123</v>
      </c>
      <c r="BF3" t="s">
        <v>124</v>
      </c>
      <c r="BG3" t="s">
        <v>120</v>
      </c>
      <c r="BH3" t="s">
        <v>120</v>
      </c>
      <c r="BI3" t="s">
        <v>124</v>
      </c>
      <c r="BJ3" t="s">
        <v>123</v>
      </c>
      <c r="BK3" t="s">
        <v>121</v>
      </c>
      <c r="BL3" t="s">
        <v>121</v>
      </c>
      <c r="BM3" t="s">
        <v>121</v>
      </c>
    </row>
    <row r="4" spans="1:65" x14ac:dyDescent="0.2">
      <c r="A4" t="s">
        <v>122</v>
      </c>
      <c r="B4" t="s">
        <v>122</v>
      </c>
      <c r="C4" t="s">
        <v>120</v>
      </c>
      <c r="D4" t="s">
        <v>125</v>
      </c>
      <c r="E4" t="s">
        <v>123</v>
      </c>
      <c r="F4" t="s">
        <v>124</v>
      </c>
      <c r="G4" t="s">
        <v>125</v>
      </c>
      <c r="H4" t="s">
        <v>121</v>
      </c>
      <c r="I4" t="s">
        <v>122</v>
      </c>
      <c r="J4" t="s">
        <v>122</v>
      </c>
      <c r="K4" t="s">
        <v>122</v>
      </c>
      <c r="L4" t="s">
        <v>122</v>
      </c>
      <c r="M4" t="s">
        <v>122</v>
      </c>
      <c r="N4" t="s">
        <v>122</v>
      </c>
      <c r="O4" t="s">
        <v>122</v>
      </c>
      <c r="P4" t="s">
        <v>122</v>
      </c>
      <c r="Q4" t="s">
        <v>122</v>
      </c>
      <c r="R4" t="s">
        <v>120</v>
      </c>
      <c r="S4" t="s">
        <v>125</v>
      </c>
      <c r="T4" t="s">
        <v>123</v>
      </c>
      <c r="U4" t="s">
        <v>120</v>
      </c>
      <c r="V4" t="s">
        <v>125</v>
      </c>
      <c r="W4" t="s">
        <v>123</v>
      </c>
      <c r="X4" t="s">
        <v>123</v>
      </c>
      <c r="Y4" t="s">
        <v>125</v>
      </c>
      <c r="Z4" t="s">
        <v>120</v>
      </c>
      <c r="AA4" t="s">
        <v>122</v>
      </c>
      <c r="AB4" t="s">
        <v>122</v>
      </c>
      <c r="AC4" t="s">
        <v>122</v>
      </c>
      <c r="AD4" t="s">
        <v>122</v>
      </c>
      <c r="AE4" t="s">
        <v>122</v>
      </c>
      <c r="AF4" t="s">
        <v>122</v>
      </c>
      <c r="AG4" t="s">
        <v>122</v>
      </c>
      <c r="AH4" t="s">
        <v>122</v>
      </c>
      <c r="AI4" t="s">
        <v>122</v>
      </c>
      <c r="AJ4" t="s">
        <v>124</v>
      </c>
      <c r="AK4" t="s">
        <v>125</v>
      </c>
      <c r="AL4" t="s">
        <v>121</v>
      </c>
      <c r="AM4" t="s">
        <v>124</v>
      </c>
      <c r="AN4" t="s">
        <v>125</v>
      </c>
      <c r="AO4" t="s">
        <v>121</v>
      </c>
      <c r="AP4" t="s">
        <v>121</v>
      </c>
      <c r="AQ4" t="s">
        <v>125</v>
      </c>
      <c r="AR4" t="s">
        <v>124</v>
      </c>
      <c r="AS4" t="s">
        <v>122</v>
      </c>
      <c r="AT4" t="s">
        <v>122</v>
      </c>
      <c r="AU4" t="s">
        <v>122</v>
      </c>
      <c r="AV4" t="s">
        <v>122</v>
      </c>
      <c r="AW4" t="s">
        <v>122</v>
      </c>
      <c r="AX4" t="s">
        <v>122</v>
      </c>
      <c r="AY4" t="s">
        <v>122</v>
      </c>
      <c r="AZ4" t="s">
        <v>122</v>
      </c>
      <c r="BA4" t="s">
        <v>122</v>
      </c>
      <c r="BB4" t="s">
        <v>122</v>
      </c>
      <c r="BC4" t="s">
        <v>122</v>
      </c>
      <c r="BD4" t="s">
        <v>122</v>
      </c>
      <c r="BE4" t="s">
        <v>122</v>
      </c>
      <c r="BF4" t="s">
        <v>122</v>
      </c>
      <c r="BG4" t="s">
        <v>122</v>
      </c>
      <c r="BH4" t="s">
        <v>122</v>
      </c>
      <c r="BI4" t="s">
        <v>122</v>
      </c>
      <c r="BJ4" t="s">
        <v>122</v>
      </c>
      <c r="BK4" t="s">
        <v>122</v>
      </c>
      <c r="BL4" t="s">
        <v>122</v>
      </c>
      <c r="BM4" t="s">
        <v>122</v>
      </c>
    </row>
    <row r="5" spans="1:65" x14ac:dyDescent="0.2">
      <c r="A5" t="s">
        <v>123</v>
      </c>
      <c r="B5" t="s">
        <v>123</v>
      </c>
      <c r="C5" t="s">
        <v>122</v>
      </c>
      <c r="D5" t="s">
        <v>120</v>
      </c>
      <c r="E5" t="s">
        <v>125</v>
      </c>
      <c r="F5" t="s">
        <v>123</v>
      </c>
      <c r="G5" t="s">
        <v>123</v>
      </c>
      <c r="H5" t="s">
        <v>123</v>
      </c>
      <c r="I5" t="s">
        <v>124</v>
      </c>
      <c r="J5" t="s">
        <v>120</v>
      </c>
      <c r="K5" t="s">
        <v>121</v>
      </c>
      <c r="L5" t="s">
        <v>123</v>
      </c>
      <c r="M5" t="s">
        <v>123</v>
      </c>
      <c r="N5" t="s">
        <v>123</v>
      </c>
      <c r="O5" t="s">
        <v>123</v>
      </c>
      <c r="P5" t="s">
        <v>123</v>
      </c>
      <c r="Q5" t="s">
        <v>123</v>
      </c>
      <c r="R5" t="s">
        <v>122</v>
      </c>
      <c r="S5" t="s">
        <v>120</v>
      </c>
      <c r="T5" t="s">
        <v>125</v>
      </c>
      <c r="U5" t="s">
        <v>122</v>
      </c>
      <c r="V5" t="s">
        <v>120</v>
      </c>
      <c r="W5" t="s">
        <v>125</v>
      </c>
      <c r="X5" t="s">
        <v>125</v>
      </c>
      <c r="Y5" t="s">
        <v>120</v>
      </c>
      <c r="Z5" t="s">
        <v>122</v>
      </c>
      <c r="AA5" t="s">
        <v>123</v>
      </c>
      <c r="AB5" t="s">
        <v>123</v>
      </c>
      <c r="AC5" t="s">
        <v>123</v>
      </c>
      <c r="AD5" t="s">
        <v>123</v>
      </c>
      <c r="AE5" t="s">
        <v>123</v>
      </c>
      <c r="AF5" t="s">
        <v>123</v>
      </c>
      <c r="AG5" t="s">
        <v>123</v>
      </c>
      <c r="AH5" t="s">
        <v>123</v>
      </c>
      <c r="AI5" t="s">
        <v>123</v>
      </c>
      <c r="AJ5" t="s">
        <v>123</v>
      </c>
      <c r="AK5" t="s">
        <v>123</v>
      </c>
      <c r="AL5" t="s">
        <v>123</v>
      </c>
      <c r="AM5" t="s">
        <v>123</v>
      </c>
      <c r="AN5" t="s">
        <v>123</v>
      </c>
      <c r="AO5" t="s">
        <v>123</v>
      </c>
      <c r="AP5" t="s">
        <v>123</v>
      </c>
      <c r="AQ5" t="s">
        <v>123</v>
      </c>
      <c r="AR5" t="s">
        <v>123</v>
      </c>
      <c r="AS5" t="s">
        <v>123</v>
      </c>
      <c r="AT5" t="s">
        <v>123</v>
      </c>
      <c r="AU5" t="s">
        <v>123</v>
      </c>
      <c r="AV5" t="s">
        <v>123</v>
      </c>
      <c r="AW5" t="s">
        <v>123</v>
      </c>
      <c r="AX5" t="s">
        <v>123</v>
      </c>
      <c r="AY5" t="s">
        <v>123</v>
      </c>
      <c r="AZ5" t="s">
        <v>123</v>
      </c>
      <c r="BA5" t="s">
        <v>123</v>
      </c>
      <c r="BB5" t="s">
        <v>124</v>
      </c>
      <c r="BC5" t="s">
        <v>120</v>
      </c>
      <c r="BD5" t="s">
        <v>121</v>
      </c>
      <c r="BE5" t="s">
        <v>124</v>
      </c>
      <c r="BF5" t="s">
        <v>120</v>
      </c>
      <c r="BG5" t="s">
        <v>121</v>
      </c>
      <c r="BH5" t="s">
        <v>121</v>
      </c>
      <c r="BI5" t="s">
        <v>120</v>
      </c>
      <c r="BJ5" t="s">
        <v>124</v>
      </c>
      <c r="BK5" t="s">
        <v>123</v>
      </c>
      <c r="BL5" t="s">
        <v>123</v>
      </c>
      <c r="BM5" t="s">
        <v>123</v>
      </c>
    </row>
    <row r="6" spans="1:65" x14ac:dyDescent="0.2">
      <c r="A6" t="s">
        <v>124</v>
      </c>
      <c r="B6" t="s">
        <v>124</v>
      </c>
      <c r="C6" t="s">
        <v>124</v>
      </c>
      <c r="D6" t="s">
        <v>124</v>
      </c>
      <c r="E6" t="s">
        <v>124</v>
      </c>
      <c r="F6" t="s">
        <v>125</v>
      </c>
      <c r="G6" t="s">
        <v>121</v>
      </c>
      <c r="H6" t="s">
        <v>122</v>
      </c>
      <c r="I6" t="s">
        <v>120</v>
      </c>
      <c r="J6" t="s">
        <v>121</v>
      </c>
      <c r="K6" t="s">
        <v>123</v>
      </c>
      <c r="L6" t="s">
        <v>124</v>
      </c>
      <c r="M6" t="s">
        <v>124</v>
      </c>
      <c r="N6" t="s">
        <v>124</v>
      </c>
      <c r="O6" t="s">
        <v>124</v>
      </c>
      <c r="P6" t="s">
        <v>124</v>
      </c>
      <c r="Q6" t="s">
        <v>124</v>
      </c>
      <c r="R6" t="s">
        <v>124</v>
      </c>
      <c r="S6" t="s">
        <v>124</v>
      </c>
      <c r="T6" t="s">
        <v>124</v>
      </c>
      <c r="U6" t="s">
        <v>124</v>
      </c>
      <c r="V6" t="s">
        <v>124</v>
      </c>
      <c r="W6" t="s">
        <v>124</v>
      </c>
      <c r="X6" t="s">
        <v>124</v>
      </c>
      <c r="Y6" t="s">
        <v>124</v>
      </c>
      <c r="Z6" t="s">
        <v>124</v>
      </c>
      <c r="AA6" t="s">
        <v>124</v>
      </c>
      <c r="AB6" t="s">
        <v>124</v>
      </c>
      <c r="AC6" t="s">
        <v>124</v>
      </c>
      <c r="AD6" t="s">
        <v>124</v>
      </c>
      <c r="AE6" t="s">
        <v>124</v>
      </c>
      <c r="AF6" t="s">
        <v>124</v>
      </c>
      <c r="AG6" t="s">
        <v>124</v>
      </c>
      <c r="AH6" t="s">
        <v>124</v>
      </c>
      <c r="AI6" t="s">
        <v>124</v>
      </c>
      <c r="AJ6" t="s">
        <v>125</v>
      </c>
      <c r="AK6" t="s">
        <v>121</v>
      </c>
      <c r="AL6" t="s">
        <v>122</v>
      </c>
      <c r="AM6" t="s">
        <v>125</v>
      </c>
      <c r="AN6" t="s">
        <v>121</v>
      </c>
      <c r="AO6" t="s">
        <v>122</v>
      </c>
      <c r="AP6" t="s">
        <v>122</v>
      </c>
      <c r="AQ6" t="s">
        <v>121</v>
      </c>
      <c r="AR6" t="s">
        <v>125</v>
      </c>
      <c r="AS6" t="s">
        <v>124</v>
      </c>
      <c r="AT6" t="s">
        <v>124</v>
      </c>
      <c r="AU6" t="s">
        <v>124</v>
      </c>
      <c r="AV6" t="s">
        <v>124</v>
      </c>
      <c r="AW6" t="s">
        <v>124</v>
      </c>
      <c r="AX6" t="s">
        <v>124</v>
      </c>
      <c r="AY6" t="s">
        <v>124</v>
      </c>
      <c r="AZ6" t="s">
        <v>124</v>
      </c>
      <c r="BA6" t="s">
        <v>124</v>
      </c>
      <c r="BB6" t="s">
        <v>120</v>
      </c>
      <c r="BC6" t="s">
        <v>121</v>
      </c>
      <c r="BD6" t="s">
        <v>123</v>
      </c>
      <c r="BE6" t="s">
        <v>120</v>
      </c>
      <c r="BF6" t="s">
        <v>121</v>
      </c>
      <c r="BG6" t="s">
        <v>123</v>
      </c>
      <c r="BH6" t="s">
        <v>123</v>
      </c>
      <c r="BI6" t="s">
        <v>121</v>
      </c>
      <c r="BJ6" t="s">
        <v>120</v>
      </c>
      <c r="BK6" t="s">
        <v>124</v>
      </c>
      <c r="BL6" t="s">
        <v>124</v>
      </c>
      <c r="BM6" t="s">
        <v>124</v>
      </c>
    </row>
    <row r="7" spans="1:65" x14ac:dyDescent="0.2">
      <c r="A7" t="s">
        <v>125</v>
      </c>
      <c r="B7" t="s">
        <v>125</v>
      </c>
      <c r="C7" t="s">
        <v>123</v>
      </c>
      <c r="D7" t="s">
        <v>122</v>
      </c>
      <c r="E7" t="s">
        <v>120</v>
      </c>
      <c r="F7" t="s">
        <v>121</v>
      </c>
      <c r="G7" t="s">
        <v>122</v>
      </c>
      <c r="H7" t="s">
        <v>124</v>
      </c>
      <c r="I7" t="s">
        <v>125</v>
      </c>
      <c r="J7" t="s">
        <v>125</v>
      </c>
      <c r="K7" t="s">
        <v>125</v>
      </c>
      <c r="L7" t="s">
        <v>125</v>
      </c>
      <c r="M7" t="s">
        <v>125</v>
      </c>
      <c r="N7" t="s">
        <v>125</v>
      </c>
      <c r="O7" t="s">
        <v>125</v>
      </c>
      <c r="P7" t="s">
        <v>125</v>
      </c>
      <c r="Q7" t="s">
        <v>125</v>
      </c>
      <c r="R7" t="s">
        <v>123</v>
      </c>
      <c r="S7" t="s">
        <v>122</v>
      </c>
      <c r="T7" t="s">
        <v>120</v>
      </c>
      <c r="U7" t="s">
        <v>123</v>
      </c>
      <c r="V7" t="s">
        <v>122</v>
      </c>
      <c r="W7" t="s">
        <v>120</v>
      </c>
      <c r="X7" t="s">
        <v>120</v>
      </c>
      <c r="Y7" t="s">
        <v>122</v>
      </c>
      <c r="Z7" t="s">
        <v>123</v>
      </c>
      <c r="AA7" t="s">
        <v>125</v>
      </c>
      <c r="AB7" t="s">
        <v>125</v>
      </c>
      <c r="AC7" t="s">
        <v>125</v>
      </c>
      <c r="AD7" t="s">
        <v>125</v>
      </c>
      <c r="AE7" t="s">
        <v>125</v>
      </c>
      <c r="AF7" t="s">
        <v>125</v>
      </c>
      <c r="AG7" t="s">
        <v>125</v>
      </c>
      <c r="AH7" t="s">
        <v>125</v>
      </c>
      <c r="AI7" t="s">
        <v>125</v>
      </c>
      <c r="AJ7" t="s">
        <v>121</v>
      </c>
      <c r="AK7" t="s">
        <v>122</v>
      </c>
      <c r="AL7" t="s">
        <v>124</v>
      </c>
      <c r="AM7" t="s">
        <v>121</v>
      </c>
      <c r="AN7" t="s">
        <v>122</v>
      </c>
      <c r="AO7" t="s">
        <v>124</v>
      </c>
      <c r="AP7" t="s">
        <v>124</v>
      </c>
      <c r="AQ7" t="s">
        <v>122</v>
      </c>
      <c r="AR7" t="s">
        <v>121</v>
      </c>
      <c r="AS7" t="s">
        <v>125</v>
      </c>
      <c r="AT7" t="s">
        <v>125</v>
      </c>
      <c r="AU7" t="s">
        <v>125</v>
      </c>
      <c r="AV7" t="s">
        <v>125</v>
      </c>
      <c r="AW7" t="s">
        <v>125</v>
      </c>
      <c r="AX7" t="s">
        <v>125</v>
      </c>
      <c r="AY7" t="s">
        <v>125</v>
      </c>
      <c r="AZ7" t="s">
        <v>125</v>
      </c>
      <c r="BA7" t="s">
        <v>125</v>
      </c>
      <c r="BB7" t="s">
        <v>125</v>
      </c>
      <c r="BC7" t="s">
        <v>125</v>
      </c>
      <c r="BD7" t="s">
        <v>125</v>
      </c>
      <c r="BE7" t="s">
        <v>125</v>
      </c>
      <c r="BF7" t="s">
        <v>125</v>
      </c>
      <c r="BG7" t="s">
        <v>125</v>
      </c>
      <c r="BH7" t="s">
        <v>125</v>
      </c>
      <c r="BI7" t="s">
        <v>125</v>
      </c>
      <c r="BJ7" t="s">
        <v>125</v>
      </c>
      <c r="BK7" t="s">
        <v>125</v>
      </c>
      <c r="BL7" t="s">
        <v>125</v>
      </c>
      <c r="BM7" t="s">
        <v>125</v>
      </c>
    </row>
    <row r="8" spans="1:65" x14ac:dyDescent="0.2">
      <c r="A8" t="s">
        <v>37</v>
      </c>
      <c r="B8" t="s">
        <v>37</v>
      </c>
      <c r="C8" t="s">
        <v>51</v>
      </c>
      <c r="D8" t="s">
        <v>54</v>
      </c>
      <c r="E8" t="s">
        <v>90</v>
      </c>
      <c r="F8" t="s">
        <v>38</v>
      </c>
      <c r="G8" t="s">
        <v>39</v>
      </c>
      <c r="H8" t="s">
        <v>40</v>
      </c>
      <c r="I8" t="s">
        <v>74</v>
      </c>
      <c r="J8" t="s">
        <v>129</v>
      </c>
      <c r="K8" t="s">
        <v>59</v>
      </c>
      <c r="L8" t="s">
        <v>37</v>
      </c>
      <c r="M8" t="s">
        <v>37</v>
      </c>
      <c r="N8" t="s">
        <v>37</v>
      </c>
      <c r="O8" t="s">
        <v>90</v>
      </c>
      <c r="P8" t="s">
        <v>54</v>
      </c>
      <c r="Q8" t="s">
        <v>51</v>
      </c>
      <c r="R8" t="s">
        <v>37</v>
      </c>
      <c r="S8" t="s">
        <v>37</v>
      </c>
      <c r="T8" t="s">
        <v>37</v>
      </c>
      <c r="U8" t="s">
        <v>37</v>
      </c>
      <c r="V8" t="s">
        <v>37</v>
      </c>
      <c r="W8" t="s">
        <v>37</v>
      </c>
      <c r="X8" t="s">
        <v>90</v>
      </c>
      <c r="Y8" t="s">
        <v>54</v>
      </c>
      <c r="Z8" t="s">
        <v>51</v>
      </c>
      <c r="AA8" t="s">
        <v>51</v>
      </c>
      <c r="AB8" t="s">
        <v>54</v>
      </c>
      <c r="AC8" t="s">
        <v>90</v>
      </c>
      <c r="AD8" t="s">
        <v>38</v>
      </c>
      <c r="AE8" t="s">
        <v>39</v>
      </c>
      <c r="AF8" t="s">
        <v>40</v>
      </c>
      <c r="AG8" t="s">
        <v>37</v>
      </c>
      <c r="AH8" t="s">
        <v>37</v>
      </c>
      <c r="AI8" t="s">
        <v>37</v>
      </c>
      <c r="AJ8" t="s">
        <v>37</v>
      </c>
      <c r="AK8" t="s">
        <v>37</v>
      </c>
      <c r="AL8" t="s">
        <v>37</v>
      </c>
      <c r="AM8" t="s">
        <v>38</v>
      </c>
      <c r="AN8" t="s">
        <v>39</v>
      </c>
      <c r="AO8" t="s">
        <v>40</v>
      </c>
      <c r="AP8" t="s">
        <v>37</v>
      </c>
      <c r="AQ8" t="s">
        <v>37</v>
      </c>
      <c r="AR8" t="s">
        <v>37</v>
      </c>
      <c r="AS8" t="s">
        <v>38</v>
      </c>
      <c r="AT8" t="s">
        <v>39</v>
      </c>
      <c r="AU8" t="s">
        <v>40</v>
      </c>
      <c r="AV8" t="s">
        <v>37</v>
      </c>
      <c r="AW8" t="s">
        <v>37</v>
      </c>
      <c r="AX8" t="s">
        <v>37</v>
      </c>
      <c r="AY8" t="s">
        <v>59</v>
      </c>
      <c r="AZ8" t="s">
        <v>129</v>
      </c>
      <c r="BA8" t="s">
        <v>74</v>
      </c>
      <c r="BB8" t="s">
        <v>37</v>
      </c>
      <c r="BC8" t="s">
        <v>37</v>
      </c>
      <c r="BD8" t="s">
        <v>37</v>
      </c>
      <c r="BE8" t="s">
        <v>37</v>
      </c>
      <c r="BF8" t="s">
        <v>37</v>
      </c>
      <c r="BG8" t="s">
        <v>37</v>
      </c>
      <c r="BH8" t="s">
        <v>59</v>
      </c>
      <c r="BI8" t="s">
        <v>129</v>
      </c>
      <c r="BJ8" t="s">
        <v>74</v>
      </c>
      <c r="BK8" t="s">
        <v>74</v>
      </c>
      <c r="BL8" t="s">
        <v>129</v>
      </c>
      <c r="BM8" t="s">
        <v>59</v>
      </c>
    </row>
    <row r="9" spans="1:65" x14ac:dyDescent="0.2">
      <c r="A9" t="s">
        <v>38</v>
      </c>
      <c r="B9" t="s">
        <v>38</v>
      </c>
      <c r="C9" t="s">
        <v>48</v>
      </c>
      <c r="D9" t="s">
        <v>81</v>
      </c>
      <c r="E9" t="s">
        <v>64</v>
      </c>
      <c r="F9" t="s">
        <v>39</v>
      </c>
      <c r="G9" t="s">
        <v>40</v>
      </c>
      <c r="H9" t="s">
        <v>37</v>
      </c>
      <c r="I9" t="s">
        <v>128</v>
      </c>
      <c r="J9" t="s">
        <v>0</v>
      </c>
      <c r="K9" t="s">
        <v>126</v>
      </c>
      <c r="L9" t="s">
        <v>48</v>
      </c>
      <c r="M9" t="s">
        <v>81</v>
      </c>
      <c r="N9" t="s">
        <v>64</v>
      </c>
      <c r="O9" t="s">
        <v>38</v>
      </c>
      <c r="P9" t="s">
        <v>38</v>
      </c>
      <c r="Q9" t="s">
        <v>38</v>
      </c>
      <c r="R9" t="s">
        <v>38</v>
      </c>
      <c r="S9" t="s">
        <v>38</v>
      </c>
      <c r="T9" t="s">
        <v>38</v>
      </c>
      <c r="U9" t="s">
        <v>48</v>
      </c>
      <c r="V9" t="s">
        <v>81</v>
      </c>
      <c r="W9" t="s">
        <v>64</v>
      </c>
      <c r="X9" t="s">
        <v>38</v>
      </c>
      <c r="Y9" t="s">
        <v>38</v>
      </c>
      <c r="Z9" t="s">
        <v>38</v>
      </c>
      <c r="AA9" t="s">
        <v>48</v>
      </c>
      <c r="AB9" t="s">
        <v>81</v>
      </c>
      <c r="AC9" t="s">
        <v>64</v>
      </c>
      <c r="AD9" t="s">
        <v>39</v>
      </c>
      <c r="AE9" t="s">
        <v>40</v>
      </c>
      <c r="AF9" t="s">
        <v>37</v>
      </c>
      <c r="AG9" t="s">
        <v>38</v>
      </c>
      <c r="AH9" t="s">
        <v>38</v>
      </c>
      <c r="AI9" t="s">
        <v>38</v>
      </c>
      <c r="AJ9" t="s">
        <v>38</v>
      </c>
      <c r="AK9" t="s">
        <v>38</v>
      </c>
      <c r="AL9" t="s">
        <v>38</v>
      </c>
      <c r="AM9" t="s">
        <v>39</v>
      </c>
      <c r="AN9" t="s">
        <v>40</v>
      </c>
      <c r="AO9" t="s">
        <v>37</v>
      </c>
      <c r="AP9" t="s">
        <v>38</v>
      </c>
      <c r="AQ9" t="s">
        <v>38</v>
      </c>
      <c r="AR9" t="s">
        <v>38</v>
      </c>
      <c r="AS9" t="s">
        <v>39</v>
      </c>
      <c r="AT9" t="s">
        <v>40</v>
      </c>
      <c r="AU9" t="s">
        <v>37</v>
      </c>
      <c r="AV9" t="s">
        <v>38</v>
      </c>
      <c r="AW9" t="s">
        <v>38</v>
      </c>
      <c r="AX9" t="s">
        <v>38</v>
      </c>
      <c r="AY9" t="s">
        <v>126</v>
      </c>
      <c r="AZ9" t="s">
        <v>0</v>
      </c>
      <c r="BA9" t="s">
        <v>128</v>
      </c>
      <c r="BB9" t="s">
        <v>38</v>
      </c>
      <c r="BC9" t="s">
        <v>38</v>
      </c>
      <c r="BD9" t="s">
        <v>38</v>
      </c>
      <c r="BE9" t="s">
        <v>38</v>
      </c>
      <c r="BF9" t="s">
        <v>38</v>
      </c>
      <c r="BG9" t="s">
        <v>38</v>
      </c>
      <c r="BH9" t="s">
        <v>126</v>
      </c>
      <c r="BI9" t="s">
        <v>0</v>
      </c>
      <c r="BJ9" t="s">
        <v>128</v>
      </c>
      <c r="BK9" t="s">
        <v>128</v>
      </c>
      <c r="BL9" t="s">
        <v>0</v>
      </c>
      <c r="BM9" t="s">
        <v>126</v>
      </c>
    </row>
    <row r="10" spans="1:65" x14ac:dyDescent="0.2">
      <c r="A10" t="s">
        <v>39</v>
      </c>
      <c r="B10" t="s">
        <v>39</v>
      </c>
      <c r="C10" t="s">
        <v>79</v>
      </c>
      <c r="D10" t="s">
        <v>129</v>
      </c>
      <c r="E10" t="s">
        <v>69</v>
      </c>
      <c r="F10" t="s">
        <v>40</v>
      </c>
      <c r="G10" t="s">
        <v>37</v>
      </c>
      <c r="H10" t="s">
        <v>38</v>
      </c>
      <c r="I10" t="s">
        <v>77</v>
      </c>
      <c r="J10" t="s">
        <v>54</v>
      </c>
      <c r="K10" t="s">
        <v>45</v>
      </c>
      <c r="L10" t="s">
        <v>79</v>
      </c>
      <c r="M10" t="s">
        <v>129</v>
      </c>
      <c r="N10" t="s">
        <v>69</v>
      </c>
      <c r="O10" t="s">
        <v>39</v>
      </c>
      <c r="P10" t="s">
        <v>39</v>
      </c>
      <c r="Q10" t="s">
        <v>39</v>
      </c>
      <c r="R10" t="s">
        <v>39</v>
      </c>
      <c r="S10" t="s">
        <v>39</v>
      </c>
      <c r="T10" t="s">
        <v>39</v>
      </c>
      <c r="U10" t="s">
        <v>79</v>
      </c>
      <c r="V10" t="s">
        <v>129</v>
      </c>
      <c r="W10" t="s">
        <v>69</v>
      </c>
      <c r="X10" t="s">
        <v>39</v>
      </c>
      <c r="Y10" t="s">
        <v>39</v>
      </c>
      <c r="Z10" t="s">
        <v>39</v>
      </c>
      <c r="AA10" t="s">
        <v>79</v>
      </c>
      <c r="AB10" t="s">
        <v>129</v>
      </c>
      <c r="AC10" t="s">
        <v>69</v>
      </c>
      <c r="AD10" t="s">
        <v>40</v>
      </c>
      <c r="AE10" t="s">
        <v>37</v>
      </c>
      <c r="AF10" t="s">
        <v>38</v>
      </c>
      <c r="AG10" t="s">
        <v>39</v>
      </c>
      <c r="AH10" t="s">
        <v>39</v>
      </c>
      <c r="AI10" t="s">
        <v>39</v>
      </c>
      <c r="AJ10" t="s">
        <v>39</v>
      </c>
      <c r="AK10" t="s">
        <v>39</v>
      </c>
      <c r="AL10" t="s">
        <v>39</v>
      </c>
      <c r="AM10" t="s">
        <v>40</v>
      </c>
      <c r="AN10" t="s">
        <v>37</v>
      </c>
      <c r="AO10" t="s">
        <v>38</v>
      </c>
      <c r="AP10" t="s">
        <v>39</v>
      </c>
      <c r="AQ10" t="s">
        <v>39</v>
      </c>
      <c r="AR10" t="s">
        <v>39</v>
      </c>
      <c r="AS10" t="s">
        <v>40</v>
      </c>
      <c r="AT10" t="s">
        <v>37</v>
      </c>
      <c r="AU10" t="s">
        <v>38</v>
      </c>
      <c r="AV10" t="s">
        <v>77</v>
      </c>
      <c r="AW10" t="s">
        <v>54</v>
      </c>
      <c r="AX10" t="s">
        <v>45</v>
      </c>
      <c r="AY10" t="s">
        <v>39</v>
      </c>
      <c r="AZ10" t="s">
        <v>39</v>
      </c>
      <c r="BA10" t="s">
        <v>39</v>
      </c>
      <c r="BB10" t="s">
        <v>39</v>
      </c>
      <c r="BC10" t="s">
        <v>39</v>
      </c>
      <c r="BD10" t="s">
        <v>39</v>
      </c>
      <c r="BE10" t="s">
        <v>77</v>
      </c>
      <c r="BF10" t="s">
        <v>54</v>
      </c>
      <c r="BG10" t="s">
        <v>45</v>
      </c>
      <c r="BH10" t="s">
        <v>39</v>
      </c>
      <c r="BI10" t="s">
        <v>39</v>
      </c>
      <c r="BJ10" t="s">
        <v>39</v>
      </c>
      <c r="BK10" t="s">
        <v>77</v>
      </c>
      <c r="BL10" t="s">
        <v>54</v>
      </c>
      <c r="BM10" t="s">
        <v>45</v>
      </c>
    </row>
    <row r="11" spans="1:65" x14ac:dyDescent="0.2">
      <c r="A11" t="s">
        <v>40</v>
      </c>
      <c r="B11" t="s">
        <v>40</v>
      </c>
      <c r="C11" t="s">
        <v>27</v>
      </c>
      <c r="D11" t="s">
        <v>0</v>
      </c>
      <c r="E11" t="s">
        <v>30</v>
      </c>
      <c r="F11" t="s">
        <v>37</v>
      </c>
      <c r="G11" t="s">
        <v>38</v>
      </c>
      <c r="H11" t="s">
        <v>39</v>
      </c>
      <c r="I11" t="s">
        <v>127</v>
      </c>
      <c r="J11" t="s">
        <v>81</v>
      </c>
      <c r="K11" t="s">
        <v>61</v>
      </c>
      <c r="L11" t="s">
        <v>40</v>
      </c>
      <c r="M11" t="s">
        <v>40</v>
      </c>
      <c r="N11" t="s">
        <v>40</v>
      </c>
      <c r="O11" t="s">
        <v>30</v>
      </c>
      <c r="P11" t="s">
        <v>0</v>
      </c>
      <c r="Q11" t="s">
        <v>27</v>
      </c>
      <c r="R11" t="s">
        <v>40</v>
      </c>
      <c r="S11" t="s">
        <v>40</v>
      </c>
      <c r="T11" t="s">
        <v>40</v>
      </c>
      <c r="U11" t="s">
        <v>40</v>
      </c>
      <c r="V11" t="s">
        <v>40</v>
      </c>
      <c r="W11" t="s">
        <v>40</v>
      </c>
      <c r="X11" t="s">
        <v>30</v>
      </c>
      <c r="Y11" t="s">
        <v>0</v>
      </c>
      <c r="Z11" t="s">
        <v>27</v>
      </c>
      <c r="AA11" t="s">
        <v>27</v>
      </c>
      <c r="AB11" t="s">
        <v>0</v>
      </c>
      <c r="AC11" t="s">
        <v>30</v>
      </c>
      <c r="AD11" t="s">
        <v>37</v>
      </c>
      <c r="AE11" t="s">
        <v>38</v>
      </c>
      <c r="AF11" t="s">
        <v>39</v>
      </c>
      <c r="AG11" t="s">
        <v>40</v>
      </c>
      <c r="AH11" t="s">
        <v>40</v>
      </c>
      <c r="AI11" t="s">
        <v>40</v>
      </c>
      <c r="AJ11" t="s">
        <v>40</v>
      </c>
      <c r="AK11" t="s">
        <v>40</v>
      </c>
      <c r="AL11" t="s">
        <v>40</v>
      </c>
      <c r="AM11" t="s">
        <v>37</v>
      </c>
      <c r="AN11" t="s">
        <v>38</v>
      </c>
      <c r="AO11" t="s">
        <v>39</v>
      </c>
      <c r="AP11" t="s">
        <v>40</v>
      </c>
      <c r="AQ11" t="s">
        <v>40</v>
      </c>
      <c r="AR11" t="s">
        <v>40</v>
      </c>
      <c r="AS11" t="s">
        <v>37</v>
      </c>
      <c r="AT11" t="s">
        <v>38</v>
      </c>
      <c r="AU11" t="s">
        <v>39</v>
      </c>
      <c r="AV11" t="s">
        <v>127</v>
      </c>
      <c r="AW11" t="s">
        <v>81</v>
      </c>
      <c r="AX11" t="s">
        <v>61</v>
      </c>
      <c r="AY11" t="s">
        <v>40</v>
      </c>
      <c r="AZ11" t="s">
        <v>40</v>
      </c>
      <c r="BA11" t="s">
        <v>40</v>
      </c>
      <c r="BB11" t="s">
        <v>40</v>
      </c>
      <c r="BC11" t="s">
        <v>40</v>
      </c>
      <c r="BD11" t="s">
        <v>40</v>
      </c>
      <c r="BE11" t="s">
        <v>127</v>
      </c>
      <c r="BF11" t="s">
        <v>81</v>
      </c>
      <c r="BG11" t="s">
        <v>61</v>
      </c>
      <c r="BH11" t="s">
        <v>40</v>
      </c>
      <c r="BI11" t="s">
        <v>40</v>
      </c>
      <c r="BJ11" t="s">
        <v>40</v>
      </c>
      <c r="BK11" t="s">
        <v>127</v>
      </c>
      <c r="BL11" t="s">
        <v>81</v>
      </c>
      <c r="BM11" t="s">
        <v>61</v>
      </c>
    </row>
    <row r="12" spans="1:65" x14ac:dyDescent="0.2">
      <c r="A12" t="s">
        <v>126</v>
      </c>
      <c r="B12" t="s">
        <v>126</v>
      </c>
      <c r="C12" t="s">
        <v>59</v>
      </c>
      <c r="D12" t="s">
        <v>61</v>
      </c>
      <c r="E12" t="s">
        <v>45</v>
      </c>
      <c r="F12" t="s">
        <v>79</v>
      </c>
      <c r="G12" t="s">
        <v>127</v>
      </c>
      <c r="H12" t="s">
        <v>90</v>
      </c>
      <c r="I12" t="s">
        <v>38</v>
      </c>
      <c r="J12" t="s">
        <v>128</v>
      </c>
      <c r="K12" t="s">
        <v>0</v>
      </c>
      <c r="L12" t="s">
        <v>126</v>
      </c>
      <c r="M12" t="s">
        <v>126</v>
      </c>
      <c r="N12" t="s">
        <v>126</v>
      </c>
      <c r="O12" t="s">
        <v>45</v>
      </c>
      <c r="P12" t="s">
        <v>61</v>
      </c>
      <c r="Q12" t="s">
        <v>59</v>
      </c>
      <c r="R12" t="s">
        <v>126</v>
      </c>
      <c r="S12" t="s">
        <v>126</v>
      </c>
      <c r="T12" t="s">
        <v>126</v>
      </c>
      <c r="U12" t="s">
        <v>126</v>
      </c>
      <c r="V12" t="s">
        <v>126</v>
      </c>
      <c r="W12" t="s">
        <v>126</v>
      </c>
      <c r="X12" t="s">
        <v>45</v>
      </c>
      <c r="Y12" t="s">
        <v>61</v>
      </c>
      <c r="Z12" t="s">
        <v>59</v>
      </c>
      <c r="AA12" t="s">
        <v>59</v>
      </c>
      <c r="AB12" t="s">
        <v>61</v>
      </c>
      <c r="AC12" t="s">
        <v>45</v>
      </c>
      <c r="AD12" t="s">
        <v>79</v>
      </c>
      <c r="AE12" t="s">
        <v>127</v>
      </c>
      <c r="AF12" t="s">
        <v>90</v>
      </c>
      <c r="AG12" t="s">
        <v>126</v>
      </c>
      <c r="AH12" t="s">
        <v>126</v>
      </c>
      <c r="AI12" t="s">
        <v>126</v>
      </c>
      <c r="AJ12" t="s">
        <v>126</v>
      </c>
      <c r="AK12" t="s">
        <v>126</v>
      </c>
      <c r="AL12" t="s">
        <v>126</v>
      </c>
      <c r="AM12" t="s">
        <v>79</v>
      </c>
      <c r="AN12" t="s">
        <v>127</v>
      </c>
      <c r="AO12" t="s">
        <v>90</v>
      </c>
      <c r="AP12" t="s">
        <v>126</v>
      </c>
      <c r="AQ12" t="s">
        <v>126</v>
      </c>
      <c r="AR12" t="s">
        <v>126</v>
      </c>
      <c r="AS12" t="s">
        <v>79</v>
      </c>
      <c r="AT12" t="s">
        <v>127</v>
      </c>
      <c r="AU12" t="s">
        <v>90</v>
      </c>
      <c r="AV12" t="s">
        <v>126</v>
      </c>
      <c r="AW12" t="s">
        <v>126</v>
      </c>
      <c r="AX12" t="s">
        <v>126</v>
      </c>
      <c r="AY12" t="s">
        <v>0</v>
      </c>
      <c r="AZ12" t="s">
        <v>128</v>
      </c>
      <c r="BA12" t="s">
        <v>38</v>
      </c>
      <c r="BB12" t="s">
        <v>126</v>
      </c>
      <c r="BC12" t="s">
        <v>126</v>
      </c>
      <c r="BD12" t="s">
        <v>126</v>
      </c>
      <c r="BE12" t="s">
        <v>126</v>
      </c>
      <c r="BF12" t="s">
        <v>126</v>
      </c>
      <c r="BG12" t="s">
        <v>126</v>
      </c>
      <c r="BH12" t="s">
        <v>0</v>
      </c>
      <c r="BI12" t="s">
        <v>128</v>
      </c>
      <c r="BJ12" t="s">
        <v>38</v>
      </c>
      <c r="BK12" t="s">
        <v>38</v>
      </c>
      <c r="BL12" t="s">
        <v>128</v>
      </c>
      <c r="BM12" t="s">
        <v>0</v>
      </c>
    </row>
    <row r="13" spans="1:65" x14ac:dyDescent="0.2">
      <c r="A13" t="s">
        <v>45</v>
      </c>
      <c r="B13" t="s">
        <v>45</v>
      </c>
      <c r="C13" t="s">
        <v>126</v>
      </c>
      <c r="D13" t="s">
        <v>59</v>
      </c>
      <c r="E13" t="s">
        <v>61</v>
      </c>
      <c r="F13" t="s">
        <v>27</v>
      </c>
      <c r="G13" t="s">
        <v>74</v>
      </c>
      <c r="H13" t="s">
        <v>64</v>
      </c>
      <c r="I13" t="s">
        <v>39</v>
      </c>
      <c r="J13" t="s">
        <v>77</v>
      </c>
      <c r="K13" t="s">
        <v>54</v>
      </c>
      <c r="L13" t="s">
        <v>45</v>
      </c>
      <c r="M13" t="s">
        <v>45</v>
      </c>
      <c r="N13" t="s">
        <v>45</v>
      </c>
      <c r="O13" t="s">
        <v>61</v>
      </c>
      <c r="P13" t="s">
        <v>59</v>
      </c>
      <c r="Q13" t="s">
        <v>126</v>
      </c>
      <c r="R13" t="s">
        <v>45</v>
      </c>
      <c r="S13" t="s">
        <v>45</v>
      </c>
      <c r="T13" t="s">
        <v>45</v>
      </c>
      <c r="U13" t="s">
        <v>45</v>
      </c>
      <c r="V13" t="s">
        <v>45</v>
      </c>
      <c r="W13" t="s">
        <v>45</v>
      </c>
      <c r="X13" t="s">
        <v>61</v>
      </c>
      <c r="Y13" t="s">
        <v>59</v>
      </c>
      <c r="Z13" t="s">
        <v>126</v>
      </c>
      <c r="AA13" t="s">
        <v>126</v>
      </c>
      <c r="AB13" t="s">
        <v>59</v>
      </c>
      <c r="AC13" t="s">
        <v>61</v>
      </c>
      <c r="AD13" t="s">
        <v>27</v>
      </c>
      <c r="AE13" t="s">
        <v>74</v>
      </c>
      <c r="AF13" t="s">
        <v>64</v>
      </c>
      <c r="AG13" t="s">
        <v>45</v>
      </c>
      <c r="AH13" t="s">
        <v>45</v>
      </c>
      <c r="AI13" t="s">
        <v>45</v>
      </c>
      <c r="AJ13" t="s">
        <v>45</v>
      </c>
      <c r="AK13" t="s">
        <v>45</v>
      </c>
      <c r="AL13" t="s">
        <v>45</v>
      </c>
      <c r="AM13" t="s">
        <v>27</v>
      </c>
      <c r="AN13" t="s">
        <v>74</v>
      </c>
      <c r="AO13" t="s">
        <v>64</v>
      </c>
      <c r="AP13" t="s">
        <v>45</v>
      </c>
      <c r="AQ13" t="s">
        <v>45</v>
      </c>
      <c r="AR13" t="s">
        <v>45</v>
      </c>
      <c r="AS13" t="s">
        <v>27</v>
      </c>
      <c r="AT13" t="s">
        <v>74</v>
      </c>
      <c r="AU13" t="s">
        <v>64</v>
      </c>
      <c r="AV13" t="s">
        <v>39</v>
      </c>
      <c r="AW13" t="s">
        <v>77</v>
      </c>
      <c r="AX13" t="s">
        <v>54</v>
      </c>
      <c r="AY13" t="s">
        <v>45</v>
      </c>
      <c r="AZ13" t="s">
        <v>45</v>
      </c>
      <c r="BA13" t="s">
        <v>45</v>
      </c>
      <c r="BB13" t="s">
        <v>45</v>
      </c>
      <c r="BC13" t="s">
        <v>45</v>
      </c>
      <c r="BD13" t="s">
        <v>45</v>
      </c>
      <c r="BE13" t="s">
        <v>39</v>
      </c>
      <c r="BF13" t="s">
        <v>77</v>
      </c>
      <c r="BG13" t="s">
        <v>54</v>
      </c>
      <c r="BH13" t="s">
        <v>45</v>
      </c>
      <c r="BI13" t="s">
        <v>45</v>
      </c>
      <c r="BJ13" t="s">
        <v>45</v>
      </c>
      <c r="BK13" t="s">
        <v>39</v>
      </c>
      <c r="BL13" t="s">
        <v>77</v>
      </c>
      <c r="BM13" t="s">
        <v>54</v>
      </c>
    </row>
    <row r="14" spans="1:65" x14ac:dyDescent="0.2">
      <c r="A14" t="s">
        <v>61</v>
      </c>
      <c r="B14" t="s">
        <v>61</v>
      </c>
      <c r="C14" t="s">
        <v>45</v>
      </c>
      <c r="D14" t="s">
        <v>126</v>
      </c>
      <c r="E14" t="s">
        <v>59</v>
      </c>
      <c r="F14" t="s">
        <v>51</v>
      </c>
      <c r="G14" t="s">
        <v>128</v>
      </c>
      <c r="H14" t="s">
        <v>69</v>
      </c>
      <c r="I14" t="s">
        <v>40</v>
      </c>
      <c r="J14" t="s">
        <v>127</v>
      </c>
      <c r="K14" t="s">
        <v>81</v>
      </c>
      <c r="L14" t="s">
        <v>61</v>
      </c>
      <c r="M14" t="s">
        <v>61</v>
      </c>
      <c r="N14" t="s">
        <v>61</v>
      </c>
      <c r="O14" t="s">
        <v>59</v>
      </c>
      <c r="P14" t="s">
        <v>126</v>
      </c>
      <c r="Q14" t="s">
        <v>45</v>
      </c>
      <c r="R14" t="s">
        <v>61</v>
      </c>
      <c r="S14" t="s">
        <v>61</v>
      </c>
      <c r="T14" t="s">
        <v>61</v>
      </c>
      <c r="U14" t="s">
        <v>61</v>
      </c>
      <c r="V14" t="s">
        <v>61</v>
      </c>
      <c r="W14" t="s">
        <v>61</v>
      </c>
      <c r="X14" t="s">
        <v>59</v>
      </c>
      <c r="Y14" t="s">
        <v>126</v>
      </c>
      <c r="Z14" t="s">
        <v>45</v>
      </c>
      <c r="AA14" t="s">
        <v>45</v>
      </c>
      <c r="AB14" t="s">
        <v>126</v>
      </c>
      <c r="AC14" t="s">
        <v>59</v>
      </c>
      <c r="AD14" t="s">
        <v>61</v>
      </c>
      <c r="AE14" t="s">
        <v>61</v>
      </c>
      <c r="AF14" t="s">
        <v>61</v>
      </c>
      <c r="AG14" t="s">
        <v>69</v>
      </c>
      <c r="AH14" t="s">
        <v>128</v>
      </c>
      <c r="AI14" t="s">
        <v>51</v>
      </c>
      <c r="AJ14" t="s">
        <v>61</v>
      </c>
      <c r="AK14" t="s">
        <v>61</v>
      </c>
      <c r="AL14" t="s">
        <v>61</v>
      </c>
      <c r="AM14" t="s">
        <v>61</v>
      </c>
      <c r="AN14" t="s">
        <v>61</v>
      </c>
      <c r="AO14" t="s">
        <v>61</v>
      </c>
      <c r="AP14" t="s">
        <v>69</v>
      </c>
      <c r="AQ14" t="s">
        <v>128</v>
      </c>
      <c r="AR14" t="s">
        <v>51</v>
      </c>
      <c r="AS14" t="s">
        <v>51</v>
      </c>
      <c r="AT14" t="s">
        <v>128</v>
      </c>
      <c r="AU14" t="s">
        <v>69</v>
      </c>
      <c r="AV14" t="s">
        <v>40</v>
      </c>
      <c r="AW14" t="s">
        <v>127</v>
      </c>
      <c r="AX14" t="s">
        <v>81</v>
      </c>
      <c r="AY14" t="s">
        <v>61</v>
      </c>
      <c r="AZ14" t="s">
        <v>61</v>
      </c>
      <c r="BA14" t="s">
        <v>61</v>
      </c>
      <c r="BB14" t="s">
        <v>61</v>
      </c>
      <c r="BC14" t="s">
        <v>61</v>
      </c>
      <c r="BD14" t="s">
        <v>61</v>
      </c>
      <c r="BE14" t="s">
        <v>40</v>
      </c>
      <c r="BF14" t="s">
        <v>127</v>
      </c>
      <c r="BG14" t="s">
        <v>81</v>
      </c>
      <c r="BH14" t="s">
        <v>61</v>
      </c>
      <c r="BI14" t="s">
        <v>61</v>
      </c>
      <c r="BJ14" t="s">
        <v>61</v>
      </c>
      <c r="BK14" t="s">
        <v>40</v>
      </c>
      <c r="BL14" t="s">
        <v>127</v>
      </c>
      <c r="BM14" t="s">
        <v>81</v>
      </c>
    </row>
    <row r="15" spans="1:65" x14ac:dyDescent="0.2">
      <c r="A15" t="s">
        <v>59</v>
      </c>
      <c r="B15" t="s">
        <v>59</v>
      </c>
      <c r="C15" t="s">
        <v>61</v>
      </c>
      <c r="D15" t="s">
        <v>45</v>
      </c>
      <c r="E15" t="s">
        <v>126</v>
      </c>
      <c r="F15" t="s">
        <v>48</v>
      </c>
      <c r="G15" t="s">
        <v>77</v>
      </c>
      <c r="H15" t="s">
        <v>30</v>
      </c>
      <c r="I15" t="s">
        <v>37</v>
      </c>
      <c r="J15" t="s">
        <v>74</v>
      </c>
      <c r="K15" t="s">
        <v>129</v>
      </c>
      <c r="L15" t="s">
        <v>59</v>
      </c>
      <c r="M15" t="s">
        <v>59</v>
      </c>
      <c r="N15" t="s">
        <v>59</v>
      </c>
      <c r="O15" t="s">
        <v>126</v>
      </c>
      <c r="P15" t="s">
        <v>45</v>
      </c>
      <c r="Q15" t="s">
        <v>61</v>
      </c>
      <c r="R15" t="s">
        <v>59</v>
      </c>
      <c r="S15" t="s">
        <v>59</v>
      </c>
      <c r="T15" t="s">
        <v>59</v>
      </c>
      <c r="U15" t="s">
        <v>59</v>
      </c>
      <c r="V15" t="s">
        <v>59</v>
      </c>
      <c r="W15" t="s">
        <v>59</v>
      </c>
      <c r="X15" t="s">
        <v>126</v>
      </c>
      <c r="Y15" t="s">
        <v>45</v>
      </c>
      <c r="Z15" t="s">
        <v>61</v>
      </c>
      <c r="AA15" t="s">
        <v>61</v>
      </c>
      <c r="AB15" t="s">
        <v>45</v>
      </c>
      <c r="AC15" t="s">
        <v>126</v>
      </c>
      <c r="AD15" t="s">
        <v>59</v>
      </c>
      <c r="AE15" t="s">
        <v>59</v>
      </c>
      <c r="AF15" t="s">
        <v>59</v>
      </c>
      <c r="AG15" t="s">
        <v>30</v>
      </c>
      <c r="AH15" t="s">
        <v>77</v>
      </c>
      <c r="AI15" t="s">
        <v>48</v>
      </c>
      <c r="AJ15" t="s">
        <v>59</v>
      </c>
      <c r="AK15" t="s">
        <v>59</v>
      </c>
      <c r="AL15" t="s">
        <v>59</v>
      </c>
      <c r="AM15" t="s">
        <v>59</v>
      </c>
      <c r="AN15" t="s">
        <v>59</v>
      </c>
      <c r="AO15" t="s">
        <v>59</v>
      </c>
      <c r="AP15" t="s">
        <v>30</v>
      </c>
      <c r="AQ15" t="s">
        <v>77</v>
      </c>
      <c r="AR15" t="s">
        <v>48</v>
      </c>
      <c r="AS15" t="s">
        <v>48</v>
      </c>
      <c r="AT15" t="s">
        <v>77</v>
      </c>
      <c r="AU15" t="s">
        <v>30</v>
      </c>
      <c r="AV15" t="s">
        <v>59</v>
      </c>
      <c r="AW15" t="s">
        <v>59</v>
      </c>
      <c r="AX15" t="s">
        <v>59</v>
      </c>
      <c r="AY15" t="s">
        <v>129</v>
      </c>
      <c r="AZ15" t="s">
        <v>74</v>
      </c>
      <c r="BA15" t="s">
        <v>37</v>
      </c>
      <c r="BB15" t="s">
        <v>59</v>
      </c>
      <c r="BC15" t="s">
        <v>59</v>
      </c>
      <c r="BD15" t="s">
        <v>59</v>
      </c>
      <c r="BE15" t="s">
        <v>59</v>
      </c>
      <c r="BF15" t="s">
        <v>59</v>
      </c>
      <c r="BG15" t="s">
        <v>59</v>
      </c>
      <c r="BH15" t="s">
        <v>129</v>
      </c>
      <c r="BI15" t="s">
        <v>74</v>
      </c>
      <c r="BJ15" t="s">
        <v>37</v>
      </c>
      <c r="BK15" t="s">
        <v>37</v>
      </c>
      <c r="BL15" t="s">
        <v>74</v>
      </c>
      <c r="BM15" t="s">
        <v>129</v>
      </c>
    </row>
    <row r="16" spans="1:65" x14ac:dyDescent="0.2">
      <c r="A16" t="s">
        <v>90</v>
      </c>
      <c r="B16" t="s">
        <v>90</v>
      </c>
      <c r="C16" t="s">
        <v>37</v>
      </c>
      <c r="D16" t="s">
        <v>51</v>
      </c>
      <c r="E16" t="s">
        <v>54</v>
      </c>
      <c r="F16" t="s">
        <v>126</v>
      </c>
      <c r="G16" t="s">
        <v>79</v>
      </c>
      <c r="H16" t="s">
        <v>127</v>
      </c>
      <c r="I16" t="s">
        <v>64</v>
      </c>
      <c r="J16" t="s">
        <v>69</v>
      </c>
      <c r="K16" t="s">
        <v>30</v>
      </c>
      <c r="L16" t="s">
        <v>90</v>
      </c>
      <c r="M16" t="s">
        <v>90</v>
      </c>
      <c r="N16" t="s">
        <v>90</v>
      </c>
      <c r="O16" t="s">
        <v>54</v>
      </c>
      <c r="P16" t="s">
        <v>51</v>
      </c>
      <c r="Q16" t="s">
        <v>37</v>
      </c>
      <c r="R16" t="s">
        <v>90</v>
      </c>
      <c r="S16" t="s">
        <v>90</v>
      </c>
      <c r="T16" t="s">
        <v>90</v>
      </c>
      <c r="U16" t="s">
        <v>90</v>
      </c>
      <c r="V16" t="s">
        <v>90</v>
      </c>
      <c r="W16" t="s">
        <v>90</v>
      </c>
      <c r="X16" t="s">
        <v>54</v>
      </c>
      <c r="Y16" t="s">
        <v>51</v>
      </c>
      <c r="Z16" t="s">
        <v>37</v>
      </c>
      <c r="AA16" t="s">
        <v>37</v>
      </c>
      <c r="AB16" t="s">
        <v>51</v>
      </c>
      <c r="AC16" t="s">
        <v>54</v>
      </c>
      <c r="AD16" t="s">
        <v>126</v>
      </c>
      <c r="AE16" t="s">
        <v>79</v>
      </c>
      <c r="AF16" t="s">
        <v>127</v>
      </c>
      <c r="AG16" t="s">
        <v>90</v>
      </c>
      <c r="AH16" t="s">
        <v>90</v>
      </c>
      <c r="AI16" t="s">
        <v>90</v>
      </c>
      <c r="AJ16" t="s">
        <v>90</v>
      </c>
      <c r="AK16" t="s">
        <v>90</v>
      </c>
      <c r="AL16" t="s">
        <v>90</v>
      </c>
      <c r="AM16" t="s">
        <v>126</v>
      </c>
      <c r="AN16" t="s">
        <v>79</v>
      </c>
      <c r="AO16" t="s">
        <v>127</v>
      </c>
      <c r="AP16" t="s">
        <v>90</v>
      </c>
      <c r="AQ16" t="s">
        <v>90</v>
      </c>
      <c r="AR16" t="s">
        <v>90</v>
      </c>
      <c r="AS16" t="s">
        <v>126</v>
      </c>
      <c r="AT16" t="s">
        <v>79</v>
      </c>
      <c r="AU16" t="s">
        <v>127</v>
      </c>
      <c r="AV16" t="s">
        <v>64</v>
      </c>
      <c r="AW16" t="s">
        <v>69</v>
      </c>
      <c r="AX16" t="s">
        <v>30</v>
      </c>
      <c r="AY16" t="s">
        <v>90</v>
      </c>
      <c r="AZ16" t="s">
        <v>90</v>
      </c>
      <c r="BA16" t="s">
        <v>90</v>
      </c>
      <c r="BB16" t="s">
        <v>90</v>
      </c>
      <c r="BC16" t="s">
        <v>90</v>
      </c>
      <c r="BD16" t="s">
        <v>90</v>
      </c>
      <c r="BE16" t="s">
        <v>64</v>
      </c>
      <c r="BF16" t="s">
        <v>69</v>
      </c>
      <c r="BG16" t="s">
        <v>30</v>
      </c>
      <c r="BH16" t="s">
        <v>90</v>
      </c>
      <c r="BI16" t="s">
        <v>90</v>
      </c>
      <c r="BJ16" t="s">
        <v>90</v>
      </c>
      <c r="BK16" t="s">
        <v>64</v>
      </c>
      <c r="BL16" t="s">
        <v>69</v>
      </c>
      <c r="BM16" t="s">
        <v>30</v>
      </c>
    </row>
    <row r="17" spans="1:65" x14ac:dyDescent="0.2">
      <c r="A17" t="s">
        <v>64</v>
      </c>
      <c r="B17" t="s">
        <v>64</v>
      </c>
      <c r="C17" t="s">
        <v>38</v>
      </c>
      <c r="D17" t="s">
        <v>48</v>
      </c>
      <c r="E17" t="s">
        <v>81</v>
      </c>
      <c r="F17" t="s">
        <v>45</v>
      </c>
      <c r="G17" t="s">
        <v>27</v>
      </c>
      <c r="H17" t="s">
        <v>74</v>
      </c>
      <c r="I17" t="s">
        <v>69</v>
      </c>
      <c r="J17" t="s">
        <v>30</v>
      </c>
      <c r="K17" t="s">
        <v>90</v>
      </c>
      <c r="L17" t="s">
        <v>38</v>
      </c>
      <c r="M17" t="s">
        <v>48</v>
      </c>
      <c r="N17" t="s">
        <v>81</v>
      </c>
      <c r="O17" t="s">
        <v>64</v>
      </c>
      <c r="P17" t="s">
        <v>64</v>
      </c>
      <c r="Q17" t="s">
        <v>64</v>
      </c>
      <c r="R17" t="s">
        <v>64</v>
      </c>
      <c r="S17" t="s">
        <v>64</v>
      </c>
      <c r="T17" t="s">
        <v>64</v>
      </c>
      <c r="U17" t="s">
        <v>38</v>
      </c>
      <c r="V17" t="s">
        <v>48</v>
      </c>
      <c r="W17" t="s">
        <v>81</v>
      </c>
      <c r="X17" t="s">
        <v>64</v>
      </c>
      <c r="Y17" t="s">
        <v>64</v>
      </c>
      <c r="Z17" t="s">
        <v>64</v>
      </c>
      <c r="AA17" t="s">
        <v>38</v>
      </c>
      <c r="AB17" t="s">
        <v>48</v>
      </c>
      <c r="AC17" t="s">
        <v>81</v>
      </c>
      <c r="AD17" t="s">
        <v>45</v>
      </c>
      <c r="AE17" t="s">
        <v>27</v>
      </c>
      <c r="AF17" t="s">
        <v>74</v>
      </c>
      <c r="AG17" t="s">
        <v>64</v>
      </c>
      <c r="AH17" t="s">
        <v>64</v>
      </c>
      <c r="AI17" t="s">
        <v>64</v>
      </c>
      <c r="AJ17" t="s">
        <v>64</v>
      </c>
      <c r="AK17" t="s">
        <v>64</v>
      </c>
      <c r="AL17" t="s">
        <v>64</v>
      </c>
      <c r="AM17" t="s">
        <v>45</v>
      </c>
      <c r="AN17" t="s">
        <v>27</v>
      </c>
      <c r="AO17" t="s">
        <v>74</v>
      </c>
      <c r="AP17" t="s">
        <v>64</v>
      </c>
      <c r="AQ17" t="s">
        <v>64</v>
      </c>
      <c r="AR17" t="s">
        <v>64</v>
      </c>
      <c r="AS17" t="s">
        <v>45</v>
      </c>
      <c r="AT17" t="s">
        <v>27</v>
      </c>
      <c r="AU17" t="s">
        <v>74</v>
      </c>
      <c r="AV17" t="s">
        <v>69</v>
      </c>
      <c r="AW17" t="s">
        <v>30</v>
      </c>
      <c r="AX17" t="s">
        <v>90</v>
      </c>
      <c r="AY17" t="s">
        <v>64</v>
      </c>
      <c r="AZ17" t="s">
        <v>64</v>
      </c>
      <c r="BA17" t="s">
        <v>64</v>
      </c>
      <c r="BB17" t="s">
        <v>64</v>
      </c>
      <c r="BC17" t="s">
        <v>64</v>
      </c>
      <c r="BD17" t="s">
        <v>64</v>
      </c>
      <c r="BE17" t="s">
        <v>69</v>
      </c>
      <c r="BF17" t="s">
        <v>30</v>
      </c>
      <c r="BG17" t="s">
        <v>90</v>
      </c>
      <c r="BH17" t="s">
        <v>64</v>
      </c>
      <c r="BI17" t="s">
        <v>64</v>
      </c>
      <c r="BJ17" t="s">
        <v>64</v>
      </c>
      <c r="BK17" t="s">
        <v>69</v>
      </c>
      <c r="BL17" t="s">
        <v>30</v>
      </c>
      <c r="BM17" t="s">
        <v>90</v>
      </c>
    </row>
    <row r="18" spans="1:65" x14ac:dyDescent="0.2">
      <c r="A18" t="s">
        <v>69</v>
      </c>
      <c r="B18" t="s">
        <v>69</v>
      </c>
      <c r="C18" t="s">
        <v>39</v>
      </c>
      <c r="D18" t="s">
        <v>79</v>
      </c>
      <c r="E18" t="s">
        <v>129</v>
      </c>
      <c r="F18" t="s">
        <v>61</v>
      </c>
      <c r="G18" t="s">
        <v>51</v>
      </c>
      <c r="H18" t="s">
        <v>128</v>
      </c>
      <c r="I18" t="s">
        <v>30</v>
      </c>
      <c r="J18" t="s">
        <v>90</v>
      </c>
      <c r="K18" t="s">
        <v>64</v>
      </c>
      <c r="L18" t="s">
        <v>39</v>
      </c>
      <c r="M18" t="s">
        <v>79</v>
      </c>
      <c r="N18" t="s">
        <v>129</v>
      </c>
      <c r="O18" t="s">
        <v>69</v>
      </c>
      <c r="P18" t="s">
        <v>69</v>
      </c>
      <c r="Q18" t="s">
        <v>69</v>
      </c>
      <c r="R18" t="s">
        <v>69</v>
      </c>
      <c r="S18" t="s">
        <v>69</v>
      </c>
      <c r="T18" t="s">
        <v>69</v>
      </c>
      <c r="U18" t="s">
        <v>39</v>
      </c>
      <c r="V18" t="s">
        <v>79</v>
      </c>
      <c r="W18" t="s">
        <v>129</v>
      </c>
      <c r="X18" t="s">
        <v>69</v>
      </c>
      <c r="Y18" t="s">
        <v>69</v>
      </c>
      <c r="Z18" t="s">
        <v>69</v>
      </c>
      <c r="AA18" t="s">
        <v>39</v>
      </c>
      <c r="AB18" t="s">
        <v>79</v>
      </c>
      <c r="AC18" t="s">
        <v>129</v>
      </c>
      <c r="AD18" t="s">
        <v>69</v>
      </c>
      <c r="AE18" t="s">
        <v>69</v>
      </c>
      <c r="AF18" t="s">
        <v>69</v>
      </c>
      <c r="AG18" t="s">
        <v>128</v>
      </c>
      <c r="AH18" t="s">
        <v>51</v>
      </c>
      <c r="AI18" t="s">
        <v>61</v>
      </c>
      <c r="AJ18" t="s">
        <v>69</v>
      </c>
      <c r="AK18" t="s">
        <v>69</v>
      </c>
      <c r="AL18" t="s">
        <v>69</v>
      </c>
      <c r="AM18" t="s">
        <v>69</v>
      </c>
      <c r="AN18" t="s">
        <v>69</v>
      </c>
      <c r="AO18" t="s">
        <v>69</v>
      </c>
      <c r="AP18" t="s">
        <v>128</v>
      </c>
      <c r="AQ18" t="s">
        <v>51</v>
      </c>
      <c r="AR18" t="s">
        <v>61</v>
      </c>
      <c r="AS18" t="s">
        <v>61</v>
      </c>
      <c r="AT18" t="s">
        <v>51</v>
      </c>
      <c r="AU18" t="s">
        <v>128</v>
      </c>
      <c r="AV18" t="s">
        <v>30</v>
      </c>
      <c r="AW18" t="s">
        <v>90</v>
      </c>
      <c r="AX18" t="s">
        <v>64</v>
      </c>
      <c r="AY18" t="s">
        <v>69</v>
      </c>
      <c r="AZ18" t="s">
        <v>69</v>
      </c>
      <c r="BA18" t="s">
        <v>69</v>
      </c>
      <c r="BB18" t="s">
        <v>69</v>
      </c>
      <c r="BC18" t="s">
        <v>69</v>
      </c>
      <c r="BD18" t="s">
        <v>69</v>
      </c>
      <c r="BE18" t="s">
        <v>30</v>
      </c>
      <c r="BF18" t="s">
        <v>90</v>
      </c>
      <c r="BG18" t="s">
        <v>64</v>
      </c>
      <c r="BH18" t="s">
        <v>69</v>
      </c>
      <c r="BI18" t="s">
        <v>69</v>
      </c>
      <c r="BJ18" t="s">
        <v>69</v>
      </c>
      <c r="BK18" t="s">
        <v>30</v>
      </c>
      <c r="BL18" t="s">
        <v>90</v>
      </c>
      <c r="BM18" t="s">
        <v>64</v>
      </c>
    </row>
    <row r="19" spans="1:65" x14ac:dyDescent="0.2">
      <c r="A19" t="s">
        <v>30</v>
      </c>
      <c r="B19" t="s">
        <v>30</v>
      </c>
      <c r="C19" t="s">
        <v>40</v>
      </c>
      <c r="D19" t="s">
        <v>27</v>
      </c>
      <c r="E19" t="s">
        <v>0</v>
      </c>
      <c r="F19" t="s">
        <v>59</v>
      </c>
      <c r="G19" t="s">
        <v>48</v>
      </c>
      <c r="H19" t="s">
        <v>77</v>
      </c>
      <c r="I19" t="s">
        <v>90</v>
      </c>
      <c r="J19" t="s">
        <v>64</v>
      </c>
      <c r="K19" t="s">
        <v>69</v>
      </c>
      <c r="L19" t="s">
        <v>30</v>
      </c>
      <c r="M19" t="s">
        <v>30</v>
      </c>
      <c r="N19" t="s">
        <v>30</v>
      </c>
      <c r="O19" t="s">
        <v>0</v>
      </c>
      <c r="P19" t="s">
        <v>27</v>
      </c>
      <c r="Q19" t="s">
        <v>40</v>
      </c>
      <c r="R19" t="s">
        <v>30</v>
      </c>
      <c r="S19" t="s">
        <v>30</v>
      </c>
      <c r="T19" t="s">
        <v>30</v>
      </c>
      <c r="U19" t="s">
        <v>30</v>
      </c>
      <c r="V19" t="s">
        <v>30</v>
      </c>
      <c r="W19" t="s">
        <v>30</v>
      </c>
      <c r="X19" t="s">
        <v>0</v>
      </c>
      <c r="Y19" t="s">
        <v>27</v>
      </c>
      <c r="Z19" t="s">
        <v>40</v>
      </c>
      <c r="AA19" t="s">
        <v>40</v>
      </c>
      <c r="AB19" t="s">
        <v>27</v>
      </c>
      <c r="AC19" t="s">
        <v>0</v>
      </c>
      <c r="AD19" t="s">
        <v>30</v>
      </c>
      <c r="AE19" t="s">
        <v>30</v>
      </c>
      <c r="AF19" t="s">
        <v>30</v>
      </c>
      <c r="AG19" t="s">
        <v>77</v>
      </c>
      <c r="AH19" t="s">
        <v>48</v>
      </c>
      <c r="AI19" t="s">
        <v>59</v>
      </c>
      <c r="AJ19" t="s">
        <v>30</v>
      </c>
      <c r="AK19" t="s">
        <v>30</v>
      </c>
      <c r="AL19" t="s">
        <v>30</v>
      </c>
      <c r="AM19" t="s">
        <v>30</v>
      </c>
      <c r="AN19" t="s">
        <v>30</v>
      </c>
      <c r="AO19" t="s">
        <v>30</v>
      </c>
      <c r="AP19" t="s">
        <v>77</v>
      </c>
      <c r="AQ19" t="s">
        <v>48</v>
      </c>
      <c r="AR19" t="s">
        <v>59</v>
      </c>
      <c r="AS19" t="s">
        <v>59</v>
      </c>
      <c r="AT19" t="s">
        <v>48</v>
      </c>
      <c r="AU19" t="s">
        <v>77</v>
      </c>
      <c r="AV19" t="s">
        <v>90</v>
      </c>
      <c r="AW19" t="s">
        <v>64</v>
      </c>
      <c r="AX19" t="s">
        <v>69</v>
      </c>
      <c r="AY19" t="s">
        <v>30</v>
      </c>
      <c r="AZ19" t="s">
        <v>30</v>
      </c>
      <c r="BA19" t="s">
        <v>30</v>
      </c>
      <c r="BB19" t="s">
        <v>30</v>
      </c>
      <c r="BC19" t="s">
        <v>30</v>
      </c>
      <c r="BD19" t="s">
        <v>30</v>
      </c>
      <c r="BE19" t="s">
        <v>90</v>
      </c>
      <c r="BF19" t="s">
        <v>64</v>
      </c>
      <c r="BG19" t="s">
        <v>69</v>
      </c>
      <c r="BH19" t="s">
        <v>30</v>
      </c>
      <c r="BI19" t="s">
        <v>30</v>
      </c>
      <c r="BJ19" t="s">
        <v>30</v>
      </c>
      <c r="BK19" t="s">
        <v>90</v>
      </c>
      <c r="BL19" t="s">
        <v>64</v>
      </c>
      <c r="BM19" t="s">
        <v>69</v>
      </c>
    </row>
    <row r="20" spans="1:65" x14ac:dyDescent="0.2">
      <c r="A20" t="s">
        <v>127</v>
      </c>
      <c r="B20" t="s">
        <v>127</v>
      </c>
      <c r="C20" t="s">
        <v>74</v>
      </c>
      <c r="D20" t="s">
        <v>128</v>
      </c>
      <c r="E20" t="s">
        <v>77</v>
      </c>
      <c r="F20" t="s">
        <v>90</v>
      </c>
      <c r="G20" t="s">
        <v>126</v>
      </c>
      <c r="H20" t="s">
        <v>79</v>
      </c>
      <c r="I20" t="s">
        <v>81</v>
      </c>
      <c r="J20" t="s">
        <v>61</v>
      </c>
      <c r="K20" t="s">
        <v>40</v>
      </c>
      <c r="L20" t="s">
        <v>74</v>
      </c>
      <c r="M20" t="s">
        <v>128</v>
      </c>
      <c r="N20" t="s">
        <v>77</v>
      </c>
      <c r="O20" t="s">
        <v>127</v>
      </c>
      <c r="P20" t="s">
        <v>127</v>
      </c>
      <c r="Q20" t="s">
        <v>127</v>
      </c>
      <c r="R20" t="s">
        <v>127</v>
      </c>
      <c r="S20" t="s">
        <v>127</v>
      </c>
      <c r="T20" t="s">
        <v>127</v>
      </c>
      <c r="U20" t="s">
        <v>74</v>
      </c>
      <c r="V20" t="s">
        <v>128</v>
      </c>
      <c r="W20" t="s">
        <v>77</v>
      </c>
      <c r="X20" t="s">
        <v>127</v>
      </c>
      <c r="Y20" t="s">
        <v>127</v>
      </c>
      <c r="Z20" t="s">
        <v>127</v>
      </c>
      <c r="AA20" t="s">
        <v>74</v>
      </c>
      <c r="AB20" t="s">
        <v>128</v>
      </c>
      <c r="AC20" t="s">
        <v>77</v>
      </c>
      <c r="AD20" t="s">
        <v>90</v>
      </c>
      <c r="AE20" t="s">
        <v>126</v>
      </c>
      <c r="AF20" t="s">
        <v>79</v>
      </c>
      <c r="AG20" t="s">
        <v>127</v>
      </c>
      <c r="AH20" t="s">
        <v>127</v>
      </c>
      <c r="AI20" t="s">
        <v>127</v>
      </c>
      <c r="AJ20" t="s">
        <v>127</v>
      </c>
      <c r="AK20" t="s">
        <v>127</v>
      </c>
      <c r="AL20" t="s">
        <v>127</v>
      </c>
      <c r="AM20" t="s">
        <v>90</v>
      </c>
      <c r="AN20" t="s">
        <v>126</v>
      </c>
      <c r="AO20" t="s">
        <v>79</v>
      </c>
      <c r="AP20" t="s">
        <v>127</v>
      </c>
      <c r="AQ20" t="s">
        <v>127</v>
      </c>
      <c r="AR20" t="s">
        <v>127</v>
      </c>
      <c r="AS20" t="s">
        <v>90</v>
      </c>
      <c r="AT20" t="s">
        <v>126</v>
      </c>
      <c r="AU20" t="s">
        <v>79</v>
      </c>
      <c r="AV20" t="s">
        <v>81</v>
      </c>
      <c r="AW20" t="s">
        <v>61</v>
      </c>
      <c r="AX20" t="s">
        <v>40</v>
      </c>
      <c r="AY20" t="s">
        <v>127</v>
      </c>
      <c r="AZ20" t="s">
        <v>127</v>
      </c>
      <c r="BA20" t="s">
        <v>127</v>
      </c>
      <c r="BB20" t="s">
        <v>127</v>
      </c>
      <c r="BC20" t="s">
        <v>127</v>
      </c>
      <c r="BD20" t="s">
        <v>127</v>
      </c>
      <c r="BE20" t="s">
        <v>81</v>
      </c>
      <c r="BF20" t="s">
        <v>61</v>
      </c>
      <c r="BG20" t="s">
        <v>40</v>
      </c>
      <c r="BH20" t="s">
        <v>127</v>
      </c>
      <c r="BI20" t="s">
        <v>127</v>
      </c>
      <c r="BJ20" t="s">
        <v>127</v>
      </c>
      <c r="BK20" t="s">
        <v>81</v>
      </c>
      <c r="BL20" t="s">
        <v>61</v>
      </c>
      <c r="BM20" t="s">
        <v>40</v>
      </c>
    </row>
    <row r="21" spans="1:65" x14ac:dyDescent="0.2">
      <c r="A21" t="s">
        <v>74</v>
      </c>
      <c r="B21" t="s">
        <v>74</v>
      </c>
      <c r="C21" t="s">
        <v>128</v>
      </c>
      <c r="D21" t="s">
        <v>77</v>
      </c>
      <c r="E21" t="s">
        <v>127</v>
      </c>
      <c r="F21" t="s">
        <v>64</v>
      </c>
      <c r="G21" t="s">
        <v>45</v>
      </c>
      <c r="H21" t="s">
        <v>27</v>
      </c>
      <c r="I21" t="s">
        <v>129</v>
      </c>
      <c r="J21" t="s">
        <v>59</v>
      </c>
      <c r="K21" t="s">
        <v>37</v>
      </c>
      <c r="L21" t="s">
        <v>128</v>
      </c>
      <c r="M21" t="s">
        <v>77</v>
      </c>
      <c r="N21" t="s">
        <v>127</v>
      </c>
      <c r="O21" t="s">
        <v>74</v>
      </c>
      <c r="P21" t="s">
        <v>74</v>
      </c>
      <c r="Q21" t="s">
        <v>74</v>
      </c>
      <c r="R21" t="s">
        <v>74</v>
      </c>
      <c r="S21" t="s">
        <v>74</v>
      </c>
      <c r="T21" t="s">
        <v>74</v>
      </c>
      <c r="U21" t="s">
        <v>128</v>
      </c>
      <c r="V21" t="s">
        <v>77</v>
      </c>
      <c r="W21" t="s">
        <v>127</v>
      </c>
      <c r="X21" t="s">
        <v>74</v>
      </c>
      <c r="Y21" t="s">
        <v>74</v>
      </c>
      <c r="Z21" t="s">
        <v>74</v>
      </c>
      <c r="AA21" t="s">
        <v>128</v>
      </c>
      <c r="AB21" t="s">
        <v>77</v>
      </c>
      <c r="AC21" t="s">
        <v>127</v>
      </c>
      <c r="AD21" t="s">
        <v>64</v>
      </c>
      <c r="AE21" t="s">
        <v>45</v>
      </c>
      <c r="AF21" t="s">
        <v>27</v>
      </c>
      <c r="AG21" t="s">
        <v>74</v>
      </c>
      <c r="AH21" t="s">
        <v>74</v>
      </c>
      <c r="AI21" t="s">
        <v>74</v>
      </c>
      <c r="AJ21" t="s">
        <v>74</v>
      </c>
      <c r="AK21" t="s">
        <v>74</v>
      </c>
      <c r="AL21" t="s">
        <v>74</v>
      </c>
      <c r="AM21" t="s">
        <v>64</v>
      </c>
      <c r="AN21" t="s">
        <v>45</v>
      </c>
      <c r="AO21" t="s">
        <v>27</v>
      </c>
      <c r="AP21" t="s">
        <v>74</v>
      </c>
      <c r="AQ21" t="s">
        <v>74</v>
      </c>
      <c r="AR21" t="s">
        <v>74</v>
      </c>
      <c r="AS21" t="s">
        <v>64</v>
      </c>
      <c r="AT21" t="s">
        <v>45</v>
      </c>
      <c r="AU21" t="s">
        <v>27</v>
      </c>
      <c r="AV21" t="s">
        <v>74</v>
      </c>
      <c r="AW21" t="s">
        <v>74</v>
      </c>
      <c r="AX21" t="s">
        <v>74</v>
      </c>
      <c r="AY21" t="s">
        <v>37</v>
      </c>
      <c r="AZ21" t="s">
        <v>59</v>
      </c>
      <c r="BA21" t="s">
        <v>129</v>
      </c>
      <c r="BB21" t="s">
        <v>74</v>
      </c>
      <c r="BC21" t="s">
        <v>74</v>
      </c>
      <c r="BD21" t="s">
        <v>74</v>
      </c>
      <c r="BE21" t="s">
        <v>74</v>
      </c>
      <c r="BF21" t="s">
        <v>74</v>
      </c>
      <c r="BG21" t="s">
        <v>74</v>
      </c>
      <c r="BH21" t="s">
        <v>37</v>
      </c>
      <c r="BI21" t="s">
        <v>59</v>
      </c>
      <c r="BJ21" t="s">
        <v>129</v>
      </c>
      <c r="BK21" t="s">
        <v>129</v>
      </c>
      <c r="BL21" t="s">
        <v>59</v>
      </c>
      <c r="BM21" t="s">
        <v>37</v>
      </c>
    </row>
    <row r="22" spans="1:65" x14ac:dyDescent="0.2">
      <c r="A22" t="s">
        <v>128</v>
      </c>
      <c r="B22" t="s">
        <v>128</v>
      </c>
      <c r="C22" t="s">
        <v>77</v>
      </c>
      <c r="D22" t="s">
        <v>127</v>
      </c>
      <c r="E22" t="s">
        <v>74</v>
      </c>
      <c r="F22" t="s">
        <v>69</v>
      </c>
      <c r="G22" t="s">
        <v>61</v>
      </c>
      <c r="H22" t="s">
        <v>51</v>
      </c>
      <c r="I22" t="s">
        <v>0</v>
      </c>
      <c r="J22" t="s">
        <v>126</v>
      </c>
      <c r="K22" t="s">
        <v>38</v>
      </c>
      <c r="L22" t="s">
        <v>77</v>
      </c>
      <c r="M22" t="s">
        <v>127</v>
      </c>
      <c r="N22" t="s">
        <v>74</v>
      </c>
      <c r="O22" t="s">
        <v>128</v>
      </c>
      <c r="P22" t="s">
        <v>128</v>
      </c>
      <c r="Q22" t="s">
        <v>128</v>
      </c>
      <c r="R22" t="s">
        <v>128</v>
      </c>
      <c r="S22" t="s">
        <v>128</v>
      </c>
      <c r="T22" t="s">
        <v>128</v>
      </c>
      <c r="U22" t="s">
        <v>77</v>
      </c>
      <c r="V22" t="s">
        <v>127</v>
      </c>
      <c r="W22" t="s">
        <v>74</v>
      </c>
      <c r="X22" t="s">
        <v>128</v>
      </c>
      <c r="Y22" t="s">
        <v>128</v>
      </c>
      <c r="Z22" t="s">
        <v>128</v>
      </c>
      <c r="AA22" t="s">
        <v>77</v>
      </c>
      <c r="AB22" t="s">
        <v>127</v>
      </c>
      <c r="AC22" t="s">
        <v>74</v>
      </c>
      <c r="AD22" t="s">
        <v>128</v>
      </c>
      <c r="AE22" t="s">
        <v>128</v>
      </c>
      <c r="AF22" t="s">
        <v>128</v>
      </c>
      <c r="AG22" t="s">
        <v>51</v>
      </c>
      <c r="AH22" t="s">
        <v>61</v>
      </c>
      <c r="AI22" t="s">
        <v>69</v>
      </c>
      <c r="AJ22" t="s">
        <v>128</v>
      </c>
      <c r="AK22" t="s">
        <v>128</v>
      </c>
      <c r="AL22" t="s">
        <v>128</v>
      </c>
      <c r="AM22" t="s">
        <v>128</v>
      </c>
      <c r="AN22" t="s">
        <v>128</v>
      </c>
      <c r="AO22" t="s">
        <v>128</v>
      </c>
      <c r="AP22" t="s">
        <v>51</v>
      </c>
      <c r="AQ22" t="s">
        <v>61</v>
      </c>
      <c r="AR22" t="s">
        <v>69</v>
      </c>
      <c r="AS22" t="s">
        <v>69</v>
      </c>
      <c r="AT22" t="s">
        <v>61</v>
      </c>
      <c r="AU22" t="s">
        <v>51</v>
      </c>
      <c r="AV22" t="s">
        <v>128</v>
      </c>
      <c r="AW22" t="s">
        <v>128</v>
      </c>
      <c r="AX22" t="s">
        <v>128</v>
      </c>
      <c r="AY22" t="s">
        <v>38</v>
      </c>
      <c r="AZ22" t="s">
        <v>126</v>
      </c>
      <c r="BA22" t="s">
        <v>0</v>
      </c>
      <c r="BB22" t="s">
        <v>128</v>
      </c>
      <c r="BC22" t="s">
        <v>128</v>
      </c>
      <c r="BD22" t="s">
        <v>128</v>
      </c>
      <c r="BE22" t="s">
        <v>128</v>
      </c>
      <c r="BF22" t="s">
        <v>128</v>
      </c>
      <c r="BG22" t="s">
        <v>128</v>
      </c>
      <c r="BH22" t="s">
        <v>38</v>
      </c>
      <c r="BI22" t="s">
        <v>126</v>
      </c>
      <c r="BJ22" t="s">
        <v>0</v>
      </c>
      <c r="BK22" t="s">
        <v>0</v>
      </c>
      <c r="BL22" t="s">
        <v>126</v>
      </c>
      <c r="BM22" t="s">
        <v>38</v>
      </c>
    </row>
    <row r="23" spans="1:65" x14ac:dyDescent="0.2">
      <c r="A23" t="s">
        <v>77</v>
      </c>
      <c r="B23" t="s">
        <v>77</v>
      </c>
      <c r="C23" t="s">
        <v>127</v>
      </c>
      <c r="D23" t="s">
        <v>74</v>
      </c>
      <c r="E23" t="s">
        <v>128</v>
      </c>
      <c r="F23" t="s">
        <v>30</v>
      </c>
      <c r="G23" t="s">
        <v>59</v>
      </c>
      <c r="H23" t="s">
        <v>48</v>
      </c>
      <c r="I23" t="s">
        <v>54</v>
      </c>
      <c r="J23" t="s">
        <v>45</v>
      </c>
      <c r="K23" t="s">
        <v>39</v>
      </c>
      <c r="L23" t="s">
        <v>127</v>
      </c>
      <c r="M23" t="s">
        <v>74</v>
      </c>
      <c r="N23" t="s">
        <v>128</v>
      </c>
      <c r="O23" t="s">
        <v>77</v>
      </c>
      <c r="P23" t="s">
        <v>77</v>
      </c>
      <c r="Q23" t="s">
        <v>77</v>
      </c>
      <c r="R23" t="s">
        <v>77</v>
      </c>
      <c r="S23" t="s">
        <v>77</v>
      </c>
      <c r="T23" t="s">
        <v>77</v>
      </c>
      <c r="U23" t="s">
        <v>127</v>
      </c>
      <c r="V23" t="s">
        <v>74</v>
      </c>
      <c r="W23" t="s">
        <v>128</v>
      </c>
      <c r="X23" t="s">
        <v>77</v>
      </c>
      <c r="Y23" t="s">
        <v>77</v>
      </c>
      <c r="Z23" t="s">
        <v>77</v>
      </c>
      <c r="AA23" t="s">
        <v>127</v>
      </c>
      <c r="AB23" t="s">
        <v>74</v>
      </c>
      <c r="AC23" t="s">
        <v>128</v>
      </c>
      <c r="AD23" t="s">
        <v>77</v>
      </c>
      <c r="AE23" t="s">
        <v>77</v>
      </c>
      <c r="AF23" t="s">
        <v>77</v>
      </c>
      <c r="AG23" t="s">
        <v>48</v>
      </c>
      <c r="AH23" t="s">
        <v>59</v>
      </c>
      <c r="AI23" t="s">
        <v>30</v>
      </c>
      <c r="AJ23" t="s">
        <v>77</v>
      </c>
      <c r="AK23" t="s">
        <v>77</v>
      </c>
      <c r="AL23" t="s">
        <v>77</v>
      </c>
      <c r="AM23" t="s">
        <v>77</v>
      </c>
      <c r="AN23" t="s">
        <v>77</v>
      </c>
      <c r="AO23" t="s">
        <v>77</v>
      </c>
      <c r="AP23" t="s">
        <v>48</v>
      </c>
      <c r="AQ23" t="s">
        <v>59</v>
      </c>
      <c r="AR23" t="s">
        <v>30</v>
      </c>
      <c r="AS23" t="s">
        <v>30</v>
      </c>
      <c r="AT23" t="s">
        <v>59</v>
      </c>
      <c r="AU23" t="s">
        <v>48</v>
      </c>
      <c r="AV23" t="s">
        <v>54</v>
      </c>
      <c r="AW23" t="s">
        <v>45</v>
      </c>
      <c r="AX23" t="s">
        <v>39</v>
      </c>
      <c r="AY23" t="s">
        <v>77</v>
      </c>
      <c r="AZ23" t="s">
        <v>77</v>
      </c>
      <c r="BA23" t="s">
        <v>77</v>
      </c>
      <c r="BB23" t="s">
        <v>77</v>
      </c>
      <c r="BC23" t="s">
        <v>77</v>
      </c>
      <c r="BD23" t="s">
        <v>77</v>
      </c>
      <c r="BE23" t="s">
        <v>54</v>
      </c>
      <c r="BF23" t="s">
        <v>45</v>
      </c>
      <c r="BG23" t="s">
        <v>39</v>
      </c>
      <c r="BH23" t="s">
        <v>77</v>
      </c>
      <c r="BI23" t="s">
        <v>77</v>
      </c>
      <c r="BJ23" t="s">
        <v>77</v>
      </c>
      <c r="BK23" t="s">
        <v>54</v>
      </c>
      <c r="BL23" t="s">
        <v>45</v>
      </c>
      <c r="BM23" t="s">
        <v>39</v>
      </c>
    </row>
    <row r="24" spans="1:65" x14ac:dyDescent="0.2">
      <c r="A24" t="s">
        <v>79</v>
      </c>
      <c r="B24" t="s">
        <v>79</v>
      </c>
      <c r="C24" t="s">
        <v>129</v>
      </c>
      <c r="D24" t="s">
        <v>69</v>
      </c>
      <c r="E24" t="s">
        <v>39</v>
      </c>
      <c r="F24" t="s">
        <v>127</v>
      </c>
      <c r="G24" t="s">
        <v>90</v>
      </c>
      <c r="H24" t="s">
        <v>126</v>
      </c>
      <c r="I24" t="s">
        <v>48</v>
      </c>
      <c r="J24" t="s">
        <v>51</v>
      </c>
      <c r="K24" t="s">
        <v>27</v>
      </c>
      <c r="L24" t="s">
        <v>129</v>
      </c>
      <c r="M24" t="s">
        <v>69</v>
      </c>
      <c r="N24" t="s">
        <v>39</v>
      </c>
      <c r="O24" t="s">
        <v>79</v>
      </c>
      <c r="P24" t="s">
        <v>79</v>
      </c>
      <c r="Q24" t="s">
        <v>79</v>
      </c>
      <c r="R24" t="s">
        <v>79</v>
      </c>
      <c r="S24" t="s">
        <v>79</v>
      </c>
      <c r="T24" t="s">
        <v>79</v>
      </c>
      <c r="U24" t="s">
        <v>129</v>
      </c>
      <c r="V24" t="s">
        <v>69</v>
      </c>
      <c r="W24" t="s">
        <v>39</v>
      </c>
      <c r="X24" t="s">
        <v>79</v>
      </c>
      <c r="Y24" t="s">
        <v>79</v>
      </c>
      <c r="Z24" t="s">
        <v>79</v>
      </c>
      <c r="AA24" t="s">
        <v>129</v>
      </c>
      <c r="AB24" t="s">
        <v>69</v>
      </c>
      <c r="AC24" t="s">
        <v>39</v>
      </c>
      <c r="AD24" t="s">
        <v>127</v>
      </c>
      <c r="AE24" t="s">
        <v>90</v>
      </c>
      <c r="AF24" t="s">
        <v>126</v>
      </c>
      <c r="AG24" t="s">
        <v>79</v>
      </c>
      <c r="AH24" t="s">
        <v>79</v>
      </c>
      <c r="AI24" t="s">
        <v>79</v>
      </c>
      <c r="AJ24" t="s">
        <v>79</v>
      </c>
      <c r="AK24" t="s">
        <v>79</v>
      </c>
      <c r="AL24" t="s">
        <v>79</v>
      </c>
      <c r="AM24" t="s">
        <v>127</v>
      </c>
      <c r="AN24" t="s">
        <v>90</v>
      </c>
      <c r="AO24" t="s">
        <v>126</v>
      </c>
      <c r="AP24" t="s">
        <v>79</v>
      </c>
      <c r="AQ24" t="s">
        <v>79</v>
      </c>
      <c r="AR24" t="s">
        <v>79</v>
      </c>
      <c r="AS24" t="s">
        <v>127</v>
      </c>
      <c r="AT24" t="s">
        <v>90</v>
      </c>
      <c r="AU24" t="s">
        <v>126</v>
      </c>
      <c r="AV24" t="s">
        <v>79</v>
      </c>
      <c r="AW24" t="s">
        <v>79</v>
      </c>
      <c r="AX24" t="s">
        <v>79</v>
      </c>
      <c r="AY24" t="s">
        <v>27</v>
      </c>
      <c r="AZ24" t="s">
        <v>51</v>
      </c>
      <c r="BA24" t="s">
        <v>48</v>
      </c>
      <c r="BB24" t="s">
        <v>79</v>
      </c>
      <c r="BC24" t="s">
        <v>79</v>
      </c>
      <c r="BD24" t="s">
        <v>79</v>
      </c>
      <c r="BE24" t="s">
        <v>79</v>
      </c>
      <c r="BF24" t="s">
        <v>79</v>
      </c>
      <c r="BG24" t="s">
        <v>79</v>
      </c>
      <c r="BH24" t="s">
        <v>27</v>
      </c>
      <c r="BI24" t="s">
        <v>51</v>
      </c>
      <c r="BJ24" t="s">
        <v>48</v>
      </c>
      <c r="BK24" t="s">
        <v>48</v>
      </c>
      <c r="BL24" t="s">
        <v>51</v>
      </c>
      <c r="BM24" t="s">
        <v>27</v>
      </c>
    </row>
    <row r="25" spans="1:65" x14ac:dyDescent="0.2">
      <c r="A25" t="s">
        <v>27</v>
      </c>
      <c r="B25" t="s">
        <v>27</v>
      </c>
      <c r="C25" t="s">
        <v>0</v>
      </c>
      <c r="D25" t="s">
        <v>30</v>
      </c>
      <c r="E25" t="s">
        <v>40</v>
      </c>
      <c r="F25" t="s">
        <v>74</v>
      </c>
      <c r="G25" t="s">
        <v>64</v>
      </c>
      <c r="H25" t="s">
        <v>45</v>
      </c>
      <c r="I25" t="s">
        <v>79</v>
      </c>
      <c r="J25" t="s">
        <v>48</v>
      </c>
      <c r="K25" t="s">
        <v>51</v>
      </c>
      <c r="L25" t="s">
        <v>27</v>
      </c>
      <c r="M25" t="s">
        <v>27</v>
      </c>
      <c r="N25" t="s">
        <v>27</v>
      </c>
      <c r="O25" t="s">
        <v>40</v>
      </c>
      <c r="P25" t="s">
        <v>30</v>
      </c>
      <c r="Q25" t="s">
        <v>0</v>
      </c>
      <c r="R25" t="s">
        <v>27</v>
      </c>
      <c r="S25" t="s">
        <v>27</v>
      </c>
      <c r="T25" t="s">
        <v>27</v>
      </c>
      <c r="U25" t="s">
        <v>27</v>
      </c>
      <c r="V25" t="s">
        <v>27</v>
      </c>
      <c r="W25" t="s">
        <v>27</v>
      </c>
      <c r="X25" t="s">
        <v>40</v>
      </c>
      <c r="Y25" t="s">
        <v>30</v>
      </c>
      <c r="Z25" t="s">
        <v>0</v>
      </c>
      <c r="AA25" t="s">
        <v>0</v>
      </c>
      <c r="AB25" t="s">
        <v>30</v>
      </c>
      <c r="AC25" t="s">
        <v>40</v>
      </c>
      <c r="AD25" t="s">
        <v>74</v>
      </c>
      <c r="AE25" t="s">
        <v>64</v>
      </c>
      <c r="AF25" t="s">
        <v>45</v>
      </c>
      <c r="AG25" t="s">
        <v>27</v>
      </c>
      <c r="AH25" t="s">
        <v>27</v>
      </c>
      <c r="AI25" t="s">
        <v>27</v>
      </c>
      <c r="AJ25" t="s">
        <v>27</v>
      </c>
      <c r="AK25" t="s">
        <v>27</v>
      </c>
      <c r="AL25" t="s">
        <v>27</v>
      </c>
      <c r="AM25" t="s">
        <v>74</v>
      </c>
      <c r="AN25" t="s">
        <v>64</v>
      </c>
      <c r="AO25" t="s">
        <v>45</v>
      </c>
      <c r="AP25" t="s">
        <v>27</v>
      </c>
      <c r="AQ25" t="s">
        <v>27</v>
      </c>
      <c r="AR25" t="s">
        <v>27</v>
      </c>
      <c r="AS25" t="s">
        <v>74</v>
      </c>
      <c r="AT25" t="s">
        <v>64</v>
      </c>
      <c r="AU25" t="s">
        <v>45</v>
      </c>
      <c r="AV25" t="s">
        <v>27</v>
      </c>
      <c r="AW25" t="s">
        <v>27</v>
      </c>
      <c r="AX25" t="s">
        <v>27</v>
      </c>
      <c r="AY25" t="s">
        <v>51</v>
      </c>
      <c r="AZ25" t="s">
        <v>48</v>
      </c>
      <c r="BA25" t="s">
        <v>79</v>
      </c>
      <c r="BB25" t="s">
        <v>27</v>
      </c>
      <c r="BC25" t="s">
        <v>27</v>
      </c>
      <c r="BD25" t="s">
        <v>27</v>
      </c>
      <c r="BE25" t="s">
        <v>27</v>
      </c>
      <c r="BF25" t="s">
        <v>27</v>
      </c>
      <c r="BG25" t="s">
        <v>27</v>
      </c>
      <c r="BH25" t="s">
        <v>51</v>
      </c>
      <c r="BI25" t="s">
        <v>48</v>
      </c>
      <c r="BJ25" t="s">
        <v>79</v>
      </c>
      <c r="BK25" t="s">
        <v>79</v>
      </c>
      <c r="BL25" t="s">
        <v>48</v>
      </c>
      <c r="BM25" t="s">
        <v>51</v>
      </c>
    </row>
    <row r="26" spans="1:65" x14ac:dyDescent="0.2">
      <c r="A26" t="s">
        <v>51</v>
      </c>
      <c r="B26" t="s">
        <v>51</v>
      </c>
      <c r="C26" t="s">
        <v>54</v>
      </c>
      <c r="D26" t="s">
        <v>90</v>
      </c>
      <c r="E26" t="s">
        <v>37</v>
      </c>
      <c r="F26" t="s">
        <v>128</v>
      </c>
      <c r="G26" t="s">
        <v>69</v>
      </c>
      <c r="H26" t="s">
        <v>61</v>
      </c>
      <c r="I26" t="s">
        <v>27</v>
      </c>
      <c r="J26" t="s">
        <v>79</v>
      </c>
      <c r="K26" t="s">
        <v>48</v>
      </c>
      <c r="L26" t="s">
        <v>51</v>
      </c>
      <c r="M26" t="s">
        <v>51</v>
      </c>
      <c r="N26" t="s">
        <v>51</v>
      </c>
      <c r="O26" t="s">
        <v>37</v>
      </c>
      <c r="P26" t="s">
        <v>90</v>
      </c>
      <c r="Q26" t="s">
        <v>54</v>
      </c>
      <c r="R26" t="s">
        <v>51</v>
      </c>
      <c r="S26" t="s">
        <v>51</v>
      </c>
      <c r="T26" t="s">
        <v>51</v>
      </c>
      <c r="U26" t="s">
        <v>51</v>
      </c>
      <c r="V26" t="s">
        <v>51</v>
      </c>
      <c r="W26" t="s">
        <v>51</v>
      </c>
      <c r="X26" t="s">
        <v>37</v>
      </c>
      <c r="Y26" t="s">
        <v>90</v>
      </c>
      <c r="Z26" t="s">
        <v>54</v>
      </c>
      <c r="AA26" t="s">
        <v>54</v>
      </c>
      <c r="AB26" t="s">
        <v>90</v>
      </c>
      <c r="AC26" t="s">
        <v>37</v>
      </c>
      <c r="AD26" t="s">
        <v>51</v>
      </c>
      <c r="AE26" t="s">
        <v>51</v>
      </c>
      <c r="AF26" t="s">
        <v>51</v>
      </c>
      <c r="AG26" t="s">
        <v>61</v>
      </c>
      <c r="AH26" t="s">
        <v>69</v>
      </c>
      <c r="AI26" t="s">
        <v>128</v>
      </c>
      <c r="AJ26" t="s">
        <v>51</v>
      </c>
      <c r="AK26" t="s">
        <v>51</v>
      </c>
      <c r="AL26" t="s">
        <v>51</v>
      </c>
      <c r="AM26" t="s">
        <v>51</v>
      </c>
      <c r="AN26" t="s">
        <v>51</v>
      </c>
      <c r="AO26" t="s">
        <v>51</v>
      </c>
      <c r="AP26" t="s">
        <v>61</v>
      </c>
      <c r="AQ26" t="s">
        <v>69</v>
      </c>
      <c r="AR26" t="s">
        <v>128</v>
      </c>
      <c r="AS26" t="s">
        <v>128</v>
      </c>
      <c r="AT26" t="s">
        <v>69</v>
      </c>
      <c r="AU26" t="s">
        <v>61</v>
      </c>
      <c r="AV26" t="s">
        <v>51</v>
      </c>
      <c r="AW26" t="s">
        <v>51</v>
      </c>
      <c r="AX26" t="s">
        <v>51</v>
      </c>
      <c r="AY26" t="s">
        <v>48</v>
      </c>
      <c r="AZ26" t="s">
        <v>79</v>
      </c>
      <c r="BA26" t="s">
        <v>27</v>
      </c>
      <c r="BB26" t="s">
        <v>51</v>
      </c>
      <c r="BC26" t="s">
        <v>51</v>
      </c>
      <c r="BD26" t="s">
        <v>51</v>
      </c>
      <c r="BE26" t="s">
        <v>51</v>
      </c>
      <c r="BF26" t="s">
        <v>51</v>
      </c>
      <c r="BG26" t="s">
        <v>51</v>
      </c>
      <c r="BH26" t="s">
        <v>48</v>
      </c>
      <c r="BI26" t="s">
        <v>79</v>
      </c>
      <c r="BJ26" t="s">
        <v>27</v>
      </c>
      <c r="BK26" t="s">
        <v>27</v>
      </c>
      <c r="BL26" t="s">
        <v>79</v>
      </c>
      <c r="BM26" t="s">
        <v>48</v>
      </c>
    </row>
    <row r="27" spans="1:65" x14ac:dyDescent="0.2">
      <c r="A27" t="s">
        <v>48</v>
      </c>
      <c r="B27" t="s">
        <v>48</v>
      </c>
      <c r="C27" t="s">
        <v>81</v>
      </c>
      <c r="D27" t="s">
        <v>64</v>
      </c>
      <c r="E27" t="s">
        <v>38</v>
      </c>
      <c r="F27" t="s">
        <v>77</v>
      </c>
      <c r="G27" t="s">
        <v>30</v>
      </c>
      <c r="H27" t="s">
        <v>59</v>
      </c>
      <c r="I27" t="s">
        <v>51</v>
      </c>
      <c r="J27" t="s">
        <v>27</v>
      </c>
      <c r="K27" t="s">
        <v>79</v>
      </c>
      <c r="L27" t="s">
        <v>81</v>
      </c>
      <c r="M27" t="s">
        <v>64</v>
      </c>
      <c r="N27" t="s">
        <v>38</v>
      </c>
      <c r="O27" t="s">
        <v>48</v>
      </c>
      <c r="P27" t="s">
        <v>48</v>
      </c>
      <c r="Q27" t="s">
        <v>48</v>
      </c>
      <c r="R27" t="s">
        <v>48</v>
      </c>
      <c r="S27" t="s">
        <v>48</v>
      </c>
      <c r="T27" t="s">
        <v>48</v>
      </c>
      <c r="U27" t="s">
        <v>81</v>
      </c>
      <c r="V27" t="s">
        <v>64</v>
      </c>
      <c r="W27" t="s">
        <v>38</v>
      </c>
      <c r="X27" t="s">
        <v>48</v>
      </c>
      <c r="Y27" t="s">
        <v>48</v>
      </c>
      <c r="Z27" t="s">
        <v>48</v>
      </c>
      <c r="AA27" t="s">
        <v>81</v>
      </c>
      <c r="AB27" t="s">
        <v>64</v>
      </c>
      <c r="AC27" t="s">
        <v>38</v>
      </c>
      <c r="AD27" t="s">
        <v>48</v>
      </c>
      <c r="AE27" t="s">
        <v>48</v>
      </c>
      <c r="AF27" t="s">
        <v>48</v>
      </c>
      <c r="AG27" t="s">
        <v>59</v>
      </c>
      <c r="AH27" t="s">
        <v>30</v>
      </c>
      <c r="AI27" t="s">
        <v>77</v>
      </c>
      <c r="AJ27" t="s">
        <v>48</v>
      </c>
      <c r="AK27" t="s">
        <v>48</v>
      </c>
      <c r="AL27" t="s">
        <v>48</v>
      </c>
      <c r="AM27" t="s">
        <v>48</v>
      </c>
      <c r="AN27" t="s">
        <v>48</v>
      </c>
      <c r="AO27" t="s">
        <v>48</v>
      </c>
      <c r="AP27" t="s">
        <v>59</v>
      </c>
      <c r="AQ27" t="s">
        <v>30</v>
      </c>
      <c r="AR27" t="s">
        <v>77</v>
      </c>
      <c r="AS27" t="s">
        <v>77</v>
      </c>
      <c r="AT27" t="s">
        <v>30</v>
      </c>
      <c r="AU27" t="s">
        <v>59</v>
      </c>
      <c r="AV27" t="s">
        <v>48</v>
      </c>
      <c r="AW27" t="s">
        <v>48</v>
      </c>
      <c r="AX27" t="s">
        <v>48</v>
      </c>
      <c r="AY27" t="s">
        <v>79</v>
      </c>
      <c r="AZ27" t="s">
        <v>27</v>
      </c>
      <c r="BA27" t="s">
        <v>51</v>
      </c>
      <c r="BB27" t="s">
        <v>48</v>
      </c>
      <c r="BC27" t="s">
        <v>48</v>
      </c>
      <c r="BD27" t="s">
        <v>48</v>
      </c>
      <c r="BE27" t="s">
        <v>48</v>
      </c>
      <c r="BF27" t="s">
        <v>48</v>
      </c>
      <c r="BG27" t="s">
        <v>48</v>
      </c>
      <c r="BH27" t="s">
        <v>79</v>
      </c>
      <c r="BI27" t="s">
        <v>27</v>
      </c>
      <c r="BJ27" t="s">
        <v>51</v>
      </c>
      <c r="BK27" t="s">
        <v>51</v>
      </c>
      <c r="BL27" t="s">
        <v>27</v>
      </c>
      <c r="BM27" t="s">
        <v>79</v>
      </c>
    </row>
    <row r="28" spans="1:65" x14ac:dyDescent="0.2">
      <c r="A28" t="s">
        <v>54</v>
      </c>
      <c r="B28" t="s">
        <v>54</v>
      </c>
      <c r="C28" t="s">
        <v>90</v>
      </c>
      <c r="D28" t="s">
        <v>37</v>
      </c>
      <c r="E28" t="s">
        <v>51</v>
      </c>
      <c r="F28" t="s">
        <v>0</v>
      </c>
      <c r="G28" t="s">
        <v>129</v>
      </c>
      <c r="H28" t="s">
        <v>81</v>
      </c>
      <c r="I28" t="s">
        <v>45</v>
      </c>
      <c r="J28" t="s">
        <v>39</v>
      </c>
      <c r="K28" t="s">
        <v>77</v>
      </c>
      <c r="L28" t="s">
        <v>54</v>
      </c>
      <c r="M28" t="s">
        <v>54</v>
      </c>
      <c r="N28" t="s">
        <v>54</v>
      </c>
      <c r="O28" t="s">
        <v>51</v>
      </c>
      <c r="P28" t="s">
        <v>37</v>
      </c>
      <c r="Q28" t="s">
        <v>90</v>
      </c>
      <c r="R28" t="s">
        <v>54</v>
      </c>
      <c r="S28" t="s">
        <v>54</v>
      </c>
      <c r="T28" t="s">
        <v>54</v>
      </c>
      <c r="U28" t="s">
        <v>54</v>
      </c>
      <c r="V28" t="s">
        <v>54</v>
      </c>
      <c r="W28" t="s">
        <v>54</v>
      </c>
      <c r="X28" t="s">
        <v>51</v>
      </c>
      <c r="Y28" t="s">
        <v>37</v>
      </c>
      <c r="Z28" t="s">
        <v>90</v>
      </c>
      <c r="AA28" t="s">
        <v>90</v>
      </c>
      <c r="AB28" t="s">
        <v>37</v>
      </c>
      <c r="AC28" t="s">
        <v>51</v>
      </c>
      <c r="AD28" t="s">
        <v>54</v>
      </c>
      <c r="AE28" t="s">
        <v>54</v>
      </c>
      <c r="AF28" t="s">
        <v>54</v>
      </c>
      <c r="AG28" t="s">
        <v>81</v>
      </c>
      <c r="AH28" t="s">
        <v>129</v>
      </c>
      <c r="AI28" t="s">
        <v>0</v>
      </c>
      <c r="AJ28" t="s">
        <v>54</v>
      </c>
      <c r="AK28" t="s">
        <v>54</v>
      </c>
      <c r="AL28" t="s">
        <v>54</v>
      </c>
      <c r="AM28" t="s">
        <v>54</v>
      </c>
      <c r="AN28" t="s">
        <v>54</v>
      </c>
      <c r="AO28" t="s">
        <v>54</v>
      </c>
      <c r="AP28" t="s">
        <v>81</v>
      </c>
      <c r="AQ28" t="s">
        <v>129</v>
      </c>
      <c r="AR28" t="s">
        <v>0</v>
      </c>
      <c r="AS28" t="s">
        <v>0</v>
      </c>
      <c r="AT28" t="s">
        <v>129</v>
      </c>
      <c r="AU28" t="s">
        <v>81</v>
      </c>
      <c r="AV28" t="s">
        <v>45</v>
      </c>
      <c r="AW28" t="s">
        <v>39</v>
      </c>
      <c r="AX28" t="s">
        <v>77</v>
      </c>
      <c r="AY28" t="s">
        <v>54</v>
      </c>
      <c r="AZ28" t="s">
        <v>54</v>
      </c>
      <c r="BA28" t="s">
        <v>54</v>
      </c>
      <c r="BB28" t="s">
        <v>54</v>
      </c>
      <c r="BC28" t="s">
        <v>54</v>
      </c>
      <c r="BD28" t="s">
        <v>54</v>
      </c>
      <c r="BE28" t="s">
        <v>45</v>
      </c>
      <c r="BF28" t="s">
        <v>39</v>
      </c>
      <c r="BG28" t="s">
        <v>77</v>
      </c>
      <c r="BH28" t="s">
        <v>54</v>
      </c>
      <c r="BI28" t="s">
        <v>54</v>
      </c>
      <c r="BJ28" t="s">
        <v>54</v>
      </c>
      <c r="BK28" t="s">
        <v>45</v>
      </c>
      <c r="BL28" t="s">
        <v>39</v>
      </c>
      <c r="BM28" t="s">
        <v>77</v>
      </c>
    </row>
    <row r="29" spans="1:65" x14ac:dyDescent="0.2">
      <c r="A29" t="s">
        <v>81</v>
      </c>
      <c r="B29" t="s">
        <v>81</v>
      </c>
      <c r="C29" t="s">
        <v>64</v>
      </c>
      <c r="D29" t="s">
        <v>38</v>
      </c>
      <c r="E29" t="s">
        <v>48</v>
      </c>
      <c r="F29" t="s">
        <v>54</v>
      </c>
      <c r="G29" t="s">
        <v>0</v>
      </c>
      <c r="H29" t="s">
        <v>129</v>
      </c>
      <c r="I29" t="s">
        <v>61</v>
      </c>
      <c r="J29" t="s">
        <v>40</v>
      </c>
      <c r="K29" t="s">
        <v>127</v>
      </c>
      <c r="L29" t="s">
        <v>64</v>
      </c>
      <c r="M29" t="s">
        <v>38</v>
      </c>
      <c r="N29" t="s">
        <v>48</v>
      </c>
      <c r="O29" t="s">
        <v>81</v>
      </c>
      <c r="P29" t="s">
        <v>81</v>
      </c>
      <c r="Q29" t="s">
        <v>81</v>
      </c>
      <c r="R29" t="s">
        <v>81</v>
      </c>
      <c r="S29" t="s">
        <v>81</v>
      </c>
      <c r="T29" t="s">
        <v>81</v>
      </c>
      <c r="U29" t="s">
        <v>64</v>
      </c>
      <c r="V29" t="s">
        <v>38</v>
      </c>
      <c r="W29" t="s">
        <v>48</v>
      </c>
      <c r="X29" t="s">
        <v>81</v>
      </c>
      <c r="Y29" t="s">
        <v>81</v>
      </c>
      <c r="Z29" t="s">
        <v>81</v>
      </c>
      <c r="AA29" t="s">
        <v>64</v>
      </c>
      <c r="AB29" t="s">
        <v>38</v>
      </c>
      <c r="AC29" t="s">
        <v>48</v>
      </c>
      <c r="AD29" t="s">
        <v>81</v>
      </c>
      <c r="AE29" t="s">
        <v>81</v>
      </c>
      <c r="AF29" t="s">
        <v>81</v>
      </c>
      <c r="AG29" t="s">
        <v>129</v>
      </c>
      <c r="AH29" t="s">
        <v>0</v>
      </c>
      <c r="AI29" t="s">
        <v>54</v>
      </c>
      <c r="AJ29" t="s">
        <v>81</v>
      </c>
      <c r="AK29" t="s">
        <v>81</v>
      </c>
      <c r="AL29" t="s">
        <v>81</v>
      </c>
      <c r="AM29" t="s">
        <v>81</v>
      </c>
      <c r="AN29" t="s">
        <v>81</v>
      </c>
      <c r="AO29" t="s">
        <v>81</v>
      </c>
      <c r="AP29" t="s">
        <v>129</v>
      </c>
      <c r="AQ29" t="s">
        <v>0</v>
      </c>
      <c r="AR29" t="s">
        <v>54</v>
      </c>
      <c r="AS29" t="s">
        <v>54</v>
      </c>
      <c r="AT29" t="s">
        <v>0</v>
      </c>
      <c r="AU29" t="s">
        <v>129</v>
      </c>
      <c r="AV29" t="s">
        <v>61</v>
      </c>
      <c r="AW29" t="s">
        <v>40</v>
      </c>
      <c r="AX29" t="s">
        <v>127</v>
      </c>
      <c r="AY29" t="s">
        <v>81</v>
      </c>
      <c r="AZ29" t="s">
        <v>81</v>
      </c>
      <c r="BA29" t="s">
        <v>81</v>
      </c>
      <c r="BB29" t="s">
        <v>81</v>
      </c>
      <c r="BC29" t="s">
        <v>81</v>
      </c>
      <c r="BD29" t="s">
        <v>81</v>
      </c>
      <c r="BE29" t="s">
        <v>61</v>
      </c>
      <c r="BF29" t="s">
        <v>40</v>
      </c>
      <c r="BG29" t="s">
        <v>127</v>
      </c>
      <c r="BH29" t="s">
        <v>81</v>
      </c>
      <c r="BI29" t="s">
        <v>81</v>
      </c>
      <c r="BJ29" t="s">
        <v>81</v>
      </c>
      <c r="BK29" t="s">
        <v>61</v>
      </c>
      <c r="BL29" t="s">
        <v>40</v>
      </c>
      <c r="BM29" t="s">
        <v>127</v>
      </c>
    </row>
    <row r="30" spans="1:65" x14ac:dyDescent="0.2">
      <c r="A30" t="s">
        <v>129</v>
      </c>
      <c r="B30" t="s">
        <v>129</v>
      </c>
      <c r="C30" t="s">
        <v>69</v>
      </c>
      <c r="D30" t="s">
        <v>39</v>
      </c>
      <c r="E30" t="s">
        <v>79</v>
      </c>
      <c r="F30" t="s">
        <v>81</v>
      </c>
      <c r="G30" t="s">
        <v>54</v>
      </c>
      <c r="H30" t="s">
        <v>0</v>
      </c>
      <c r="I30" t="s">
        <v>59</v>
      </c>
      <c r="J30" t="s">
        <v>37</v>
      </c>
      <c r="K30" t="s">
        <v>74</v>
      </c>
      <c r="L30" t="s">
        <v>69</v>
      </c>
      <c r="M30" t="s">
        <v>39</v>
      </c>
      <c r="N30" t="s">
        <v>79</v>
      </c>
      <c r="O30" t="s">
        <v>129</v>
      </c>
      <c r="P30" t="s">
        <v>129</v>
      </c>
      <c r="Q30" t="s">
        <v>129</v>
      </c>
      <c r="R30" t="s">
        <v>129</v>
      </c>
      <c r="S30" t="s">
        <v>129</v>
      </c>
      <c r="T30" t="s">
        <v>129</v>
      </c>
      <c r="U30" t="s">
        <v>69</v>
      </c>
      <c r="V30" t="s">
        <v>39</v>
      </c>
      <c r="W30" t="s">
        <v>79</v>
      </c>
      <c r="X30" t="s">
        <v>129</v>
      </c>
      <c r="Y30" t="s">
        <v>129</v>
      </c>
      <c r="Z30" t="s">
        <v>129</v>
      </c>
      <c r="AA30" t="s">
        <v>69</v>
      </c>
      <c r="AB30" t="s">
        <v>39</v>
      </c>
      <c r="AC30" t="s">
        <v>79</v>
      </c>
      <c r="AD30" t="s">
        <v>129</v>
      </c>
      <c r="AE30" t="s">
        <v>129</v>
      </c>
      <c r="AF30" t="s">
        <v>129</v>
      </c>
      <c r="AG30" t="s">
        <v>0</v>
      </c>
      <c r="AH30" t="s">
        <v>54</v>
      </c>
      <c r="AI30" t="s">
        <v>81</v>
      </c>
      <c r="AJ30" t="s">
        <v>129</v>
      </c>
      <c r="AK30" t="s">
        <v>129</v>
      </c>
      <c r="AL30" t="s">
        <v>129</v>
      </c>
      <c r="AM30" t="s">
        <v>129</v>
      </c>
      <c r="AN30" t="s">
        <v>129</v>
      </c>
      <c r="AO30" t="s">
        <v>129</v>
      </c>
      <c r="AP30" t="s">
        <v>0</v>
      </c>
      <c r="AQ30" t="s">
        <v>54</v>
      </c>
      <c r="AR30" t="s">
        <v>81</v>
      </c>
      <c r="AS30" t="s">
        <v>81</v>
      </c>
      <c r="AT30" t="s">
        <v>54</v>
      </c>
      <c r="AU30" t="s">
        <v>0</v>
      </c>
      <c r="AV30" t="s">
        <v>129</v>
      </c>
      <c r="AW30" t="s">
        <v>129</v>
      </c>
      <c r="AX30" t="s">
        <v>129</v>
      </c>
      <c r="AY30" t="s">
        <v>74</v>
      </c>
      <c r="AZ30" t="s">
        <v>37</v>
      </c>
      <c r="BA30" t="s">
        <v>59</v>
      </c>
      <c r="BB30" t="s">
        <v>129</v>
      </c>
      <c r="BC30" t="s">
        <v>129</v>
      </c>
      <c r="BD30" t="s">
        <v>129</v>
      </c>
      <c r="BE30" t="s">
        <v>129</v>
      </c>
      <c r="BF30" t="s">
        <v>129</v>
      </c>
      <c r="BG30" t="s">
        <v>129</v>
      </c>
      <c r="BH30" t="s">
        <v>74</v>
      </c>
      <c r="BI30" t="s">
        <v>37</v>
      </c>
      <c r="BJ30" t="s">
        <v>59</v>
      </c>
      <c r="BK30" t="s">
        <v>59</v>
      </c>
      <c r="BL30" t="s">
        <v>37</v>
      </c>
      <c r="BM30" t="s">
        <v>74</v>
      </c>
    </row>
    <row r="31" spans="1:65" x14ac:dyDescent="0.2">
      <c r="A31" t="s">
        <v>0</v>
      </c>
      <c r="B31" t="s">
        <v>0</v>
      </c>
      <c r="C31" t="s">
        <v>30</v>
      </c>
      <c r="D31" t="s">
        <v>40</v>
      </c>
      <c r="E31" t="s">
        <v>27</v>
      </c>
      <c r="F31" t="s">
        <v>129</v>
      </c>
      <c r="G31" t="s">
        <v>81</v>
      </c>
      <c r="H31" t="s">
        <v>54</v>
      </c>
      <c r="I31" t="s">
        <v>126</v>
      </c>
      <c r="J31" t="s">
        <v>38</v>
      </c>
      <c r="K31" t="s">
        <v>128</v>
      </c>
      <c r="L31" t="s">
        <v>0</v>
      </c>
      <c r="M31" t="s">
        <v>0</v>
      </c>
      <c r="N31" t="s">
        <v>0</v>
      </c>
      <c r="O31" t="s">
        <v>27</v>
      </c>
      <c r="P31" t="s">
        <v>40</v>
      </c>
      <c r="Q31" t="s">
        <v>30</v>
      </c>
      <c r="R31" t="s">
        <v>0</v>
      </c>
      <c r="S31" t="s">
        <v>0</v>
      </c>
      <c r="T31" t="s">
        <v>0</v>
      </c>
      <c r="U31" t="s">
        <v>0</v>
      </c>
      <c r="V31" t="s">
        <v>0</v>
      </c>
      <c r="W31" t="s">
        <v>0</v>
      </c>
      <c r="X31" t="s">
        <v>27</v>
      </c>
      <c r="Y31" t="s">
        <v>40</v>
      </c>
      <c r="Z31" t="s">
        <v>30</v>
      </c>
      <c r="AA31" t="s">
        <v>30</v>
      </c>
      <c r="AB31" t="s">
        <v>40</v>
      </c>
      <c r="AC31" t="s">
        <v>27</v>
      </c>
      <c r="AD31" t="s">
        <v>0</v>
      </c>
      <c r="AE31" t="s">
        <v>0</v>
      </c>
      <c r="AF31" t="s">
        <v>0</v>
      </c>
      <c r="AG31" t="s">
        <v>54</v>
      </c>
      <c r="AH31" t="s">
        <v>81</v>
      </c>
      <c r="AI31" t="s">
        <v>129</v>
      </c>
      <c r="AJ31" t="s">
        <v>0</v>
      </c>
      <c r="AK31" t="s">
        <v>0</v>
      </c>
      <c r="AL31" t="s">
        <v>0</v>
      </c>
      <c r="AM31" t="s">
        <v>0</v>
      </c>
      <c r="AN31" t="s">
        <v>0</v>
      </c>
      <c r="AO31" t="s">
        <v>0</v>
      </c>
      <c r="AP31" t="s">
        <v>54</v>
      </c>
      <c r="AQ31" t="s">
        <v>81</v>
      </c>
      <c r="AR31" t="s">
        <v>129</v>
      </c>
      <c r="AS31" t="s">
        <v>129</v>
      </c>
      <c r="AT31" t="s">
        <v>81</v>
      </c>
      <c r="AU31" t="s">
        <v>54</v>
      </c>
      <c r="AV31" t="s">
        <v>0</v>
      </c>
      <c r="AW31" t="s">
        <v>0</v>
      </c>
      <c r="AX31" t="s">
        <v>0</v>
      </c>
      <c r="AY31" t="s">
        <v>128</v>
      </c>
      <c r="AZ31" t="s">
        <v>38</v>
      </c>
      <c r="BA31" t="s">
        <v>126</v>
      </c>
      <c r="BB31" t="s">
        <v>0</v>
      </c>
      <c r="BC31" t="s">
        <v>0</v>
      </c>
      <c r="BD31" t="s">
        <v>0</v>
      </c>
      <c r="BE31" t="s">
        <v>0</v>
      </c>
      <c r="BF31" t="s">
        <v>0</v>
      </c>
      <c r="BG31" t="s">
        <v>0</v>
      </c>
      <c r="BH31" t="s">
        <v>128</v>
      </c>
      <c r="BI31" t="s">
        <v>38</v>
      </c>
      <c r="BJ31" t="s">
        <v>126</v>
      </c>
      <c r="BK31" t="s">
        <v>126</v>
      </c>
      <c r="BL31" t="s">
        <v>38</v>
      </c>
      <c r="BM31" t="s">
        <v>128</v>
      </c>
    </row>
    <row r="32" spans="1:65" x14ac:dyDescent="0.2">
      <c r="A32" t="s">
        <v>33</v>
      </c>
      <c r="B32" t="s">
        <v>33</v>
      </c>
      <c r="C32" t="s">
        <v>135</v>
      </c>
      <c r="D32" t="s">
        <v>53</v>
      </c>
      <c r="E32" t="s">
        <v>132</v>
      </c>
      <c r="F32" t="s">
        <v>34</v>
      </c>
      <c r="G32" t="s">
        <v>35</v>
      </c>
      <c r="H32" t="s">
        <v>36</v>
      </c>
      <c r="I32" t="s">
        <v>73</v>
      </c>
      <c r="J32" t="s">
        <v>137</v>
      </c>
      <c r="K32" t="s">
        <v>131</v>
      </c>
      <c r="L32" t="s">
        <v>33</v>
      </c>
      <c r="M32" t="s">
        <v>33</v>
      </c>
      <c r="N32" t="s">
        <v>33</v>
      </c>
      <c r="O32" t="s">
        <v>33</v>
      </c>
      <c r="P32" t="s">
        <v>33</v>
      </c>
      <c r="Q32" t="s">
        <v>33</v>
      </c>
      <c r="R32" t="s">
        <v>135</v>
      </c>
      <c r="S32" t="s">
        <v>53</v>
      </c>
      <c r="T32" t="s">
        <v>132</v>
      </c>
      <c r="U32" t="s">
        <v>135</v>
      </c>
      <c r="V32" t="s">
        <v>53</v>
      </c>
      <c r="W32" t="s">
        <v>132</v>
      </c>
      <c r="X32" t="s">
        <v>132</v>
      </c>
      <c r="Y32" t="s">
        <v>53</v>
      </c>
      <c r="Z32" t="s">
        <v>135</v>
      </c>
      <c r="AA32" t="s">
        <v>33</v>
      </c>
      <c r="AB32" t="s">
        <v>33</v>
      </c>
      <c r="AC32" t="s">
        <v>33</v>
      </c>
      <c r="AD32" t="s">
        <v>34</v>
      </c>
      <c r="AE32" t="s">
        <v>35</v>
      </c>
      <c r="AF32" t="s">
        <v>36</v>
      </c>
      <c r="AG32" t="s">
        <v>33</v>
      </c>
      <c r="AH32" t="s">
        <v>33</v>
      </c>
      <c r="AI32" t="s">
        <v>33</v>
      </c>
      <c r="AJ32" t="s">
        <v>33</v>
      </c>
      <c r="AK32" t="s">
        <v>33</v>
      </c>
      <c r="AL32" t="s">
        <v>33</v>
      </c>
      <c r="AM32" t="s">
        <v>34</v>
      </c>
      <c r="AN32" t="s">
        <v>35</v>
      </c>
      <c r="AO32" t="s">
        <v>36</v>
      </c>
      <c r="AP32" t="s">
        <v>33</v>
      </c>
      <c r="AQ32" t="s">
        <v>33</v>
      </c>
      <c r="AR32" t="s">
        <v>33</v>
      </c>
      <c r="AS32" t="s">
        <v>34</v>
      </c>
      <c r="AT32" t="s">
        <v>35</v>
      </c>
      <c r="AU32" t="s">
        <v>36</v>
      </c>
      <c r="AV32" t="s">
        <v>33</v>
      </c>
      <c r="AW32" t="s">
        <v>33</v>
      </c>
      <c r="AX32" t="s">
        <v>33</v>
      </c>
      <c r="AY32" t="s">
        <v>131</v>
      </c>
      <c r="AZ32" t="s">
        <v>137</v>
      </c>
      <c r="BA32" t="s">
        <v>73</v>
      </c>
      <c r="BB32" t="s">
        <v>33</v>
      </c>
      <c r="BC32" t="s">
        <v>33</v>
      </c>
      <c r="BD32" t="s">
        <v>33</v>
      </c>
      <c r="BE32" t="s">
        <v>33</v>
      </c>
      <c r="BF32" t="s">
        <v>33</v>
      </c>
      <c r="BG32" t="s">
        <v>33</v>
      </c>
      <c r="BH32" t="s">
        <v>131</v>
      </c>
      <c r="BI32" t="s">
        <v>137</v>
      </c>
      <c r="BJ32" t="s">
        <v>73</v>
      </c>
      <c r="BK32" t="s">
        <v>73</v>
      </c>
      <c r="BL32" t="s">
        <v>137</v>
      </c>
      <c r="BM32" t="s">
        <v>131</v>
      </c>
    </row>
    <row r="33" spans="1:65" x14ac:dyDescent="0.2">
      <c r="A33" t="s">
        <v>34</v>
      </c>
      <c r="B33" t="s">
        <v>34</v>
      </c>
      <c r="C33" t="s">
        <v>136</v>
      </c>
      <c r="D33" t="s">
        <v>88</v>
      </c>
      <c r="E33" t="s">
        <v>67</v>
      </c>
      <c r="F33" t="s">
        <v>35</v>
      </c>
      <c r="G33" t="s">
        <v>36</v>
      </c>
      <c r="H33" t="s">
        <v>33</v>
      </c>
      <c r="I33" t="s">
        <v>134</v>
      </c>
      <c r="J33" t="s">
        <v>138</v>
      </c>
      <c r="K33" t="s">
        <v>130</v>
      </c>
      <c r="L33" t="s">
        <v>136</v>
      </c>
      <c r="M33" t="s">
        <v>88</v>
      </c>
      <c r="N33" t="s">
        <v>67</v>
      </c>
      <c r="O33" t="s">
        <v>34</v>
      </c>
      <c r="P33" t="s">
        <v>34</v>
      </c>
      <c r="Q33" t="s">
        <v>34</v>
      </c>
      <c r="R33" t="s">
        <v>34</v>
      </c>
      <c r="S33" t="s">
        <v>34</v>
      </c>
      <c r="T33" t="s">
        <v>34</v>
      </c>
      <c r="U33" t="s">
        <v>136</v>
      </c>
      <c r="V33" t="s">
        <v>88</v>
      </c>
      <c r="W33" t="s">
        <v>67</v>
      </c>
      <c r="X33" t="s">
        <v>34</v>
      </c>
      <c r="Y33" t="s">
        <v>34</v>
      </c>
      <c r="Z33" t="s">
        <v>34</v>
      </c>
      <c r="AA33" t="s">
        <v>136</v>
      </c>
      <c r="AB33" t="s">
        <v>88</v>
      </c>
      <c r="AC33" t="s">
        <v>67</v>
      </c>
      <c r="AD33" t="s">
        <v>35</v>
      </c>
      <c r="AE33" t="s">
        <v>36</v>
      </c>
      <c r="AF33" t="s">
        <v>33</v>
      </c>
      <c r="AG33" t="s">
        <v>34</v>
      </c>
      <c r="AH33" t="s">
        <v>34</v>
      </c>
      <c r="AI33" t="s">
        <v>34</v>
      </c>
      <c r="AJ33" t="s">
        <v>34</v>
      </c>
      <c r="AK33" t="s">
        <v>34</v>
      </c>
      <c r="AL33" t="s">
        <v>34</v>
      </c>
      <c r="AM33" t="s">
        <v>35</v>
      </c>
      <c r="AN33" t="s">
        <v>36</v>
      </c>
      <c r="AO33" t="s">
        <v>33</v>
      </c>
      <c r="AP33" t="s">
        <v>34</v>
      </c>
      <c r="AQ33" t="s">
        <v>34</v>
      </c>
      <c r="AR33" t="s">
        <v>34</v>
      </c>
      <c r="AS33" t="s">
        <v>35</v>
      </c>
      <c r="AT33" t="s">
        <v>36</v>
      </c>
      <c r="AU33" t="s">
        <v>33</v>
      </c>
      <c r="AV33" t="s">
        <v>34</v>
      </c>
      <c r="AW33" t="s">
        <v>34</v>
      </c>
      <c r="AX33" t="s">
        <v>34</v>
      </c>
      <c r="AY33" t="s">
        <v>34</v>
      </c>
      <c r="AZ33" t="s">
        <v>34</v>
      </c>
      <c r="BA33" t="s">
        <v>34</v>
      </c>
      <c r="BB33" t="s">
        <v>134</v>
      </c>
      <c r="BC33" t="s">
        <v>138</v>
      </c>
      <c r="BD33" t="s">
        <v>130</v>
      </c>
      <c r="BE33" t="s">
        <v>134</v>
      </c>
      <c r="BF33" t="s">
        <v>138</v>
      </c>
      <c r="BG33" t="s">
        <v>130</v>
      </c>
      <c r="BH33" t="s">
        <v>130</v>
      </c>
      <c r="BI33" t="s">
        <v>138</v>
      </c>
      <c r="BJ33" t="s">
        <v>134</v>
      </c>
      <c r="BK33" t="s">
        <v>34</v>
      </c>
      <c r="BL33" t="s">
        <v>34</v>
      </c>
      <c r="BM33" t="s">
        <v>34</v>
      </c>
    </row>
    <row r="34" spans="1:65" x14ac:dyDescent="0.2">
      <c r="A34" t="s">
        <v>35</v>
      </c>
      <c r="B34" t="s">
        <v>35</v>
      </c>
      <c r="C34" t="s">
        <v>80</v>
      </c>
      <c r="D34" t="s">
        <v>137</v>
      </c>
      <c r="E34" t="s">
        <v>86</v>
      </c>
      <c r="F34" t="s">
        <v>36</v>
      </c>
      <c r="G34" t="s">
        <v>33</v>
      </c>
      <c r="H34" t="s">
        <v>34</v>
      </c>
      <c r="I34" t="s">
        <v>87</v>
      </c>
      <c r="J34" t="s">
        <v>53</v>
      </c>
      <c r="K34" t="s">
        <v>47</v>
      </c>
      <c r="L34" t="s">
        <v>35</v>
      </c>
      <c r="M34" t="s">
        <v>35</v>
      </c>
      <c r="N34" t="s">
        <v>35</v>
      </c>
      <c r="O34" t="s">
        <v>35</v>
      </c>
      <c r="P34" t="s">
        <v>35</v>
      </c>
      <c r="Q34" t="s">
        <v>35</v>
      </c>
      <c r="R34" t="s">
        <v>80</v>
      </c>
      <c r="S34" t="s">
        <v>137</v>
      </c>
      <c r="T34" t="s">
        <v>86</v>
      </c>
      <c r="U34" t="s">
        <v>80</v>
      </c>
      <c r="V34" t="s">
        <v>137</v>
      </c>
      <c r="W34" t="s">
        <v>86</v>
      </c>
      <c r="X34" t="s">
        <v>86</v>
      </c>
      <c r="Y34" t="s">
        <v>137</v>
      </c>
      <c r="Z34" t="s">
        <v>80</v>
      </c>
      <c r="AA34" t="s">
        <v>35</v>
      </c>
      <c r="AB34" t="s">
        <v>35</v>
      </c>
      <c r="AC34" t="s">
        <v>35</v>
      </c>
      <c r="AD34" t="s">
        <v>36</v>
      </c>
      <c r="AE34" t="s">
        <v>33</v>
      </c>
      <c r="AF34" t="s">
        <v>34</v>
      </c>
      <c r="AG34" t="s">
        <v>35</v>
      </c>
      <c r="AH34" t="s">
        <v>35</v>
      </c>
      <c r="AI34" t="s">
        <v>35</v>
      </c>
      <c r="AJ34" t="s">
        <v>35</v>
      </c>
      <c r="AK34" t="s">
        <v>35</v>
      </c>
      <c r="AL34" t="s">
        <v>35</v>
      </c>
      <c r="AM34" t="s">
        <v>36</v>
      </c>
      <c r="AN34" t="s">
        <v>33</v>
      </c>
      <c r="AO34" t="s">
        <v>34</v>
      </c>
      <c r="AP34" t="s">
        <v>35</v>
      </c>
      <c r="AQ34" t="s">
        <v>35</v>
      </c>
      <c r="AR34" t="s">
        <v>35</v>
      </c>
      <c r="AS34" t="s">
        <v>36</v>
      </c>
      <c r="AT34" t="s">
        <v>33</v>
      </c>
      <c r="AU34" t="s">
        <v>34</v>
      </c>
      <c r="AV34" t="s">
        <v>87</v>
      </c>
      <c r="AW34" t="s">
        <v>53</v>
      </c>
      <c r="AX34" t="s">
        <v>47</v>
      </c>
      <c r="AY34" t="s">
        <v>35</v>
      </c>
      <c r="AZ34" t="s">
        <v>35</v>
      </c>
      <c r="BA34" t="s">
        <v>35</v>
      </c>
      <c r="BB34" t="s">
        <v>35</v>
      </c>
      <c r="BC34" t="s">
        <v>35</v>
      </c>
      <c r="BD34" t="s">
        <v>35</v>
      </c>
      <c r="BE34" t="s">
        <v>87</v>
      </c>
      <c r="BF34" t="s">
        <v>53</v>
      </c>
      <c r="BG34" t="s">
        <v>47</v>
      </c>
      <c r="BH34" t="s">
        <v>35</v>
      </c>
      <c r="BI34" t="s">
        <v>35</v>
      </c>
      <c r="BJ34" t="s">
        <v>35</v>
      </c>
      <c r="BK34" t="s">
        <v>87</v>
      </c>
      <c r="BL34" t="s">
        <v>53</v>
      </c>
      <c r="BM34" t="s">
        <v>47</v>
      </c>
    </row>
    <row r="35" spans="1:65" x14ac:dyDescent="0.2">
      <c r="A35" t="s">
        <v>36</v>
      </c>
      <c r="B35" t="s">
        <v>36</v>
      </c>
      <c r="C35" t="s">
        <v>46</v>
      </c>
      <c r="D35" t="s">
        <v>138</v>
      </c>
      <c r="E35" t="s">
        <v>44</v>
      </c>
      <c r="F35" t="s">
        <v>33</v>
      </c>
      <c r="G35" t="s">
        <v>34</v>
      </c>
      <c r="H35" t="s">
        <v>35</v>
      </c>
      <c r="I35" t="s">
        <v>133</v>
      </c>
      <c r="J35" t="s">
        <v>88</v>
      </c>
      <c r="K35" t="s">
        <v>60</v>
      </c>
      <c r="L35" t="s">
        <v>36</v>
      </c>
      <c r="M35" t="s">
        <v>36</v>
      </c>
      <c r="N35" t="s">
        <v>36</v>
      </c>
      <c r="O35" t="s">
        <v>44</v>
      </c>
      <c r="P35" t="s">
        <v>138</v>
      </c>
      <c r="Q35" t="s">
        <v>46</v>
      </c>
      <c r="R35" t="s">
        <v>36</v>
      </c>
      <c r="S35" t="s">
        <v>36</v>
      </c>
      <c r="T35" t="s">
        <v>36</v>
      </c>
      <c r="U35" t="s">
        <v>36</v>
      </c>
      <c r="V35" t="s">
        <v>36</v>
      </c>
      <c r="W35" t="s">
        <v>36</v>
      </c>
      <c r="X35" t="s">
        <v>44</v>
      </c>
      <c r="Y35" t="s">
        <v>138</v>
      </c>
      <c r="Z35" t="s">
        <v>46</v>
      </c>
      <c r="AA35" t="s">
        <v>46</v>
      </c>
      <c r="AB35" t="s">
        <v>138</v>
      </c>
      <c r="AC35" t="s">
        <v>44</v>
      </c>
      <c r="AD35" t="s">
        <v>33</v>
      </c>
      <c r="AE35" t="s">
        <v>34</v>
      </c>
      <c r="AF35" t="s">
        <v>35</v>
      </c>
      <c r="AG35" t="s">
        <v>36</v>
      </c>
      <c r="AH35" t="s">
        <v>36</v>
      </c>
      <c r="AI35" t="s">
        <v>36</v>
      </c>
      <c r="AJ35" t="s">
        <v>36</v>
      </c>
      <c r="AK35" t="s">
        <v>36</v>
      </c>
      <c r="AL35" t="s">
        <v>36</v>
      </c>
      <c r="AM35" t="s">
        <v>33</v>
      </c>
      <c r="AN35" t="s">
        <v>34</v>
      </c>
      <c r="AO35" t="s">
        <v>35</v>
      </c>
      <c r="AP35" t="s">
        <v>36</v>
      </c>
      <c r="AQ35" t="s">
        <v>36</v>
      </c>
      <c r="AR35" t="s">
        <v>36</v>
      </c>
      <c r="AS35" t="s">
        <v>33</v>
      </c>
      <c r="AT35" t="s">
        <v>34</v>
      </c>
      <c r="AU35" t="s">
        <v>35</v>
      </c>
      <c r="AV35" t="s">
        <v>36</v>
      </c>
      <c r="AW35" t="s">
        <v>36</v>
      </c>
      <c r="AX35" t="s">
        <v>36</v>
      </c>
      <c r="AY35" t="s">
        <v>36</v>
      </c>
      <c r="AZ35" t="s">
        <v>36</v>
      </c>
      <c r="BA35" t="s">
        <v>36</v>
      </c>
      <c r="BB35" t="s">
        <v>133</v>
      </c>
      <c r="BC35" t="s">
        <v>88</v>
      </c>
      <c r="BD35" t="s">
        <v>60</v>
      </c>
      <c r="BE35" t="s">
        <v>133</v>
      </c>
      <c r="BF35" t="s">
        <v>88</v>
      </c>
      <c r="BG35" t="s">
        <v>60</v>
      </c>
      <c r="BH35" t="s">
        <v>60</v>
      </c>
      <c r="BI35" t="s">
        <v>88</v>
      </c>
      <c r="BJ35" t="s">
        <v>133</v>
      </c>
      <c r="BK35" t="s">
        <v>36</v>
      </c>
      <c r="BL35" t="s">
        <v>36</v>
      </c>
      <c r="BM35" t="s">
        <v>36</v>
      </c>
    </row>
    <row r="36" spans="1:65" x14ac:dyDescent="0.2">
      <c r="A36" t="s">
        <v>130</v>
      </c>
      <c r="B36" t="s">
        <v>130</v>
      </c>
      <c r="C36" t="s">
        <v>131</v>
      </c>
      <c r="D36" t="s">
        <v>60</v>
      </c>
      <c r="E36" t="s">
        <v>47</v>
      </c>
      <c r="F36" t="s">
        <v>80</v>
      </c>
      <c r="G36" t="s">
        <v>133</v>
      </c>
      <c r="H36" t="s">
        <v>132</v>
      </c>
      <c r="I36" t="s">
        <v>34</v>
      </c>
      <c r="J36" t="s">
        <v>134</v>
      </c>
      <c r="K36" t="s">
        <v>138</v>
      </c>
      <c r="L36" t="s">
        <v>130</v>
      </c>
      <c r="M36" t="s">
        <v>130</v>
      </c>
      <c r="N36" t="s">
        <v>130</v>
      </c>
      <c r="O36" t="s">
        <v>47</v>
      </c>
      <c r="P36" t="s">
        <v>60</v>
      </c>
      <c r="Q36" t="s">
        <v>131</v>
      </c>
      <c r="R36" t="s">
        <v>130</v>
      </c>
      <c r="S36" t="s">
        <v>130</v>
      </c>
      <c r="T36" t="s">
        <v>130</v>
      </c>
      <c r="U36" t="s">
        <v>130</v>
      </c>
      <c r="V36" t="s">
        <v>130</v>
      </c>
      <c r="W36" t="s">
        <v>130</v>
      </c>
      <c r="X36" t="s">
        <v>47</v>
      </c>
      <c r="Y36" t="s">
        <v>60</v>
      </c>
      <c r="Z36" t="s">
        <v>131</v>
      </c>
      <c r="AA36" t="s">
        <v>131</v>
      </c>
      <c r="AB36" t="s">
        <v>60</v>
      </c>
      <c r="AC36" t="s">
        <v>47</v>
      </c>
      <c r="AD36" t="s">
        <v>80</v>
      </c>
      <c r="AE36" t="s">
        <v>133</v>
      </c>
      <c r="AF36" t="s">
        <v>132</v>
      </c>
      <c r="AG36" t="s">
        <v>130</v>
      </c>
      <c r="AH36" t="s">
        <v>130</v>
      </c>
      <c r="AI36" t="s">
        <v>130</v>
      </c>
      <c r="AJ36" t="s">
        <v>130</v>
      </c>
      <c r="AK36" t="s">
        <v>130</v>
      </c>
      <c r="AL36" t="s">
        <v>130</v>
      </c>
      <c r="AM36" t="s">
        <v>80</v>
      </c>
      <c r="AN36" t="s">
        <v>133</v>
      </c>
      <c r="AO36" t="s">
        <v>132</v>
      </c>
      <c r="AP36" t="s">
        <v>130</v>
      </c>
      <c r="AQ36" t="s">
        <v>130</v>
      </c>
      <c r="AR36" t="s">
        <v>130</v>
      </c>
      <c r="AS36" t="s">
        <v>80</v>
      </c>
      <c r="AT36" t="s">
        <v>133</v>
      </c>
      <c r="AU36" t="s">
        <v>132</v>
      </c>
      <c r="AV36" t="s">
        <v>130</v>
      </c>
      <c r="AW36" t="s">
        <v>130</v>
      </c>
      <c r="AX36" t="s">
        <v>130</v>
      </c>
      <c r="AY36" t="s">
        <v>130</v>
      </c>
      <c r="AZ36" t="s">
        <v>130</v>
      </c>
      <c r="BA36" t="s">
        <v>130</v>
      </c>
      <c r="BB36" t="s">
        <v>34</v>
      </c>
      <c r="BC36" t="s">
        <v>134</v>
      </c>
      <c r="BD36" t="s">
        <v>138</v>
      </c>
      <c r="BE36" t="s">
        <v>34</v>
      </c>
      <c r="BF36" t="s">
        <v>134</v>
      </c>
      <c r="BG36" t="s">
        <v>138</v>
      </c>
      <c r="BH36" t="s">
        <v>138</v>
      </c>
      <c r="BI36" t="s">
        <v>134</v>
      </c>
      <c r="BJ36" t="s">
        <v>34</v>
      </c>
      <c r="BK36" t="s">
        <v>130</v>
      </c>
      <c r="BL36" t="s">
        <v>130</v>
      </c>
      <c r="BM36" t="s">
        <v>130</v>
      </c>
    </row>
    <row r="37" spans="1:65" x14ac:dyDescent="0.2">
      <c r="A37" t="s">
        <v>47</v>
      </c>
      <c r="B37" t="s">
        <v>47</v>
      </c>
      <c r="C37" t="s">
        <v>130</v>
      </c>
      <c r="D37" t="s">
        <v>131</v>
      </c>
      <c r="E37" t="s">
        <v>60</v>
      </c>
      <c r="F37" t="s">
        <v>46</v>
      </c>
      <c r="G37" t="s">
        <v>73</v>
      </c>
      <c r="H37" t="s">
        <v>67</v>
      </c>
      <c r="I37" t="s">
        <v>35</v>
      </c>
      <c r="J37" t="s">
        <v>87</v>
      </c>
      <c r="K37" t="s">
        <v>53</v>
      </c>
      <c r="L37" t="s">
        <v>47</v>
      </c>
      <c r="M37" t="s">
        <v>47</v>
      </c>
      <c r="N37" t="s">
        <v>47</v>
      </c>
      <c r="O37" t="s">
        <v>60</v>
      </c>
      <c r="P37" t="s">
        <v>131</v>
      </c>
      <c r="Q37" t="s">
        <v>130</v>
      </c>
      <c r="R37" t="s">
        <v>47</v>
      </c>
      <c r="S37" t="s">
        <v>47</v>
      </c>
      <c r="T37" t="s">
        <v>47</v>
      </c>
      <c r="U37" t="s">
        <v>47</v>
      </c>
      <c r="V37" t="s">
        <v>47</v>
      </c>
      <c r="W37" t="s">
        <v>47</v>
      </c>
      <c r="X37" t="s">
        <v>60</v>
      </c>
      <c r="Y37" t="s">
        <v>131</v>
      </c>
      <c r="Z37" t="s">
        <v>130</v>
      </c>
      <c r="AA37" t="s">
        <v>130</v>
      </c>
      <c r="AB37" t="s">
        <v>131</v>
      </c>
      <c r="AC37" t="s">
        <v>60</v>
      </c>
      <c r="AD37" t="s">
        <v>47</v>
      </c>
      <c r="AE37" t="s">
        <v>47</v>
      </c>
      <c r="AF37" t="s">
        <v>47</v>
      </c>
      <c r="AG37" t="s">
        <v>47</v>
      </c>
      <c r="AH37" t="s">
        <v>47</v>
      </c>
      <c r="AI37" t="s">
        <v>47</v>
      </c>
      <c r="AJ37" t="s">
        <v>46</v>
      </c>
      <c r="AK37" t="s">
        <v>73</v>
      </c>
      <c r="AL37" t="s">
        <v>67</v>
      </c>
      <c r="AM37" t="s">
        <v>46</v>
      </c>
      <c r="AN37" t="s">
        <v>73</v>
      </c>
      <c r="AO37" t="s">
        <v>67</v>
      </c>
      <c r="AP37" t="s">
        <v>67</v>
      </c>
      <c r="AQ37" t="s">
        <v>73</v>
      </c>
      <c r="AR37" t="s">
        <v>46</v>
      </c>
      <c r="AS37" t="s">
        <v>47</v>
      </c>
      <c r="AT37" t="s">
        <v>47</v>
      </c>
      <c r="AU37" t="s">
        <v>47</v>
      </c>
      <c r="AV37" t="s">
        <v>35</v>
      </c>
      <c r="AW37" t="s">
        <v>87</v>
      </c>
      <c r="AX37" t="s">
        <v>53</v>
      </c>
      <c r="AY37" t="s">
        <v>47</v>
      </c>
      <c r="AZ37" t="s">
        <v>47</v>
      </c>
      <c r="BA37" t="s">
        <v>47</v>
      </c>
      <c r="BB37" t="s">
        <v>47</v>
      </c>
      <c r="BC37" t="s">
        <v>47</v>
      </c>
      <c r="BD37" t="s">
        <v>47</v>
      </c>
      <c r="BE37" t="s">
        <v>35</v>
      </c>
      <c r="BF37" t="s">
        <v>87</v>
      </c>
      <c r="BG37" t="s">
        <v>53</v>
      </c>
      <c r="BH37" t="s">
        <v>47</v>
      </c>
      <c r="BI37" t="s">
        <v>47</v>
      </c>
      <c r="BJ37" t="s">
        <v>47</v>
      </c>
      <c r="BK37" t="s">
        <v>35</v>
      </c>
      <c r="BL37" t="s">
        <v>87</v>
      </c>
      <c r="BM37" t="s">
        <v>53</v>
      </c>
    </row>
    <row r="38" spans="1:65" x14ac:dyDescent="0.2">
      <c r="A38" t="s">
        <v>60</v>
      </c>
      <c r="B38" t="s">
        <v>60</v>
      </c>
      <c r="C38" t="s">
        <v>47</v>
      </c>
      <c r="D38" t="s">
        <v>130</v>
      </c>
      <c r="E38" t="s">
        <v>131</v>
      </c>
      <c r="F38" t="s">
        <v>135</v>
      </c>
      <c r="G38" t="s">
        <v>134</v>
      </c>
      <c r="H38" t="s">
        <v>86</v>
      </c>
      <c r="I38" t="s">
        <v>36</v>
      </c>
      <c r="J38" t="s">
        <v>133</v>
      </c>
      <c r="K38" t="s">
        <v>88</v>
      </c>
      <c r="L38" t="s">
        <v>60</v>
      </c>
      <c r="M38" t="s">
        <v>60</v>
      </c>
      <c r="N38" t="s">
        <v>60</v>
      </c>
      <c r="O38" t="s">
        <v>131</v>
      </c>
      <c r="P38" t="s">
        <v>130</v>
      </c>
      <c r="Q38" t="s">
        <v>47</v>
      </c>
      <c r="R38" t="s">
        <v>60</v>
      </c>
      <c r="S38" t="s">
        <v>60</v>
      </c>
      <c r="T38" t="s">
        <v>60</v>
      </c>
      <c r="U38" t="s">
        <v>60</v>
      </c>
      <c r="V38" t="s">
        <v>60</v>
      </c>
      <c r="W38" t="s">
        <v>60</v>
      </c>
      <c r="X38" t="s">
        <v>131</v>
      </c>
      <c r="Y38" t="s">
        <v>130</v>
      </c>
      <c r="Z38" t="s">
        <v>47</v>
      </c>
      <c r="AA38" t="s">
        <v>47</v>
      </c>
      <c r="AB38" t="s">
        <v>130</v>
      </c>
      <c r="AC38" t="s">
        <v>131</v>
      </c>
      <c r="AD38" t="s">
        <v>60</v>
      </c>
      <c r="AE38" t="s">
        <v>60</v>
      </c>
      <c r="AF38" t="s">
        <v>60</v>
      </c>
      <c r="AG38" t="s">
        <v>86</v>
      </c>
      <c r="AH38" t="s">
        <v>134</v>
      </c>
      <c r="AI38" t="s">
        <v>135</v>
      </c>
      <c r="AJ38" t="s">
        <v>60</v>
      </c>
      <c r="AK38" t="s">
        <v>60</v>
      </c>
      <c r="AL38" t="s">
        <v>60</v>
      </c>
      <c r="AM38" t="s">
        <v>60</v>
      </c>
      <c r="AN38" t="s">
        <v>60</v>
      </c>
      <c r="AO38" t="s">
        <v>60</v>
      </c>
      <c r="AP38" t="s">
        <v>86</v>
      </c>
      <c r="AQ38" t="s">
        <v>134</v>
      </c>
      <c r="AR38" t="s">
        <v>135</v>
      </c>
      <c r="AS38" t="s">
        <v>135</v>
      </c>
      <c r="AT38" t="s">
        <v>134</v>
      </c>
      <c r="AU38" t="s">
        <v>86</v>
      </c>
      <c r="AV38" t="s">
        <v>60</v>
      </c>
      <c r="AW38" t="s">
        <v>60</v>
      </c>
      <c r="AX38" t="s">
        <v>60</v>
      </c>
      <c r="AY38" t="s">
        <v>60</v>
      </c>
      <c r="AZ38" t="s">
        <v>60</v>
      </c>
      <c r="BA38" t="s">
        <v>60</v>
      </c>
      <c r="BB38" t="s">
        <v>36</v>
      </c>
      <c r="BC38" t="s">
        <v>133</v>
      </c>
      <c r="BD38" t="s">
        <v>88</v>
      </c>
      <c r="BE38" t="s">
        <v>36</v>
      </c>
      <c r="BF38" t="s">
        <v>133</v>
      </c>
      <c r="BG38" t="s">
        <v>88</v>
      </c>
      <c r="BH38" t="s">
        <v>88</v>
      </c>
      <c r="BI38" t="s">
        <v>133</v>
      </c>
      <c r="BJ38" t="s">
        <v>36</v>
      </c>
      <c r="BK38" t="s">
        <v>60</v>
      </c>
      <c r="BL38" t="s">
        <v>60</v>
      </c>
      <c r="BM38" t="s">
        <v>60</v>
      </c>
    </row>
    <row r="39" spans="1:65" x14ac:dyDescent="0.2">
      <c r="A39" t="s">
        <v>131</v>
      </c>
      <c r="B39" t="s">
        <v>131</v>
      </c>
      <c r="C39" t="s">
        <v>60</v>
      </c>
      <c r="D39" t="s">
        <v>47</v>
      </c>
      <c r="E39" t="s">
        <v>130</v>
      </c>
      <c r="F39" t="s">
        <v>136</v>
      </c>
      <c r="G39" t="s">
        <v>87</v>
      </c>
      <c r="H39" t="s">
        <v>44</v>
      </c>
      <c r="I39" t="s">
        <v>33</v>
      </c>
      <c r="J39" t="s">
        <v>73</v>
      </c>
      <c r="K39" t="s">
        <v>137</v>
      </c>
      <c r="L39" t="s">
        <v>131</v>
      </c>
      <c r="M39" t="s">
        <v>131</v>
      </c>
      <c r="N39" t="s">
        <v>131</v>
      </c>
      <c r="O39" t="s">
        <v>130</v>
      </c>
      <c r="P39" t="s">
        <v>47</v>
      </c>
      <c r="Q39" t="s">
        <v>60</v>
      </c>
      <c r="R39" t="s">
        <v>131</v>
      </c>
      <c r="S39" t="s">
        <v>131</v>
      </c>
      <c r="T39" t="s">
        <v>131</v>
      </c>
      <c r="U39" t="s">
        <v>131</v>
      </c>
      <c r="V39" t="s">
        <v>131</v>
      </c>
      <c r="W39" t="s">
        <v>131</v>
      </c>
      <c r="X39" t="s">
        <v>130</v>
      </c>
      <c r="Y39" t="s">
        <v>47</v>
      </c>
      <c r="Z39" t="s">
        <v>60</v>
      </c>
      <c r="AA39" t="s">
        <v>60</v>
      </c>
      <c r="AB39" t="s">
        <v>47</v>
      </c>
      <c r="AC39" t="s">
        <v>130</v>
      </c>
      <c r="AD39" t="s">
        <v>131</v>
      </c>
      <c r="AE39" t="s">
        <v>131</v>
      </c>
      <c r="AF39" t="s">
        <v>131</v>
      </c>
      <c r="AG39" t="s">
        <v>131</v>
      </c>
      <c r="AH39" t="s">
        <v>131</v>
      </c>
      <c r="AI39" t="s">
        <v>131</v>
      </c>
      <c r="AJ39" t="s">
        <v>136</v>
      </c>
      <c r="AK39" t="s">
        <v>87</v>
      </c>
      <c r="AL39" t="s">
        <v>44</v>
      </c>
      <c r="AM39" t="s">
        <v>136</v>
      </c>
      <c r="AN39" t="s">
        <v>87</v>
      </c>
      <c r="AO39" t="s">
        <v>44</v>
      </c>
      <c r="AP39" t="s">
        <v>44</v>
      </c>
      <c r="AQ39" t="s">
        <v>87</v>
      </c>
      <c r="AR39" t="s">
        <v>136</v>
      </c>
      <c r="AS39" t="s">
        <v>131</v>
      </c>
      <c r="AT39" t="s">
        <v>131</v>
      </c>
      <c r="AU39" t="s">
        <v>131</v>
      </c>
      <c r="AV39" t="s">
        <v>131</v>
      </c>
      <c r="AW39" t="s">
        <v>131</v>
      </c>
      <c r="AX39" t="s">
        <v>131</v>
      </c>
      <c r="AY39" t="s">
        <v>137</v>
      </c>
      <c r="AZ39" t="s">
        <v>73</v>
      </c>
      <c r="BA39" t="s">
        <v>33</v>
      </c>
      <c r="BB39" t="s">
        <v>131</v>
      </c>
      <c r="BC39" t="s">
        <v>131</v>
      </c>
      <c r="BD39" t="s">
        <v>131</v>
      </c>
      <c r="BE39" t="s">
        <v>131</v>
      </c>
      <c r="BF39" t="s">
        <v>131</v>
      </c>
      <c r="BG39" t="s">
        <v>131</v>
      </c>
      <c r="BH39" t="s">
        <v>137</v>
      </c>
      <c r="BI39" t="s">
        <v>73</v>
      </c>
      <c r="BJ39" t="s">
        <v>33</v>
      </c>
      <c r="BK39" t="s">
        <v>33</v>
      </c>
      <c r="BL39" t="s">
        <v>73</v>
      </c>
      <c r="BM39" t="s">
        <v>137</v>
      </c>
    </row>
    <row r="40" spans="1:65" x14ac:dyDescent="0.2">
      <c r="A40" t="s">
        <v>132</v>
      </c>
      <c r="B40" t="s">
        <v>132</v>
      </c>
      <c r="C40" t="s">
        <v>33</v>
      </c>
      <c r="D40" t="s">
        <v>135</v>
      </c>
      <c r="E40" t="s">
        <v>53</v>
      </c>
      <c r="F40" t="s">
        <v>130</v>
      </c>
      <c r="G40" t="s">
        <v>80</v>
      </c>
      <c r="H40" t="s">
        <v>133</v>
      </c>
      <c r="I40" t="s">
        <v>67</v>
      </c>
      <c r="J40" t="s">
        <v>86</v>
      </c>
      <c r="K40" t="s">
        <v>44</v>
      </c>
      <c r="L40" t="s">
        <v>132</v>
      </c>
      <c r="M40" t="s">
        <v>132</v>
      </c>
      <c r="N40" t="s">
        <v>132</v>
      </c>
      <c r="O40" t="s">
        <v>132</v>
      </c>
      <c r="P40" t="s">
        <v>132</v>
      </c>
      <c r="Q40" t="s">
        <v>132</v>
      </c>
      <c r="R40" t="s">
        <v>33</v>
      </c>
      <c r="S40" t="s">
        <v>135</v>
      </c>
      <c r="T40" t="s">
        <v>53</v>
      </c>
      <c r="U40" t="s">
        <v>33</v>
      </c>
      <c r="V40" t="s">
        <v>135</v>
      </c>
      <c r="W40" t="s">
        <v>53</v>
      </c>
      <c r="X40" t="s">
        <v>53</v>
      </c>
      <c r="Y40" t="s">
        <v>135</v>
      </c>
      <c r="Z40" t="s">
        <v>33</v>
      </c>
      <c r="AA40" t="s">
        <v>132</v>
      </c>
      <c r="AB40" t="s">
        <v>132</v>
      </c>
      <c r="AC40" t="s">
        <v>132</v>
      </c>
      <c r="AD40" t="s">
        <v>130</v>
      </c>
      <c r="AE40" t="s">
        <v>80</v>
      </c>
      <c r="AF40" t="s">
        <v>133</v>
      </c>
      <c r="AG40" t="s">
        <v>132</v>
      </c>
      <c r="AH40" t="s">
        <v>132</v>
      </c>
      <c r="AI40" t="s">
        <v>132</v>
      </c>
      <c r="AJ40" t="s">
        <v>132</v>
      </c>
      <c r="AK40" t="s">
        <v>132</v>
      </c>
      <c r="AL40" t="s">
        <v>132</v>
      </c>
      <c r="AM40" t="s">
        <v>130</v>
      </c>
      <c r="AN40" t="s">
        <v>80</v>
      </c>
      <c r="AO40" t="s">
        <v>133</v>
      </c>
      <c r="AP40" t="s">
        <v>132</v>
      </c>
      <c r="AQ40" t="s">
        <v>132</v>
      </c>
      <c r="AR40" t="s">
        <v>132</v>
      </c>
      <c r="AS40" t="s">
        <v>130</v>
      </c>
      <c r="AT40" t="s">
        <v>80</v>
      </c>
      <c r="AU40" t="s">
        <v>133</v>
      </c>
      <c r="AV40" t="s">
        <v>67</v>
      </c>
      <c r="AW40" t="s">
        <v>86</v>
      </c>
      <c r="AX40" t="s">
        <v>44</v>
      </c>
      <c r="AY40" t="s">
        <v>132</v>
      </c>
      <c r="AZ40" t="s">
        <v>132</v>
      </c>
      <c r="BA40" t="s">
        <v>132</v>
      </c>
      <c r="BB40" t="s">
        <v>132</v>
      </c>
      <c r="BC40" t="s">
        <v>132</v>
      </c>
      <c r="BD40" t="s">
        <v>132</v>
      </c>
      <c r="BE40" t="s">
        <v>67</v>
      </c>
      <c r="BF40" t="s">
        <v>86</v>
      </c>
      <c r="BG40" t="s">
        <v>44</v>
      </c>
      <c r="BH40" t="s">
        <v>132</v>
      </c>
      <c r="BI40" t="s">
        <v>132</v>
      </c>
      <c r="BJ40" t="s">
        <v>132</v>
      </c>
      <c r="BK40" t="s">
        <v>67</v>
      </c>
      <c r="BL40" t="s">
        <v>86</v>
      </c>
      <c r="BM40" t="s">
        <v>44</v>
      </c>
    </row>
    <row r="41" spans="1:65" x14ac:dyDescent="0.2">
      <c r="A41" t="s">
        <v>67</v>
      </c>
      <c r="B41" t="s">
        <v>67</v>
      </c>
      <c r="C41" t="s">
        <v>34</v>
      </c>
      <c r="D41" t="s">
        <v>136</v>
      </c>
      <c r="E41" t="s">
        <v>88</v>
      </c>
      <c r="F41" t="s">
        <v>47</v>
      </c>
      <c r="G41" t="s">
        <v>46</v>
      </c>
      <c r="H41" t="s">
        <v>73</v>
      </c>
      <c r="I41" t="s">
        <v>86</v>
      </c>
      <c r="J41" t="s">
        <v>44</v>
      </c>
      <c r="K41" t="s">
        <v>132</v>
      </c>
      <c r="L41" t="s">
        <v>34</v>
      </c>
      <c r="M41" t="s">
        <v>136</v>
      </c>
      <c r="N41" t="s">
        <v>88</v>
      </c>
      <c r="O41" t="s">
        <v>67</v>
      </c>
      <c r="P41" t="s">
        <v>67</v>
      </c>
      <c r="Q41" t="s">
        <v>67</v>
      </c>
      <c r="R41" t="s">
        <v>67</v>
      </c>
      <c r="S41" t="s">
        <v>67</v>
      </c>
      <c r="T41" t="s">
        <v>67</v>
      </c>
      <c r="U41" t="s">
        <v>34</v>
      </c>
      <c r="V41" t="s">
        <v>136</v>
      </c>
      <c r="W41" t="s">
        <v>88</v>
      </c>
      <c r="X41" t="s">
        <v>67</v>
      </c>
      <c r="Y41" t="s">
        <v>67</v>
      </c>
      <c r="Z41" t="s">
        <v>67</v>
      </c>
      <c r="AA41" t="s">
        <v>34</v>
      </c>
      <c r="AB41" t="s">
        <v>136</v>
      </c>
      <c r="AC41" t="s">
        <v>88</v>
      </c>
      <c r="AD41" t="s">
        <v>67</v>
      </c>
      <c r="AE41" t="s">
        <v>67</v>
      </c>
      <c r="AF41" t="s">
        <v>67</v>
      </c>
      <c r="AG41" t="s">
        <v>67</v>
      </c>
      <c r="AH41" t="s">
        <v>67</v>
      </c>
      <c r="AI41" t="s">
        <v>67</v>
      </c>
      <c r="AJ41" t="s">
        <v>47</v>
      </c>
      <c r="AK41" t="s">
        <v>46</v>
      </c>
      <c r="AL41" t="s">
        <v>73</v>
      </c>
      <c r="AM41" t="s">
        <v>47</v>
      </c>
      <c r="AN41" t="s">
        <v>46</v>
      </c>
      <c r="AO41" t="s">
        <v>73</v>
      </c>
      <c r="AP41" t="s">
        <v>73</v>
      </c>
      <c r="AQ41" t="s">
        <v>46</v>
      </c>
      <c r="AR41" t="s">
        <v>47</v>
      </c>
      <c r="AS41" t="s">
        <v>67</v>
      </c>
      <c r="AT41" t="s">
        <v>67</v>
      </c>
      <c r="AU41" t="s">
        <v>67</v>
      </c>
      <c r="AV41" t="s">
        <v>86</v>
      </c>
      <c r="AW41" t="s">
        <v>44</v>
      </c>
      <c r="AX41" t="s">
        <v>132</v>
      </c>
      <c r="AY41" t="s">
        <v>67</v>
      </c>
      <c r="AZ41" t="s">
        <v>67</v>
      </c>
      <c r="BA41" t="s">
        <v>67</v>
      </c>
      <c r="BB41" t="s">
        <v>67</v>
      </c>
      <c r="BC41" t="s">
        <v>67</v>
      </c>
      <c r="BD41" t="s">
        <v>67</v>
      </c>
      <c r="BE41" t="s">
        <v>86</v>
      </c>
      <c r="BF41" t="s">
        <v>44</v>
      </c>
      <c r="BG41" t="s">
        <v>132</v>
      </c>
      <c r="BH41" t="s">
        <v>67</v>
      </c>
      <c r="BI41" t="s">
        <v>67</v>
      </c>
      <c r="BJ41" t="s">
        <v>67</v>
      </c>
      <c r="BK41" t="s">
        <v>86</v>
      </c>
      <c r="BL41" t="s">
        <v>44</v>
      </c>
      <c r="BM41" t="s">
        <v>132</v>
      </c>
    </row>
    <row r="42" spans="1:65" x14ac:dyDescent="0.2">
      <c r="A42" t="s">
        <v>86</v>
      </c>
      <c r="B42" t="s">
        <v>86</v>
      </c>
      <c r="C42" t="s">
        <v>35</v>
      </c>
      <c r="D42" t="s">
        <v>80</v>
      </c>
      <c r="E42" t="s">
        <v>137</v>
      </c>
      <c r="F42" t="s">
        <v>60</v>
      </c>
      <c r="G42" t="s">
        <v>135</v>
      </c>
      <c r="H42" t="s">
        <v>134</v>
      </c>
      <c r="I42" t="s">
        <v>44</v>
      </c>
      <c r="J42" t="s">
        <v>132</v>
      </c>
      <c r="K42" t="s">
        <v>67</v>
      </c>
      <c r="L42" t="s">
        <v>86</v>
      </c>
      <c r="M42" t="s">
        <v>86</v>
      </c>
      <c r="N42" t="s">
        <v>86</v>
      </c>
      <c r="O42" t="s">
        <v>86</v>
      </c>
      <c r="P42" t="s">
        <v>86</v>
      </c>
      <c r="Q42" t="s">
        <v>86</v>
      </c>
      <c r="R42" t="s">
        <v>35</v>
      </c>
      <c r="S42" t="s">
        <v>80</v>
      </c>
      <c r="T42" t="s">
        <v>137</v>
      </c>
      <c r="U42" t="s">
        <v>35</v>
      </c>
      <c r="V42" t="s">
        <v>80</v>
      </c>
      <c r="W42" t="s">
        <v>137</v>
      </c>
      <c r="X42" t="s">
        <v>137</v>
      </c>
      <c r="Y42" t="s">
        <v>80</v>
      </c>
      <c r="Z42" t="s">
        <v>35</v>
      </c>
      <c r="AA42" t="s">
        <v>86</v>
      </c>
      <c r="AB42" t="s">
        <v>86</v>
      </c>
      <c r="AC42" t="s">
        <v>86</v>
      </c>
      <c r="AD42" t="s">
        <v>86</v>
      </c>
      <c r="AE42" t="s">
        <v>86</v>
      </c>
      <c r="AF42" t="s">
        <v>86</v>
      </c>
      <c r="AG42" t="s">
        <v>134</v>
      </c>
      <c r="AH42" t="s">
        <v>135</v>
      </c>
      <c r="AI42" t="s">
        <v>60</v>
      </c>
      <c r="AJ42" t="s">
        <v>86</v>
      </c>
      <c r="AK42" t="s">
        <v>86</v>
      </c>
      <c r="AL42" t="s">
        <v>86</v>
      </c>
      <c r="AM42" t="s">
        <v>86</v>
      </c>
      <c r="AN42" t="s">
        <v>86</v>
      </c>
      <c r="AO42" t="s">
        <v>86</v>
      </c>
      <c r="AP42" t="s">
        <v>134</v>
      </c>
      <c r="AQ42" t="s">
        <v>135</v>
      </c>
      <c r="AR42" t="s">
        <v>60</v>
      </c>
      <c r="AS42" t="s">
        <v>60</v>
      </c>
      <c r="AT42" t="s">
        <v>135</v>
      </c>
      <c r="AU42" t="s">
        <v>134</v>
      </c>
      <c r="AV42" t="s">
        <v>44</v>
      </c>
      <c r="AW42" t="s">
        <v>132</v>
      </c>
      <c r="AX42" t="s">
        <v>67</v>
      </c>
      <c r="AY42" t="s">
        <v>86</v>
      </c>
      <c r="AZ42" t="s">
        <v>86</v>
      </c>
      <c r="BA42" t="s">
        <v>86</v>
      </c>
      <c r="BB42" t="s">
        <v>86</v>
      </c>
      <c r="BC42" t="s">
        <v>86</v>
      </c>
      <c r="BD42" t="s">
        <v>86</v>
      </c>
      <c r="BE42" t="s">
        <v>44</v>
      </c>
      <c r="BF42" t="s">
        <v>132</v>
      </c>
      <c r="BG42" t="s">
        <v>67</v>
      </c>
      <c r="BH42" t="s">
        <v>86</v>
      </c>
      <c r="BI42" t="s">
        <v>86</v>
      </c>
      <c r="BJ42" t="s">
        <v>86</v>
      </c>
      <c r="BK42" t="s">
        <v>44</v>
      </c>
      <c r="BL42" t="s">
        <v>132</v>
      </c>
      <c r="BM42" t="s">
        <v>67</v>
      </c>
    </row>
    <row r="43" spans="1:65" x14ac:dyDescent="0.2">
      <c r="A43" t="s">
        <v>44</v>
      </c>
      <c r="B43" t="s">
        <v>44</v>
      </c>
      <c r="C43" t="s">
        <v>36</v>
      </c>
      <c r="D43" t="s">
        <v>46</v>
      </c>
      <c r="E43" t="s">
        <v>138</v>
      </c>
      <c r="F43" t="s">
        <v>131</v>
      </c>
      <c r="G43" t="s">
        <v>136</v>
      </c>
      <c r="H43" t="s">
        <v>87</v>
      </c>
      <c r="I43" t="s">
        <v>132</v>
      </c>
      <c r="J43" t="s">
        <v>67</v>
      </c>
      <c r="K43" t="s">
        <v>86</v>
      </c>
      <c r="L43" t="s">
        <v>44</v>
      </c>
      <c r="M43" t="s">
        <v>44</v>
      </c>
      <c r="N43" t="s">
        <v>44</v>
      </c>
      <c r="O43" t="s">
        <v>138</v>
      </c>
      <c r="P43" t="s">
        <v>46</v>
      </c>
      <c r="Q43" t="s">
        <v>36</v>
      </c>
      <c r="R43" t="s">
        <v>44</v>
      </c>
      <c r="S43" t="s">
        <v>44</v>
      </c>
      <c r="T43" t="s">
        <v>44</v>
      </c>
      <c r="U43" t="s">
        <v>44</v>
      </c>
      <c r="V43" t="s">
        <v>44</v>
      </c>
      <c r="W43" t="s">
        <v>44</v>
      </c>
      <c r="X43" t="s">
        <v>138</v>
      </c>
      <c r="Y43" t="s">
        <v>46</v>
      </c>
      <c r="Z43" t="s">
        <v>36</v>
      </c>
      <c r="AA43" t="s">
        <v>36</v>
      </c>
      <c r="AB43" t="s">
        <v>46</v>
      </c>
      <c r="AC43" t="s">
        <v>138</v>
      </c>
      <c r="AD43" t="s">
        <v>44</v>
      </c>
      <c r="AE43" t="s">
        <v>44</v>
      </c>
      <c r="AF43" t="s">
        <v>44</v>
      </c>
      <c r="AG43" t="s">
        <v>44</v>
      </c>
      <c r="AH43" t="s">
        <v>44</v>
      </c>
      <c r="AI43" t="s">
        <v>44</v>
      </c>
      <c r="AJ43" t="s">
        <v>131</v>
      </c>
      <c r="AK43" t="s">
        <v>136</v>
      </c>
      <c r="AL43" t="s">
        <v>87</v>
      </c>
      <c r="AM43" t="s">
        <v>131</v>
      </c>
      <c r="AN43" t="s">
        <v>136</v>
      </c>
      <c r="AO43" t="s">
        <v>87</v>
      </c>
      <c r="AP43" t="s">
        <v>87</v>
      </c>
      <c r="AQ43" t="s">
        <v>136</v>
      </c>
      <c r="AR43" t="s">
        <v>131</v>
      </c>
      <c r="AS43" t="s">
        <v>44</v>
      </c>
      <c r="AT43" t="s">
        <v>44</v>
      </c>
      <c r="AU43" t="s">
        <v>44</v>
      </c>
      <c r="AV43" t="s">
        <v>132</v>
      </c>
      <c r="AW43" t="s">
        <v>67</v>
      </c>
      <c r="AX43" t="s">
        <v>86</v>
      </c>
      <c r="AY43" t="s">
        <v>44</v>
      </c>
      <c r="AZ43" t="s">
        <v>44</v>
      </c>
      <c r="BA43" t="s">
        <v>44</v>
      </c>
      <c r="BB43" t="s">
        <v>44</v>
      </c>
      <c r="BC43" t="s">
        <v>44</v>
      </c>
      <c r="BD43" t="s">
        <v>44</v>
      </c>
      <c r="BE43" t="s">
        <v>132</v>
      </c>
      <c r="BF43" t="s">
        <v>67</v>
      </c>
      <c r="BG43" t="s">
        <v>86</v>
      </c>
      <c r="BH43" t="s">
        <v>44</v>
      </c>
      <c r="BI43" t="s">
        <v>44</v>
      </c>
      <c r="BJ43" t="s">
        <v>44</v>
      </c>
      <c r="BK43" t="s">
        <v>132</v>
      </c>
      <c r="BL43" t="s">
        <v>67</v>
      </c>
      <c r="BM43" t="s">
        <v>86</v>
      </c>
    </row>
    <row r="44" spans="1:65" x14ac:dyDescent="0.2">
      <c r="A44" t="s">
        <v>133</v>
      </c>
      <c r="B44" t="s">
        <v>133</v>
      </c>
      <c r="C44" t="s">
        <v>73</v>
      </c>
      <c r="D44" t="s">
        <v>134</v>
      </c>
      <c r="E44" t="s">
        <v>87</v>
      </c>
      <c r="F44" t="s">
        <v>132</v>
      </c>
      <c r="G44" t="s">
        <v>130</v>
      </c>
      <c r="H44" t="s">
        <v>80</v>
      </c>
      <c r="I44" t="s">
        <v>88</v>
      </c>
      <c r="J44" t="s">
        <v>60</v>
      </c>
      <c r="K44" t="s">
        <v>36</v>
      </c>
      <c r="L44" t="s">
        <v>73</v>
      </c>
      <c r="M44" t="s">
        <v>134</v>
      </c>
      <c r="N44" t="s">
        <v>87</v>
      </c>
      <c r="O44" t="s">
        <v>133</v>
      </c>
      <c r="P44" t="s">
        <v>133</v>
      </c>
      <c r="Q44" t="s">
        <v>133</v>
      </c>
      <c r="R44" t="s">
        <v>133</v>
      </c>
      <c r="S44" t="s">
        <v>133</v>
      </c>
      <c r="T44" t="s">
        <v>133</v>
      </c>
      <c r="U44" t="s">
        <v>73</v>
      </c>
      <c r="V44" t="s">
        <v>134</v>
      </c>
      <c r="W44" t="s">
        <v>87</v>
      </c>
      <c r="X44" t="s">
        <v>133</v>
      </c>
      <c r="Y44" t="s">
        <v>133</v>
      </c>
      <c r="Z44" t="s">
        <v>133</v>
      </c>
      <c r="AA44" t="s">
        <v>73</v>
      </c>
      <c r="AB44" t="s">
        <v>134</v>
      </c>
      <c r="AC44" t="s">
        <v>87</v>
      </c>
      <c r="AD44" t="s">
        <v>132</v>
      </c>
      <c r="AE44" t="s">
        <v>130</v>
      </c>
      <c r="AF44" t="s">
        <v>80</v>
      </c>
      <c r="AG44" t="s">
        <v>133</v>
      </c>
      <c r="AH44" t="s">
        <v>133</v>
      </c>
      <c r="AI44" t="s">
        <v>133</v>
      </c>
      <c r="AJ44" t="s">
        <v>133</v>
      </c>
      <c r="AK44" t="s">
        <v>133</v>
      </c>
      <c r="AL44" t="s">
        <v>133</v>
      </c>
      <c r="AM44" t="s">
        <v>132</v>
      </c>
      <c r="AN44" t="s">
        <v>130</v>
      </c>
      <c r="AO44" t="s">
        <v>80</v>
      </c>
      <c r="AP44" t="s">
        <v>133</v>
      </c>
      <c r="AQ44" t="s">
        <v>133</v>
      </c>
      <c r="AR44" t="s">
        <v>133</v>
      </c>
      <c r="AS44" t="s">
        <v>132</v>
      </c>
      <c r="AT44" t="s">
        <v>130</v>
      </c>
      <c r="AU44" t="s">
        <v>80</v>
      </c>
      <c r="AV44" t="s">
        <v>133</v>
      </c>
      <c r="AW44" t="s">
        <v>133</v>
      </c>
      <c r="AX44" t="s">
        <v>133</v>
      </c>
      <c r="AY44" t="s">
        <v>133</v>
      </c>
      <c r="AZ44" t="s">
        <v>133</v>
      </c>
      <c r="BA44" t="s">
        <v>133</v>
      </c>
      <c r="BB44" t="s">
        <v>88</v>
      </c>
      <c r="BC44" t="s">
        <v>60</v>
      </c>
      <c r="BD44" t="s">
        <v>36</v>
      </c>
      <c r="BE44" t="s">
        <v>88</v>
      </c>
      <c r="BF44" t="s">
        <v>60</v>
      </c>
      <c r="BG44" t="s">
        <v>36</v>
      </c>
      <c r="BH44" t="s">
        <v>36</v>
      </c>
      <c r="BI44" t="s">
        <v>60</v>
      </c>
      <c r="BJ44" t="s">
        <v>88</v>
      </c>
      <c r="BK44" t="s">
        <v>133</v>
      </c>
      <c r="BL44" t="s">
        <v>133</v>
      </c>
      <c r="BM44" t="s">
        <v>133</v>
      </c>
    </row>
    <row r="45" spans="1:65" x14ac:dyDescent="0.2">
      <c r="A45" t="s">
        <v>73</v>
      </c>
      <c r="B45" t="s">
        <v>73</v>
      </c>
      <c r="C45" t="s">
        <v>134</v>
      </c>
      <c r="D45" t="s">
        <v>87</v>
      </c>
      <c r="E45" t="s">
        <v>133</v>
      </c>
      <c r="F45" t="s">
        <v>67</v>
      </c>
      <c r="G45" t="s">
        <v>47</v>
      </c>
      <c r="H45" t="s">
        <v>46</v>
      </c>
      <c r="I45" t="s">
        <v>137</v>
      </c>
      <c r="J45" t="s">
        <v>131</v>
      </c>
      <c r="K45" t="s">
        <v>33</v>
      </c>
      <c r="L45" t="s">
        <v>134</v>
      </c>
      <c r="M45" t="s">
        <v>87</v>
      </c>
      <c r="N45" t="s">
        <v>133</v>
      </c>
      <c r="O45" t="s">
        <v>73</v>
      </c>
      <c r="P45" t="s">
        <v>73</v>
      </c>
      <c r="Q45" t="s">
        <v>73</v>
      </c>
      <c r="R45" t="s">
        <v>73</v>
      </c>
      <c r="S45" t="s">
        <v>73</v>
      </c>
      <c r="T45" t="s">
        <v>73</v>
      </c>
      <c r="U45" t="s">
        <v>134</v>
      </c>
      <c r="V45" t="s">
        <v>87</v>
      </c>
      <c r="W45" t="s">
        <v>133</v>
      </c>
      <c r="X45" t="s">
        <v>73</v>
      </c>
      <c r="Y45" t="s">
        <v>73</v>
      </c>
      <c r="Z45" t="s">
        <v>73</v>
      </c>
      <c r="AA45" t="s">
        <v>134</v>
      </c>
      <c r="AB45" t="s">
        <v>87</v>
      </c>
      <c r="AC45" t="s">
        <v>133</v>
      </c>
      <c r="AD45" t="s">
        <v>73</v>
      </c>
      <c r="AE45" t="s">
        <v>73</v>
      </c>
      <c r="AF45" t="s">
        <v>73</v>
      </c>
      <c r="AG45" t="s">
        <v>73</v>
      </c>
      <c r="AH45" t="s">
        <v>73</v>
      </c>
      <c r="AI45" t="s">
        <v>73</v>
      </c>
      <c r="AJ45" t="s">
        <v>67</v>
      </c>
      <c r="AK45" t="s">
        <v>47</v>
      </c>
      <c r="AL45" t="s">
        <v>46</v>
      </c>
      <c r="AM45" t="s">
        <v>67</v>
      </c>
      <c r="AN45" t="s">
        <v>47</v>
      </c>
      <c r="AO45" t="s">
        <v>46</v>
      </c>
      <c r="AP45" t="s">
        <v>46</v>
      </c>
      <c r="AQ45" t="s">
        <v>47</v>
      </c>
      <c r="AR45" t="s">
        <v>67</v>
      </c>
      <c r="AS45" t="s">
        <v>73</v>
      </c>
      <c r="AT45" t="s">
        <v>73</v>
      </c>
      <c r="AU45" t="s">
        <v>73</v>
      </c>
      <c r="AV45" t="s">
        <v>73</v>
      </c>
      <c r="AW45" t="s">
        <v>73</v>
      </c>
      <c r="AX45" t="s">
        <v>73</v>
      </c>
      <c r="AY45" t="s">
        <v>33</v>
      </c>
      <c r="AZ45" t="s">
        <v>131</v>
      </c>
      <c r="BA45" t="s">
        <v>137</v>
      </c>
      <c r="BB45" t="s">
        <v>73</v>
      </c>
      <c r="BC45" t="s">
        <v>73</v>
      </c>
      <c r="BD45" t="s">
        <v>73</v>
      </c>
      <c r="BE45" t="s">
        <v>73</v>
      </c>
      <c r="BF45" t="s">
        <v>73</v>
      </c>
      <c r="BG45" t="s">
        <v>73</v>
      </c>
      <c r="BH45" t="s">
        <v>33</v>
      </c>
      <c r="BI45" t="s">
        <v>131</v>
      </c>
      <c r="BJ45" t="s">
        <v>137</v>
      </c>
      <c r="BK45" t="s">
        <v>137</v>
      </c>
      <c r="BL45" t="s">
        <v>131</v>
      </c>
      <c r="BM45" t="s">
        <v>33</v>
      </c>
    </row>
    <row r="46" spans="1:65" x14ac:dyDescent="0.2">
      <c r="A46" t="s">
        <v>134</v>
      </c>
      <c r="B46" t="s">
        <v>134</v>
      </c>
      <c r="C46" t="s">
        <v>87</v>
      </c>
      <c r="D46" t="s">
        <v>133</v>
      </c>
      <c r="E46" t="s">
        <v>73</v>
      </c>
      <c r="F46" t="s">
        <v>86</v>
      </c>
      <c r="G46" t="s">
        <v>60</v>
      </c>
      <c r="H46" t="s">
        <v>135</v>
      </c>
      <c r="I46" t="s">
        <v>138</v>
      </c>
      <c r="J46" t="s">
        <v>130</v>
      </c>
      <c r="K46" t="s">
        <v>34</v>
      </c>
      <c r="L46" t="s">
        <v>87</v>
      </c>
      <c r="M46" t="s">
        <v>133</v>
      </c>
      <c r="N46" t="s">
        <v>73</v>
      </c>
      <c r="O46" t="s">
        <v>134</v>
      </c>
      <c r="P46" t="s">
        <v>134</v>
      </c>
      <c r="Q46" t="s">
        <v>134</v>
      </c>
      <c r="R46" t="s">
        <v>134</v>
      </c>
      <c r="S46" t="s">
        <v>134</v>
      </c>
      <c r="T46" t="s">
        <v>134</v>
      </c>
      <c r="U46" t="s">
        <v>87</v>
      </c>
      <c r="V46" t="s">
        <v>133</v>
      </c>
      <c r="W46" t="s">
        <v>73</v>
      </c>
      <c r="X46" t="s">
        <v>134</v>
      </c>
      <c r="Y46" t="s">
        <v>134</v>
      </c>
      <c r="Z46" t="s">
        <v>134</v>
      </c>
      <c r="AA46" t="s">
        <v>87</v>
      </c>
      <c r="AB46" t="s">
        <v>133</v>
      </c>
      <c r="AC46" t="s">
        <v>73</v>
      </c>
      <c r="AD46" t="s">
        <v>134</v>
      </c>
      <c r="AE46" t="s">
        <v>134</v>
      </c>
      <c r="AF46" t="s">
        <v>134</v>
      </c>
      <c r="AG46" t="s">
        <v>135</v>
      </c>
      <c r="AH46" t="s">
        <v>60</v>
      </c>
      <c r="AI46" t="s">
        <v>86</v>
      </c>
      <c r="AJ46" t="s">
        <v>134</v>
      </c>
      <c r="AK46" t="s">
        <v>134</v>
      </c>
      <c r="AL46" t="s">
        <v>134</v>
      </c>
      <c r="AM46" t="s">
        <v>134</v>
      </c>
      <c r="AN46" t="s">
        <v>134</v>
      </c>
      <c r="AO46" t="s">
        <v>134</v>
      </c>
      <c r="AP46" t="s">
        <v>135</v>
      </c>
      <c r="AQ46" t="s">
        <v>60</v>
      </c>
      <c r="AR46" t="s">
        <v>86</v>
      </c>
      <c r="AS46" t="s">
        <v>86</v>
      </c>
      <c r="AT46" t="s">
        <v>60</v>
      </c>
      <c r="AU46" t="s">
        <v>135</v>
      </c>
      <c r="AV46" t="s">
        <v>134</v>
      </c>
      <c r="AW46" t="s">
        <v>134</v>
      </c>
      <c r="AX46" t="s">
        <v>134</v>
      </c>
      <c r="AY46" t="s">
        <v>134</v>
      </c>
      <c r="AZ46" t="s">
        <v>134</v>
      </c>
      <c r="BA46" t="s">
        <v>134</v>
      </c>
      <c r="BB46" t="s">
        <v>138</v>
      </c>
      <c r="BC46" t="s">
        <v>130</v>
      </c>
      <c r="BD46" t="s">
        <v>34</v>
      </c>
      <c r="BE46" t="s">
        <v>138</v>
      </c>
      <c r="BF46" t="s">
        <v>130</v>
      </c>
      <c r="BG46" t="s">
        <v>34</v>
      </c>
      <c r="BH46" t="s">
        <v>34</v>
      </c>
      <c r="BI46" t="s">
        <v>130</v>
      </c>
      <c r="BJ46" t="s">
        <v>138</v>
      </c>
      <c r="BK46" t="s">
        <v>134</v>
      </c>
      <c r="BL46" t="s">
        <v>134</v>
      </c>
      <c r="BM46" t="s">
        <v>134</v>
      </c>
    </row>
    <row r="47" spans="1:65" x14ac:dyDescent="0.2">
      <c r="A47" t="s">
        <v>87</v>
      </c>
      <c r="B47" t="s">
        <v>87</v>
      </c>
      <c r="C47" t="s">
        <v>133</v>
      </c>
      <c r="D47" t="s">
        <v>73</v>
      </c>
      <c r="E47" t="s">
        <v>134</v>
      </c>
      <c r="F47" t="s">
        <v>44</v>
      </c>
      <c r="G47" t="s">
        <v>131</v>
      </c>
      <c r="H47" t="s">
        <v>136</v>
      </c>
      <c r="I47" t="s">
        <v>53</v>
      </c>
      <c r="J47" t="s">
        <v>47</v>
      </c>
      <c r="K47" t="s">
        <v>35</v>
      </c>
      <c r="L47" t="s">
        <v>133</v>
      </c>
      <c r="M47" t="s">
        <v>73</v>
      </c>
      <c r="N47" t="s">
        <v>134</v>
      </c>
      <c r="O47" t="s">
        <v>87</v>
      </c>
      <c r="P47" t="s">
        <v>87</v>
      </c>
      <c r="Q47" t="s">
        <v>87</v>
      </c>
      <c r="R47" t="s">
        <v>87</v>
      </c>
      <c r="S47" t="s">
        <v>87</v>
      </c>
      <c r="T47" t="s">
        <v>87</v>
      </c>
      <c r="U47" t="s">
        <v>133</v>
      </c>
      <c r="V47" t="s">
        <v>73</v>
      </c>
      <c r="W47" t="s">
        <v>134</v>
      </c>
      <c r="X47" t="s">
        <v>87</v>
      </c>
      <c r="Y47" t="s">
        <v>87</v>
      </c>
      <c r="Z47" t="s">
        <v>87</v>
      </c>
      <c r="AA47" t="s">
        <v>133</v>
      </c>
      <c r="AB47" t="s">
        <v>73</v>
      </c>
      <c r="AC47" t="s">
        <v>134</v>
      </c>
      <c r="AD47" t="s">
        <v>87</v>
      </c>
      <c r="AE47" t="s">
        <v>87</v>
      </c>
      <c r="AF47" t="s">
        <v>87</v>
      </c>
      <c r="AG47" t="s">
        <v>87</v>
      </c>
      <c r="AH47" t="s">
        <v>87</v>
      </c>
      <c r="AI47" t="s">
        <v>87</v>
      </c>
      <c r="AJ47" t="s">
        <v>44</v>
      </c>
      <c r="AK47" t="s">
        <v>131</v>
      </c>
      <c r="AL47" t="s">
        <v>136</v>
      </c>
      <c r="AM47" t="s">
        <v>44</v>
      </c>
      <c r="AN47" t="s">
        <v>131</v>
      </c>
      <c r="AO47" t="s">
        <v>136</v>
      </c>
      <c r="AP47" t="s">
        <v>136</v>
      </c>
      <c r="AQ47" t="s">
        <v>131</v>
      </c>
      <c r="AR47" t="s">
        <v>44</v>
      </c>
      <c r="AS47" t="s">
        <v>87</v>
      </c>
      <c r="AT47" t="s">
        <v>87</v>
      </c>
      <c r="AU47" t="s">
        <v>87</v>
      </c>
      <c r="AV47" t="s">
        <v>53</v>
      </c>
      <c r="AW47" t="s">
        <v>47</v>
      </c>
      <c r="AX47" t="s">
        <v>35</v>
      </c>
      <c r="AY47" t="s">
        <v>87</v>
      </c>
      <c r="AZ47" t="s">
        <v>87</v>
      </c>
      <c r="BA47" t="s">
        <v>87</v>
      </c>
      <c r="BB47" t="s">
        <v>87</v>
      </c>
      <c r="BC47" t="s">
        <v>87</v>
      </c>
      <c r="BD47" t="s">
        <v>87</v>
      </c>
      <c r="BE47" t="s">
        <v>53</v>
      </c>
      <c r="BF47" t="s">
        <v>47</v>
      </c>
      <c r="BG47" t="s">
        <v>35</v>
      </c>
      <c r="BH47" t="s">
        <v>87</v>
      </c>
      <c r="BI47" t="s">
        <v>87</v>
      </c>
      <c r="BJ47" t="s">
        <v>87</v>
      </c>
      <c r="BK47" t="s">
        <v>53</v>
      </c>
      <c r="BL47" t="s">
        <v>47</v>
      </c>
      <c r="BM47" t="s">
        <v>35</v>
      </c>
    </row>
    <row r="48" spans="1:65" x14ac:dyDescent="0.2">
      <c r="A48" t="s">
        <v>80</v>
      </c>
      <c r="B48" t="s">
        <v>80</v>
      </c>
      <c r="C48" t="s">
        <v>137</v>
      </c>
      <c r="D48" t="s">
        <v>86</v>
      </c>
      <c r="E48" t="s">
        <v>35</v>
      </c>
      <c r="F48" t="s">
        <v>133</v>
      </c>
      <c r="G48" t="s">
        <v>132</v>
      </c>
      <c r="H48" t="s">
        <v>130</v>
      </c>
      <c r="I48" t="s">
        <v>136</v>
      </c>
      <c r="J48" t="s">
        <v>135</v>
      </c>
      <c r="K48" t="s">
        <v>46</v>
      </c>
      <c r="L48" t="s">
        <v>80</v>
      </c>
      <c r="M48" t="s">
        <v>80</v>
      </c>
      <c r="N48" t="s">
        <v>80</v>
      </c>
      <c r="O48" t="s">
        <v>80</v>
      </c>
      <c r="P48" t="s">
        <v>80</v>
      </c>
      <c r="Q48" t="s">
        <v>80</v>
      </c>
      <c r="R48" t="s">
        <v>137</v>
      </c>
      <c r="S48" t="s">
        <v>86</v>
      </c>
      <c r="T48" t="s">
        <v>35</v>
      </c>
      <c r="U48" t="s">
        <v>137</v>
      </c>
      <c r="V48" t="s">
        <v>86</v>
      </c>
      <c r="W48" t="s">
        <v>35</v>
      </c>
      <c r="X48" t="s">
        <v>35</v>
      </c>
      <c r="Y48" t="s">
        <v>86</v>
      </c>
      <c r="Z48" t="s">
        <v>137</v>
      </c>
      <c r="AA48" t="s">
        <v>80</v>
      </c>
      <c r="AB48" t="s">
        <v>80</v>
      </c>
      <c r="AC48" t="s">
        <v>80</v>
      </c>
      <c r="AD48" t="s">
        <v>133</v>
      </c>
      <c r="AE48" t="s">
        <v>132</v>
      </c>
      <c r="AF48" t="s">
        <v>130</v>
      </c>
      <c r="AG48" t="s">
        <v>80</v>
      </c>
      <c r="AH48" t="s">
        <v>80</v>
      </c>
      <c r="AI48" t="s">
        <v>80</v>
      </c>
      <c r="AJ48" t="s">
        <v>80</v>
      </c>
      <c r="AK48" t="s">
        <v>80</v>
      </c>
      <c r="AL48" t="s">
        <v>80</v>
      </c>
      <c r="AM48" t="s">
        <v>133</v>
      </c>
      <c r="AN48" t="s">
        <v>132</v>
      </c>
      <c r="AO48" t="s">
        <v>130</v>
      </c>
      <c r="AP48" t="s">
        <v>80</v>
      </c>
      <c r="AQ48" t="s">
        <v>80</v>
      </c>
      <c r="AR48" t="s">
        <v>80</v>
      </c>
      <c r="AS48" t="s">
        <v>133</v>
      </c>
      <c r="AT48" t="s">
        <v>132</v>
      </c>
      <c r="AU48" t="s">
        <v>130</v>
      </c>
      <c r="AV48" t="s">
        <v>80</v>
      </c>
      <c r="AW48" t="s">
        <v>80</v>
      </c>
      <c r="AX48" t="s">
        <v>80</v>
      </c>
      <c r="AY48" t="s">
        <v>46</v>
      </c>
      <c r="AZ48" t="s">
        <v>135</v>
      </c>
      <c r="BA48" t="s">
        <v>136</v>
      </c>
      <c r="BB48" t="s">
        <v>80</v>
      </c>
      <c r="BC48" t="s">
        <v>80</v>
      </c>
      <c r="BD48" t="s">
        <v>80</v>
      </c>
      <c r="BE48" t="s">
        <v>80</v>
      </c>
      <c r="BF48" t="s">
        <v>80</v>
      </c>
      <c r="BG48" t="s">
        <v>80</v>
      </c>
      <c r="BH48" t="s">
        <v>46</v>
      </c>
      <c r="BI48" t="s">
        <v>135</v>
      </c>
      <c r="BJ48" t="s">
        <v>136</v>
      </c>
      <c r="BK48" t="s">
        <v>136</v>
      </c>
      <c r="BL48" t="s">
        <v>135</v>
      </c>
      <c r="BM48" t="s">
        <v>46</v>
      </c>
    </row>
    <row r="49" spans="1:65" x14ac:dyDescent="0.2">
      <c r="A49" t="s">
        <v>46</v>
      </c>
      <c r="B49" t="s">
        <v>46</v>
      </c>
      <c r="C49" t="s">
        <v>138</v>
      </c>
      <c r="D49" t="s">
        <v>44</v>
      </c>
      <c r="E49" t="s">
        <v>36</v>
      </c>
      <c r="F49" t="s">
        <v>73</v>
      </c>
      <c r="G49" t="s">
        <v>67</v>
      </c>
      <c r="H49" t="s">
        <v>47</v>
      </c>
      <c r="I49" t="s">
        <v>80</v>
      </c>
      <c r="J49" t="s">
        <v>136</v>
      </c>
      <c r="K49" t="s">
        <v>135</v>
      </c>
      <c r="L49" t="s">
        <v>46</v>
      </c>
      <c r="M49" t="s">
        <v>46</v>
      </c>
      <c r="N49" t="s">
        <v>46</v>
      </c>
      <c r="O49" t="s">
        <v>36</v>
      </c>
      <c r="P49" t="s">
        <v>44</v>
      </c>
      <c r="Q49" t="s">
        <v>138</v>
      </c>
      <c r="R49" t="s">
        <v>46</v>
      </c>
      <c r="S49" t="s">
        <v>46</v>
      </c>
      <c r="T49" t="s">
        <v>46</v>
      </c>
      <c r="U49" t="s">
        <v>46</v>
      </c>
      <c r="V49" t="s">
        <v>46</v>
      </c>
      <c r="W49" t="s">
        <v>46</v>
      </c>
      <c r="X49" t="s">
        <v>36</v>
      </c>
      <c r="Y49" t="s">
        <v>44</v>
      </c>
      <c r="Z49" t="s">
        <v>138</v>
      </c>
      <c r="AA49" t="s">
        <v>138</v>
      </c>
      <c r="AB49" t="s">
        <v>44</v>
      </c>
      <c r="AC49" t="s">
        <v>36</v>
      </c>
      <c r="AD49" t="s">
        <v>46</v>
      </c>
      <c r="AE49" t="s">
        <v>46</v>
      </c>
      <c r="AF49" t="s">
        <v>46</v>
      </c>
      <c r="AG49" t="s">
        <v>46</v>
      </c>
      <c r="AH49" t="s">
        <v>46</v>
      </c>
      <c r="AI49" t="s">
        <v>46</v>
      </c>
      <c r="AJ49" t="s">
        <v>73</v>
      </c>
      <c r="AK49" t="s">
        <v>67</v>
      </c>
      <c r="AL49" t="s">
        <v>47</v>
      </c>
      <c r="AM49" t="s">
        <v>73</v>
      </c>
      <c r="AN49" t="s">
        <v>67</v>
      </c>
      <c r="AO49" t="s">
        <v>47</v>
      </c>
      <c r="AP49" t="s">
        <v>47</v>
      </c>
      <c r="AQ49" t="s">
        <v>67</v>
      </c>
      <c r="AR49" t="s">
        <v>73</v>
      </c>
      <c r="AS49" t="s">
        <v>46</v>
      </c>
      <c r="AT49" t="s">
        <v>46</v>
      </c>
      <c r="AU49" t="s">
        <v>46</v>
      </c>
      <c r="AV49" t="s">
        <v>46</v>
      </c>
      <c r="AW49" t="s">
        <v>46</v>
      </c>
      <c r="AX49" t="s">
        <v>46</v>
      </c>
      <c r="AY49" t="s">
        <v>135</v>
      </c>
      <c r="AZ49" t="s">
        <v>136</v>
      </c>
      <c r="BA49" t="s">
        <v>80</v>
      </c>
      <c r="BB49" t="s">
        <v>46</v>
      </c>
      <c r="BC49" t="s">
        <v>46</v>
      </c>
      <c r="BD49" t="s">
        <v>46</v>
      </c>
      <c r="BE49" t="s">
        <v>46</v>
      </c>
      <c r="BF49" t="s">
        <v>46</v>
      </c>
      <c r="BG49" t="s">
        <v>46</v>
      </c>
      <c r="BH49" t="s">
        <v>135</v>
      </c>
      <c r="BI49" t="s">
        <v>136</v>
      </c>
      <c r="BJ49" t="s">
        <v>80</v>
      </c>
      <c r="BK49" t="s">
        <v>80</v>
      </c>
      <c r="BL49" t="s">
        <v>136</v>
      </c>
      <c r="BM49" t="s">
        <v>135</v>
      </c>
    </row>
    <row r="50" spans="1:65" x14ac:dyDescent="0.2">
      <c r="A50" t="s">
        <v>135</v>
      </c>
      <c r="B50" t="s">
        <v>135</v>
      </c>
      <c r="C50" t="s">
        <v>53</v>
      </c>
      <c r="D50" t="s">
        <v>132</v>
      </c>
      <c r="E50" t="s">
        <v>33</v>
      </c>
      <c r="F50" t="s">
        <v>134</v>
      </c>
      <c r="G50" t="s">
        <v>86</v>
      </c>
      <c r="H50" t="s">
        <v>60</v>
      </c>
      <c r="I50" t="s">
        <v>46</v>
      </c>
      <c r="J50" t="s">
        <v>80</v>
      </c>
      <c r="K50" t="s">
        <v>136</v>
      </c>
      <c r="L50" t="s">
        <v>135</v>
      </c>
      <c r="M50" t="s">
        <v>135</v>
      </c>
      <c r="N50" t="s">
        <v>135</v>
      </c>
      <c r="O50" t="s">
        <v>135</v>
      </c>
      <c r="P50" t="s">
        <v>135</v>
      </c>
      <c r="Q50" t="s">
        <v>135</v>
      </c>
      <c r="R50" t="s">
        <v>53</v>
      </c>
      <c r="S50" t="s">
        <v>132</v>
      </c>
      <c r="T50" t="s">
        <v>33</v>
      </c>
      <c r="U50" t="s">
        <v>53</v>
      </c>
      <c r="V50" t="s">
        <v>132</v>
      </c>
      <c r="W50" t="s">
        <v>33</v>
      </c>
      <c r="X50" t="s">
        <v>33</v>
      </c>
      <c r="Y50" t="s">
        <v>132</v>
      </c>
      <c r="Z50" t="s">
        <v>53</v>
      </c>
      <c r="AA50" t="s">
        <v>135</v>
      </c>
      <c r="AB50" t="s">
        <v>135</v>
      </c>
      <c r="AC50" t="s">
        <v>135</v>
      </c>
      <c r="AD50" t="s">
        <v>135</v>
      </c>
      <c r="AE50" t="s">
        <v>135</v>
      </c>
      <c r="AF50" t="s">
        <v>135</v>
      </c>
      <c r="AG50" t="s">
        <v>60</v>
      </c>
      <c r="AH50" t="s">
        <v>86</v>
      </c>
      <c r="AI50" t="s">
        <v>134</v>
      </c>
      <c r="AJ50" t="s">
        <v>135</v>
      </c>
      <c r="AK50" t="s">
        <v>135</v>
      </c>
      <c r="AL50" t="s">
        <v>135</v>
      </c>
      <c r="AM50" t="s">
        <v>135</v>
      </c>
      <c r="AN50" t="s">
        <v>135</v>
      </c>
      <c r="AO50" t="s">
        <v>135</v>
      </c>
      <c r="AP50" t="s">
        <v>60</v>
      </c>
      <c r="AQ50" t="s">
        <v>86</v>
      </c>
      <c r="AR50" t="s">
        <v>134</v>
      </c>
      <c r="AS50" t="s">
        <v>134</v>
      </c>
      <c r="AT50" t="s">
        <v>86</v>
      </c>
      <c r="AU50" t="s">
        <v>60</v>
      </c>
      <c r="AV50" t="s">
        <v>135</v>
      </c>
      <c r="AW50" t="s">
        <v>135</v>
      </c>
      <c r="AX50" t="s">
        <v>135</v>
      </c>
      <c r="AY50" t="s">
        <v>136</v>
      </c>
      <c r="AZ50" t="s">
        <v>80</v>
      </c>
      <c r="BA50" t="s">
        <v>46</v>
      </c>
      <c r="BB50" t="s">
        <v>135</v>
      </c>
      <c r="BC50" t="s">
        <v>135</v>
      </c>
      <c r="BD50" t="s">
        <v>135</v>
      </c>
      <c r="BE50" t="s">
        <v>135</v>
      </c>
      <c r="BF50" t="s">
        <v>135</v>
      </c>
      <c r="BG50" t="s">
        <v>135</v>
      </c>
      <c r="BH50" t="s">
        <v>136</v>
      </c>
      <c r="BI50" t="s">
        <v>80</v>
      </c>
      <c r="BJ50" t="s">
        <v>46</v>
      </c>
      <c r="BK50" t="s">
        <v>46</v>
      </c>
      <c r="BL50" t="s">
        <v>80</v>
      </c>
      <c r="BM50" t="s">
        <v>136</v>
      </c>
    </row>
    <row r="51" spans="1:65" x14ac:dyDescent="0.2">
      <c r="A51" t="s">
        <v>136</v>
      </c>
      <c r="B51" t="s">
        <v>136</v>
      </c>
      <c r="C51" t="s">
        <v>88</v>
      </c>
      <c r="D51" t="s">
        <v>67</v>
      </c>
      <c r="E51" t="s">
        <v>34</v>
      </c>
      <c r="F51" t="s">
        <v>87</v>
      </c>
      <c r="G51" t="s">
        <v>44</v>
      </c>
      <c r="H51" t="s">
        <v>131</v>
      </c>
      <c r="I51" t="s">
        <v>135</v>
      </c>
      <c r="J51" t="s">
        <v>46</v>
      </c>
      <c r="K51" t="s">
        <v>80</v>
      </c>
      <c r="L51" t="s">
        <v>88</v>
      </c>
      <c r="M51" t="s">
        <v>67</v>
      </c>
      <c r="N51" t="s">
        <v>34</v>
      </c>
      <c r="O51" t="s">
        <v>136</v>
      </c>
      <c r="P51" t="s">
        <v>136</v>
      </c>
      <c r="Q51" t="s">
        <v>136</v>
      </c>
      <c r="R51" t="s">
        <v>136</v>
      </c>
      <c r="S51" t="s">
        <v>136</v>
      </c>
      <c r="T51" t="s">
        <v>136</v>
      </c>
      <c r="U51" t="s">
        <v>88</v>
      </c>
      <c r="V51" t="s">
        <v>67</v>
      </c>
      <c r="W51" t="s">
        <v>34</v>
      </c>
      <c r="X51" t="s">
        <v>136</v>
      </c>
      <c r="Y51" t="s">
        <v>136</v>
      </c>
      <c r="Z51" t="s">
        <v>136</v>
      </c>
      <c r="AA51" t="s">
        <v>88</v>
      </c>
      <c r="AB51" t="s">
        <v>67</v>
      </c>
      <c r="AC51" t="s">
        <v>34</v>
      </c>
      <c r="AD51" t="s">
        <v>136</v>
      </c>
      <c r="AE51" t="s">
        <v>136</v>
      </c>
      <c r="AF51" t="s">
        <v>136</v>
      </c>
      <c r="AG51" t="s">
        <v>136</v>
      </c>
      <c r="AH51" t="s">
        <v>136</v>
      </c>
      <c r="AI51" t="s">
        <v>136</v>
      </c>
      <c r="AJ51" t="s">
        <v>87</v>
      </c>
      <c r="AK51" t="s">
        <v>44</v>
      </c>
      <c r="AL51" t="s">
        <v>131</v>
      </c>
      <c r="AM51" t="s">
        <v>87</v>
      </c>
      <c r="AN51" t="s">
        <v>44</v>
      </c>
      <c r="AO51" t="s">
        <v>131</v>
      </c>
      <c r="AP51" t="s">
        <v>131</v>
      </c>
      <c r="AQ51" t="s">
        <v>44</v>
      </c>
      <c r="AR51" t="s">
        <v>87</v>
      </c>
      <c r="AS51" t="s">
        <v>136</v>
      </c>
      <c r="AT51" t="s">
        <v>136</v>
      </c>
      <c r="AU51" t="s">
        <v>136</v>
      </c>
      <c r="AV51" t="s">
        <v>136</v>
      </c>
      <c r="AW51" t="s">
        <v>136</v>
      </c>
      <c r="AX51" t="s">
        <v>136</v>
      </c>
      <c r="AY51" t="s">
        <v>80</v>
      </c>
      <c r="AZ51" t="s">
        <v>46</v>
      </c>
      <c r="BA51" t="s">
        <v>135</v>
      </c>
      <c r="BB51" t="s">
        <v>136</v>
      </c>
      <c r="BC51" t="s">
        <v>136</v>
      </c>
      <c r="BD51" t="s">
        <v>136</v>
      </c>
      <c r="BE51" t="s">
        <v>136</v>
      </c>
      <c r="BF51" t="s">
        <v>136</v>
      </c>
      <c r="BG51" t="s">
        <v>136</v>
      </c>
      <c r="BH51" t="s">
        <v>80</v>
      </c>
      <c r="BI51" t="s">
        <v>46</v>
      </c>
      <c r="BJ51" t="s">
        <v>135</v>
      </c>
      <c r="BK51" t="s">
        <v>135</v>
      </c>
      <c r="BL51" t="s">
        <v>46</v>
      </c>
      <c r="BM51" t="s">
        <v>80</v>
      </c>
    </row>
    <row r="52" spans="1:65" x14ac:dyDescent="0.2">
      <c r="A52" t="s">
        <v>53</v>
      </c>
      <c r="B52" t="s">
        <v>53</v>
      </c>
      <c r="C52" t="s">
        <v>132</v>
      </c>
      <c r="D52" t="s">
        <v>33</v>
      </c>
      <c r="E52" t="s">
        <v>135</v>
      </c>
      <c r="F52" t="s">
        <v>138</v>
      </c>
      <c r="G52" t="s">
        <v>137</v>
      </c>
      <c r="H52" t="s">
        <v>88</v>
      </c>
      <c r="I52" t="s">
        <v>47</v>
      </c>
      <c r="J52" t="s">
        <v>35</v>
      </c>
      <c r="K52" t="s">
        <v>87</v>
      </c>
      <c r="L52" t="s">
        <v>53</v>
      </c>
      <c r="M52" t="s">
        <v>53</v>
      </c>
      <c r="N52" t="s">
        <v>53</v>
      </c>
      <c r="O52" t="s">
        <v>53</v>
      </c>
      <c r="P52" t="s">
        <v>53</v>
      </c>
      <c r="Q52" t="s">
        <v>53</v>
      </c>
      <c r="R52" t="s">
        <v>132</v>
      </c>
      <c r="S52" t="s">
        <v>33</v>
      </c>
      <c r="T52" t="s">
        <v>135</v>
      </c>
      <c r="U52" t="s">
        <v>132</v>
      </c>
      <c r="V52" t="s">
        <v>33</v>
      </c>
      <c r="W52" t="s">
        <v>135</v>
      </c>
      <c r="X52" t="s">
        <v>135</v>
      </c>
      <c r="Y52" t="s">
        <v>33</v>
      </c>
      <c r="Z52" t="s">
        <v>132</v>
      </c>
      <c r="AA52" t="s">
        <v>53</v>
      </c>
      <c r="AB52" t="s">
        <v>53</v>
      </c>
      <c r="AC52" t="s">
        <v>53</v>
      </c>
      <c r="AD52" t="s">
        <v>53</v>
      </c>
      <c r="AE52" t="s">
        <v>53</v>
      </c>
      <c r="AF52" t="s">
        <v>53</v>
      </c>
      <c r="AG52" t="s">
        <v>88</v>
      </c>
      <c r="AH52" t="s">
        <v>137</v>
      </c>
      <c r="AI52" t="s">
        <v>138</v>
      </c>
      <c r="AJ52" t="s">
        <v>53</v>
      </c>
      <c r="AK52" t="s">
        <v>53</v>
      </c>
      <c r="AL52" t="s">
        <v>53</v>
      </c>
      <c r="AM52" t="s">
        <v>53</v>
      </c>
      <c r="AN52" t="s">
        <v>53</v>
      </c>
      <c r="AO52" t="s">
        <v>53</v>
      </c>
      <c r="AP52" t="s">
        <v>88</v>
      </c>
      <c r="AQ52" t="s">
        <v>137</v>
      </c>
      <c r="AR52" t="s">
        <v>138</v>
      </c>
      <c r="AS52" t="s">
        <v>138</v>
      </c>
      <c r="AT52" t="s">
        <v>137</v>
      </c>
      <c r="AU52" t="s">
        <v>88</v>
      </c>
      <c r="AV52" t="s">
        <v>47</v>
      </c>
      <c r="AW52" t="s">
        <v>35</v>
      </c>
      <c r="AX52" t="s">
        <v>87</v>
      </c>
      <c r="AY52" t="s">
        <v>53</v>
      </c>
      <c r="AZ52" t="s">
        <v>53</v>
      </c>
      <c r="BA52" t="s">
        <v>53</v>
      </c>
      <c r="BB52" t="s">
        <v>53</v>
      </c>
      <c r="BC52" t="s">
        <v>53</v>
      </c>
      <c r="BD52" t="s">
        <v>53</v>
      </c>
      <c r="BE52" t="s">
        <v>47</v>
      </c>
      <c r="BF52" t="s">
        <v>35</v>
      </c>
      <c r="BG52" t="s">
        <v>87</v>
      </c>
      <c r="BH52" t="s">
        <v>53</v>
      </c>
      <c r="BI52" t="s">
        <v>53</v>
      </c>
      <c r="BJ52" t="s">
        <v>53</v>
      </c>
      <c r="BK52" t="s">
        <v>47</v>
      </c>
      <c r="BL52" t="s">
        <v>35</v>
      </c>
      <c r="BM52" t="s">
        <v>87</v>
      </c>
    </row>
    <row r="53" spans="1:65" x14ac:dyDescent="0.2">
      <c r="A53" t="s">
        <v>88</v>
      </c>
      <c r="B53" t="s">
        <v>88</v>
      </c>
      <c r="C53" t="s">
        <v>67</v>
      </c>
      <c r="D53" t="s">
        <v>34</v>
      </c>
      <c r="E53" t="s">
        <v>136</v>
      </c>
      <c r="F53" t="s">
        <v>53</v>
      </c>
      <c r="G53" t="s">
        <v>138</v>
      </c>
      <c r="H53" t="s">
        <v>137</v>
      </c>
      <c r="I53" t="s">
        <v>60</v>
      </c>
      <c r="J53" t="s">
        <v>36</v>
      </c>
      <c r="K53" t="s">
        <v>133</v>
      </c>
      <c r="L53" t="s">
        <v>67</v>
      </c>
      <c r="M53" t="s">
        <v>34</v>
      </c>
      <c r="N53" t="s">
        <v>136</v>
      </c>
      <c r="O53" t="s">
        <v>88</v>
      </c>
      <c r="P53" t="s">
        <v>88</v>
      </c>
      <c r="Q53" t="s">
        <v>88</v>
      </c>
      <c r="R53" t="s">
        <v>88</v>
      </c>
      <c r="S53" t="s">
        <v>88</v>
      </c>
      <c r="T53" t="s">
        <v>88</v>
      </c>
      <c r="U53" t="s">
        <v>67</v>
      </c>
      <c r="V53" t="s">
        <v>34</v>
      </c>
      <c r="W53" t="s">
        <v>136</v>
      </c>
      <c r="X53" t="s">
        <v>88</v>
      </c>
      <c r="Y53" t="s">
        <v>88</v>
      </c>
      <c r="Z53" t="s">
        <v>88</v>
      </c>
      <c r="AA53" t="s">
        <v>67</v>
      </c>
      <c r="AB53" t="s">
        <v>34</v>
      </c>
      <c r="AC53" t="s">
        <v>136</v>
      </c>
      <c r="AD53" t="s">
        <v>88</v>
      </c>
      <c r="AE53" t="s">
        <v>88</v>
      </c>
      <c r="AF53" t="s">
        <v>88</v>
      </c>
      <c r="AG53" t="s">
        <v>137</v>
      </c>
      <c r="AH53" t="s">
        <v>138</v>
      </c>
      <c r="AI53" t="s">
        <v>53</v>
      </c>
      <c r="AJ53" t="s">
        <v>88</v>
      </c>
      <c r="AK53" t="s">
        <v>88</v>
      </c>
      <c r="AL53" t="s">
        <v>88</v>
      </c>
      <c r="AM53" t="s">
        <v>88</v>
      </c>
      <c r="AN53" t="s">
        <v>88</v>
      </c>
      <c r="AO53" t="s">
        <v>88</v>
      </c>
      <c r="AP53" t="s">
        <v>137</v>
      </c>
      <c r="AQ53" t="s">
        <v>138</v>
      </c>
      <c r="AR53" t="s">
        <v>53</v>
      </c>
      <c r="AS53" t="s">
        <v>53</v>
      </c>
      <c r="AT53" t="s">
        <v>138</v>
      </c>
      <c r="AU53" t="s">
        <v>137</v>
      </c>
      <c r="AV53" t="s">
        <v>88</v>
      </c>
      <c r="AW53" t="s">
        <v>88</v>
      </c>
      <c r="AX53" t="s">
        <v>88</v>
      </c>
      <c r="AY53" t="s">
        <v>88</v>
      </c>
      <c r="AZ53" t="s">
        <v>88</v>
      </c>
      <c r="BA53" t="s">
        <v>88</v>
      </c>
      <c r="BB53" t="s">
        <v>60</v>
      </c>
      <c r="BC53" t="s">
        <v>36</v>
      </c>
      <c r="BD53" t="s">
        <v>133</v>
      </c>
      <c r="BE53" t="s">
        <v>60</v>
      </c>
      <c r="BF53" t="s">
        <v>36</v>
      </c>
      <c r="BG53" t="s">
        <v>133</v>
      </c>
      <c r="BH53" t="s">
        <v>133</v>
      </c>
      <c r="BI53" t="s">
        <v>36</v>
      </c>
      <c r="BJ53" t="s">
        <v>60</v>
      </c>
      <c r="BK53" t="s">
        <v>88</v>
      </c>
      <c r="BL53" t="s">
        <v>88</v>
      </c>
      <c r="BM53" t="s">
        <v>88</v>
      </c>
    </row>
    <row r="54" spans="1:65" x14ac:dyDescent="0.2">
      <c r="A54" t="s">
        <v>137</v>
      </c>
      <c r="B54" t="s">
        <v>137</v>
      </c>
      <c r="C54" t="s">
        <v>86</v>
      </c>
      <c r="D54" t="s">
        <v>35</v>
      </c>
      <c r="E54" t="s">
        <v>80</v>
      </c>
      <c r="F54" t="s">
        <v>88</v>
      </c>
      <c r="G54" t="s">
        <v>53</v>
      </c>
      <c r="H54" t="s">
        <v>138</v>
      </c>
      <c r="I54" t="s">
        <v>131</v>
      </c>
      <c r="J54" t="s">
        <v>33</v>
      </c>
      <c r="K54" t="s">
        <v>73</v>
      </c>
      <c r="L54" t="s">
        <v>137</v>
      </c>
      <c r="M54" t="s">
        <v>137</v>
      </c>
      <c r="N54" t="s">
        <v>137</v>
      </c>
      <c r="O54" t="s">
        <v>137</v>
      </c>
      <c r="P54" t="s">
        <v>137</v>
      </c>
      <c r="Q54" t="s">
        <v>137</v>
      </c>
      <c r="R54" t="s">
        <v>86</v>
      </c>
      <c r="S54" t="s">
        <v>35</v>
      </c>
      <c r="T54" t="s">
        <v>80</v>
      </c>
      <c r="U54" t="s">
        <v>86</v>
      </c>
      <c r="V54" t="s">
        <v>35</v>
      </c>
      <c r="W54" t="s">
        <v>80</v>
      </c>
      <c r="X54" t="s">
        <v>80</v>
      </c>
      <c r="Y54" t="s">
        <v>35</v>
      </c>
      <c r="Z54" t="s">
        <v>86</v>
      </c>
      <c r="AA54" t="s">
        <v>137</v>
      </c>
      <c r="AB54" t="s">
        <v>137</v>
      </c>
      <c r="AC54" t="s">
        <v>137</v>
      </c>
      <c r="AD54" t="s">
        <v>137</v>
      </c>
      <c r="AE54" t="s">
        <v>137</v>
      </c>
      <c r="AF54" t="s">
        <v>137</v>
      </c>
      <c r="AG54" t="s">
        <v>138</v>
      </c>
      <c r="AH54" t="s">
        <v>53</v>
      </c>
      <c r="AI54" t="s">
        <v>88</v>
      </c>
      <c r="AJ54" t="s">
        <v>137</v>
      </c>
      <c r="AK54" t="s">
        <v>137</v>
      </c>
      <c r="AL54" t="s">
        <v>137</v>
      </c>
      <c r="AM54" t="s">
        <v>137</v>
      </c>
      <c r="AN54" t="s">
        <v>137</v>
      </c>
      <c r="AO54" t="s">
        <v>137</v>
      </c>
      <c r="AP54" t="s">
        <v>138</v>
      </c>
      <c r="AQ54" t="s">
        <v>53</v>
      </c>
      <c r="AR54" t="s">
        <v>88</v>
      </c>
      <c r="AS54" t="s">
        <v>88</v>
      </c>
      <c r="AT54" t="s">
        <v>53</v>
      </c>
      <c r="AU54" t="s">
        <v>138</v>
      </c>
      <c r="AV54" t="s">
        <v>137</v>
      </c>
      <c r="AW54" t="s">
        <v>137</v>
      </c>
      <c r="AX54" t="s">
        <v>137</v>
      </c>
      <c r="AY54" t="s">
        <v>73</v>
      </c>
      <c r="AZ54" t="s">
        <v>33</v>
      </c>
      <c r="BA54" t="s">
        <v>131</v>
      </c>
      <c r="BB54" t="s">
        <v>137</v>
      </c>
      <c r="BC54" t="s">
        <v>137</v>
      </c>
      <c r="BD54" t="s">
        <v>137</v>
      </c>
      <c r="BE54" t="s">
        <v>137</v>
      </c>
      <c r="BF54" t="s">
        <v>137</v>
      </c>
      <c r="BG54" t="s">
        <v>137</v>
      </c>
      <c r="BH54" t="s">
        <v>73</v>
      </c>
      <c r="BI54" t="s">
        <v>33</v>
      </c>
      <c r="BJ54" t="s">
        <v>131</v>
      </c>
      <c r="BK54" t="s">
        <v>131</v>
      </c>
      <c r="BL54" t="s">
        <v>33</v>
      </c>
      <c r="BM54" t="s">
        <v>73</v>
      </c>
    </row>
    <row r="55" spans="1:65" x14ac:dyDescent="0.2">
      <c r="A55" t="s">
        <v>138</v>
      </c>
      <c r="B55" t="s">
        <v>138</v>
      </c>
      <c r="C55" t="s">
        <v>44</v>
      </c>
      <c r="D55" t="s">
        <v>36</v>
      </c>
      <c r="E55" t="s">
        <v>46</v>
      </c>
      <c r="F55" t="s">
        <v>137</v>
      </c>
      <c r="G55" t="s">
        <v>88</v>
      </c>
      <c r="H55" t="s">
        <v>53</v>
      </c>
      <c r="I55" t="s">
        <v>130</v>
      </c>
      <c r="J55" t="s">
        <v>34</v>
      </c>
      <c r="K55" t="s">
        <v>134</v>
      </c>
      <c r="L55" t="s">
        <v>138</v>
      </c>
      <c r="M55" t="s">
        <v>138</v>
      </c>
      <c r="N55" t="s">
        <v>138</v>
      </c>
      <c r="O55" t="s">
        <v>46</v>
      </c>
      <c r="P55" t="s">
        <v>36</v>
      </c>
      <c r="Q55" t="s">
        <v>44</v>
      </c>
      <c r="R55" t="s">
        <v>138</v>
      </c>
      <c r="S55" t="s">
        <v>138</v>
      </c>
      <c r="T55" t="s">
        <v>138</v>
      </c>
      <c r="U55" t="s">
        <v>138</v>
      </c>
      <c r="V55" t="s">
        <v>138</v>
      </c>
      <c r="W55" t="s">
        <v>138</v>
      </c>
      <c r="X55" t="s">
        <v>46</v>
      </c>
      <c r="Y55" t="s">
        <v>36</v>
      </c>
      <c r="Z55" t="s">
        <v>44</v>
      </c>
      <c r="AA55" t="s">
        <v>44</v>
      </c>
      <c r="AB55" t="s">
        <v>36</v>
      </c>
      <c r="AC55" t="s">
        <v>46</v>
      </c>
      <c r="AD55" t="s">
        <v>138</v>
      </c>
      <c r="AE55" t="s">
        <v>138</v>
      </c>
      <c r="AF55" t="s">
        <v>138</v>
      </c>
      <c r="AG55" t="s">
        <v>53</v>
      </c>
      <c r="AH55" t="s">
        <v>88</v>
      </c>
      <c r="AI55" t="s">
        <v>137</v>
      </c>
      <c r="AJ55" t="s">
        <v>138</v>
      </c>
      <c r="AK55" t="s">
        <v>138</v>
      </c>
      <c r="AL55" t="s">
        <v>138</v>
      </c>
      <c r="AM55" t="s">
        <v>138</v>
      </c>
      <c r="AN55" t="s">
        <v>138</v>
      </c>
      <c r="AO55" t="s">
        <v>138</v>
      </c>
      <c r="AP55" t="s">
        <v>53</v>
      </c>
      <c r="AQ55" t="s">
        <v>88</v>
      </c>
      <c r="AR55" t="s">
        <v>137</v>
      </c>
      <c r="AS55" t="s">
        <v>137</v>
      </c>
      <c r="AT55" t="s">
        <v>88</v>
      </c>
      <c r="AU55" t="s">
        <v>53</v>
      </c>
      <c r="AV55" t="s">
        <v>138</v>
      </c>
      <c r="AW55" t="s">
        <v>138</v>
      </c>
      <c r="AX55" t="s">
        <v>138</v>
      </c>
      <c r="AY55" t="s">
        <v>138</v>
      </c>
      <c r="AZ55" t="s">
        <v>138</v>
      </c>
      <c r="BA55" t="s">
        <v>138</v>
      </c>
      <c r="BB55" t="s">
        <v>130</v>
      </c>
      <c r="BC55" t="s">
        <v>34</v>
      </c>
      <c r="BD55" t="s">
        <v>134</v>
      </c>
      <c r="BE55" t="s">
        <v>130</v>
      </c>
      <c r="BF55" t="s">
        <v>34</v>
      </c>
      <c r="BG55" t="s">
        <v>134</v>
      </c>
      <c r="BH55" t="s">
        <v>134</v>
      </c>
      <c r="BI55" t="s">
        <v>34</v>
      </c>
      <c r="BJ55" t="s">
        <v>130</v>
      </c>
      <c r="BK55" t="s">
        <v>138</v>
      </c>
      <c r="BL55" t="s">
        <v>138</v>
      </c>
      <c r="BM55" t="s">
        <v>138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7DCCD-927B-D047-BFF5-FCA9342A4CF9}">
  <dimension ref="A1:Y55"/>
  <sheetViews>
    <sheetView workbookViewId="0">
      <selection activeCell="L11" sqref="L11"/>
    </sheetView>
  </sheetViews>
  <sheetFormatPr baseColWidth="10" defaultRowHeight="15" x14ac:dyDescent="0.2"/>
  <sheetData>
    <row r="1" spans="1:25" x14ac:dyDescent="0.2">
      <c r="A1" t="s">
        <v>41</v>
      </c>
      <c r="B1" t="s">
        <v>90</v>
      </c>
      <c r="C1" t="s">
        <v>0</v>
      </c>
      <c r="D1" t="s">
        <v>2</v>
      </c>
      <c r="E1" t="s">
        <v>1</v>
      </c>
      <c r="F1" t="s">
        <v>3</v>
      </c>
      <c r="G1" t="s">
        <v>5</v>
      </c>
      <c r="H1" t="s">
        <v>4</v>
      </c>
      <c r="I1" t="s">
        <v>6</v>
      </c>
      <c r="J1" t="s">
        <v>8</v>
      </c>
      <c r="K1" t="s">
        <v>7</v>
      </c>
      <c r="L1" t="s">
        <v>92</v>
      </c>
      <c r="M1" t="s">
        <v>9</v>
      </c>
      <c r="N1" t="s">
        <v>93</v>
      </c>
      <c r="O1" t="s">
        <v>94</v>
      </c>
      <c r="P1" t="s">
        <v>95</v>
      </c>
      <c r="Q1" t="s">
        <v>10</v>
      </c>
      <c r="R1" t="s">
        <v>96</v>
      </c>
      <c r="S1" t="s">
        <v>97</v>
      </c>
      <c r="T1" t="s">
        <v>98</v>
      </c>
      <c r="U1" t="s">
        <v>99</v>
      </c>
      <c r="V1" t="s">
        <v>100</v>
      </c>
      <c r="W1" t="s">
        <v>101</v>
      </c>
      <c r="X1" t="s">
        <v>11</v>
      </c>
      <c r="Y1" t="s">
        <v>12</v>
      </c>
    </row>
    <row r="2" spans="1:25" x14ac:dyDescent="0.2">
      <c r="A2" t="s">
        <v>120</v>
      </c>
      <c r="B2" t="s">
        <v>120</v>
      </c>
      <c r="C2" t="s">
        <v>125</v>
      </c>
      <c r="D2" t="s">
        <v>123</v>
      </c>
      <c r="E2" t="s">
        <v>122</v>
      </c>
      <c r="F2" t="s">
        <v>120</v>
      </c>
      <c r="G2" t="s">
        <v>120</v>
      </c>
      <c r="H2" t="s">
        <v>120</v>
      </c>
      <c r="I2" t="s">
        <v>121</v>
      </c>
      <c r="J2" t="s">
        <v>123</v>
      </c>
      <c r="K2" t="s">
        <v>124</v>
      </c>
      <c r="L2" t="s">
        <v>121</v>
      </c>
      <c r="M2" t="s">
        <v>122</v>
      </c>
      <c r="N2" t="s">
        <v>122</v>
      </c>
      <c r="O2" t="s">
        <v>124</v>
      </c>
      <c r="P2" t="s">
        <v>124</v>
      </c>
      <c r="Q2" t="s">
        <v>125</v>
      </c>
      <c r="R2" t="s">
        <v>125</v>
      </c>
      <c r="S2" t="s">
        <v>121</v>
      </c>
      <c r="T2" t="s">
        <v>123</v>
      </c>
      <c r="U2" t="s">
        <v>123</v>
      </c>
      <c r="V2" t="s">
        <v>121</v>
      </c>
      <c r="W2" t="s">
        <v>124</v>
      </c>
      <c r="X2" t="s">
        <v>122</v>
      </c>
      <c r="Y2" t="s">
        <v>125</v>
      </c>
    </row>
    <row r="3" spans="1:25" x14ac:dyDescent="0.2">
      <c r="A3" t="s">
        <v>121</v>
      </c>
      <c r="B3" t="s">
        <v>121</v>
      </c>
      <c r="C3" t="s">
        <v>121</v>
      </c>
      <c r="D3" t="s">
        <v>121</v>
      </c>
      <c r="E3" t="s">
        <v>121</v>
      </c>
      <c r="F3" t="s">
        <v>122</v>
      </c>
      <c r="G3" t="s">
        <v>124</v>
      </c>
      <c r="H3" t="s">
        <v>125</v>
      </c>
      <c r="I3" t="s">
        <v>123</v>
      </c>
      <c r="J3" t="s">
        <v>124</v>
      </c>
      <c r="K3" t="s">
        <v>120</v>
      </c>
      <c r="L3" t="s">
        <v>122</v>
      </c>
      <c r="M3" t="s">
        <v>120</v>
      </c>
      <c r="N3" t="s">
        <v>123</v>
      </c>
      <c r="O3" t="s">
        <v>125</v>
      </c>
      <c r="P3" t="s">
        <v>122</v>
      </c>
      <c r="Q3" t="s">
        <v>123</v>
      </c>
      <c r="R3" t="s">
        <v>120</v>
      </c>
      <c r="S3" t="s">
        <v>125</v>
      </c>
      <c r="T3" t="s">
        <v>122</v>
      </c>
      <c r="U3" t="s">
        <v>125</v>
      </c>
      <c r="V3" t="s">
        <v>120</v>
      </c>
      <c r="W3" t="s">
        <v>123</v>
      </c>
      <c r="X3" t="s">
        <v>124</v>
      </c>
      <c r="Y3" t="s">
        <v>124</v>
      </c>
    </row>
    <row r="4" spans="1:25" x14ac:dyDescent="0.2">
      <c r="A4" t="s">
        <v>122</v>
      </c>
      <c r="B4" t="s">
        <v>122</v>
      </c>
      <c r="C4" t="s">
        <v>120</v>
      </c>
      <c r="D4" t="s">
        <v>125</v>
      </c>
      <c r="E4" t="s">
        <v>123</v>
      </c>
      <c r="F4" t="s">
        <v>124</v>
      </c>
      <c r="G4" t="s">
        <v>125</v>
      </c>
      <c r="H4" t="s">
        <v>121</v>
      </c>
      <c r="I4" t="s">
        <v>122</v>
      </c>
      <c r="J4" t="s">
        <v>122</v>
      </c>
      <c r="K4" t="s">
        <v>122</v>
      </c>
      <c r="L4" t="s">
        <v>120</v>
      </c>
      <c r="M4" t="s">
        <v>121</v>
      </c>
      <c r="N4" t="s">
        <v>124</v>
      </c>
      <c r="O4" t="s">
        <v>120</v>
      </c>
      <c r="P4" t="s">
        <v>123</v>
      </c>
      <c r="Q4" t="s">
        <v>121</v>
      </c>
      <c r="R4" t="s">
        <v>124</v>
      </c>
      <c r="S4" t="s">
        <v>123</v>
      </c>
      <c r="T4" t="s">
        <v>121</v>
      </c>
      <c r="U4" t="s">
        <v>124</v>
      </c>
      <c r="V4" t="s">
        <v>125</v>
      </c>
      <c r="W4" t="s">
        <v>125</v>
      </c>
      <c r="X4" t="s">
        <v>120</v>
      </c>
      <c r="Y4" t="s">
        <v>123</v>
      </c>
    </row>
    <row r="5" spans="1:25" x14ac:dyDescent="0.2">
      <c r="A5" t="s">
        <v>123</v>
      </c>
      <c r="B5" t="s">
        <v>123</v>
      </c>
      <c r="C5" t="s">
        <v>122</v>
      </c>
      <c r="D5" t="s">
        <v>120</v>
      </c>
      <c r="E5" t="s">
        <v>125</v>
      </c>
      <c r="F5" t="s">
        <v>123</v>
      </c>
      <c r="G5" t="s">
        <v>123</v>
      </c>
      <c r="H5" t="s">
        <v>123</v>
      </c>
      <c r="I5" t="s">
        <v>124</v>
      </c>
      <c r="J5" t="s">
        <v>120</v>
      </c>
      <c r="K5" t="s">
        <v>121</v>
      </c>
      <c r="L5" t="s">
        <v>124</v>
      </c>
      <c r="M5" t="s">
        <v>125</v>
      </c>
      <c r="N5" t="s">
        <v>125</v>
      </c>
      <c r="O5" t="s">
        <v>121</v>
      </c>
      <c r="P5" t="s">
        <v>121</v>
      </c>
      <c r="Q5" t="s">
        <v>122</v>
      </c>
      <c r="R5" t="s">
        <v>122</v>
      </c>
      <c r="S5" t="s">
        <v>124</v>
      </c>
      <c r="T5" t="s">
        <v>120</v>
      </c>
      <c r="U5" t="s">
        <v>120</v>
      </c>
      <c r="V5" t="s">
        <v>124</v>
      </c>
      <c r="W5" t="s">
        <v>121</v>
      </c>
      <c r="X5" t="s">
        <v>125</v>
      </c>
      <c r="Y5" t="s">
        <v>122</v>
      </c>
    </row>
    <row r="6" spans="1:25" x14ac:dyDescent="0.2">
      <c r="A6" t="s">
        <v>124</v>
      </c>
      <c r="B6" t="s">
        <v>124</v>
      </c>
      <c r="C6" t="s">
        <v>124</v>
      </c>
      <c r="D6" t="s">
        <v>124</v>
      </c>
      <c r="E6" t="s">
        <v>124</v>
      </c>
      <c r="F6" t="s">
        <v>125</v>
      </c>
      <c r="G6" t="s">
        <v>121</v>
      </c>
      <c r="H6" t="s">
        <v>122</v>
      </c>
      <c r="I6" t="s">
        <v>120</v>
      </c>
      <c r="J6" t="s">
        <v>121</v>
      </c>
      <c r="K6" t="s">
        <v>123</v>
      </c>
      <c r="L6" t="s">
        <v>125</v>
      </c>
      <c r="M6" t="s">
        <v>123</v>
      </c>
      <c r="N6" t="s">
        <v>120</v>
      </c>
      <c r="O6" t="s">
        <v>122</v>
      </c>
      <c r="P6" t="s">
        <v>125</v>
      </c>
      <c r="Q6" t="s">
        <v>120</v>
      </c>
      <c r="R6" t="s">
        <v>123</v>
      </c>
      <c r="S6" t="s">
        <v>122</v>
      </c>
      <c r="T6" t="s">
        <v>125</v>
      </c>
      <c r="U6" t="s">
        <v>122</v>
      </c>
      <c r="V6" t="s">
        <v>123</v>
      </c>
      <c r="W6" t="s">
        <v>120</v>
      </c>
      <c r="X6" t="s">
        <v>121</v>
      </c>
      <c r="Y6" t="s">
        <v>121</v>
      </c>
    </row>
    <row r="7" spans="1:25" x14ac:dyDescent="0.2">
      <c r="A7" t="s">
        <v>125</v>
      </c>
      <c r="B7" t="s">
        <v>125</v>
      </c>
      <c r="C7" t="s">
        <v>123</v>
      </c>
      <c r="D7" t="s">
        <v>122</v>
      </c>
      <c r="E7" t="s">
        <v>120</v>
      </c>
      <c r="F7" t="s">
        <v>121</v>
      </c>
      <c r="G7" t="s">
        <v>122</v>
      </c>
      <c r="H7" t="s">
        <v>124</v>
      </c>
      <c r="I7" t="s">
        <v>125</v>
      </c>
      <c r="J7" t="s">
        <v>125</v>
      </c>
      <c r="K7" t="s">
        <v>125</v>
      </c>
      <c r="L7" t="s">
        <v>123</v>
      </c>
      <c r="M7" t="s">
        <v>124</v>
      </c>
      <c r="N7" t="s">
        <v>121</v>
      </c>
      <c r="O7" t="s">
        <v>123</v>
      </c>
      <c r="P7" t="s">
        <v>120</v>
      </c>
      <c r="Q7" t="s">
        <v>124</v>
      </c>
      <c r="R7" t="s">
        <v>121</v>
      </c>
      <c r="S7" t="s">
        <v>120</v>
      </c>
      <c r="T7" t="s">
        <v>124</v>
      </c>
      <c r="U7" t="s">
        <v>121</v>
      </c>
      <c r="V7" t="s">
        <v>122</v>
      </c>
      <c r="W7" t="s">
        <v>122</v>
      </c>
      <c r="X7" t="s">
        <v>123</v>
      </c>
      <c r="Y7" t="s">
        <v>120</v>
      </c>
    </row>
    <row r="8" spans="1:25" x14ac:dyDescent="0.2">
      <c r="A8" t="s">
        <v>37</v>
      </c>
      <c r="B8" t="s">
        <v>37</v>
      </c>
      <c r="C8" t="s">
        <v>51</v>
      </c>
      <c r="D8" t="s">
        <v>54</v>
      </c>
      <c r="E8" t="s">
        <v>90</v>
      </c>
      <c r="F8" t="s">
        <v>38</v>
      </c>
      <c r="G8" t="s">
        <v>39</v>
      </c>
      <c r="H8" t="s">
        <v>40</v>
      </c>
      <c r="I8" t="s">
        <v>74</v>
      </c>
      <c r="J8" t="s">
        <v>129</v>
      </c>
      <c r="K8" t="s">
        <v>59</v>
      </c>
      <c r="L8" t="s">
        <v>128</v>
      </c>
      <c r="M8" t="s">
        <v>30</v>
      </c>
      <c r="N8" t="s">
        <v>64</v>
      </c>
      <c r="O8" t="s">
        <v>61</v>
      </c>
      <c r="P8" t="s">
        <v>126</v>
      </c>
      <c r="Q8" t="s">
        <v>27</v>
      </c>
      <c r="R8" t="s">
        <v>48</v>
      </c>
      <c r="S8" t="s">
        <v>127</v>
      </c>
      <c r="T8" t="s">
        <v>0</v>
      </c>
      <c r="U8" t="s">
        <v>81</v>
      </c>
      <c r="V8" t="s">
        <v>77</v>
      </c>
      <c r="W8" t="s">
        <v>45</v>
      </c>
      <c r="X8" t="s">
        <v>69</v>
      </c>
      <c r="Y8" t="s">
        <v>79</v>
      </c>
    </row>
    <row r="9" spans="1:25" x14ac:dyDescent="0.2">
      <c r="A9" t="s">
        <v>38</v>
      </c>
      <c r="B9" t="s">
        <v>38</v>
      </c>
      <c r="C9" t="s">
        <v>48</v>
      </c>
      <c r="D9" t="s">
        <v>81</v>
      </c>
      <c r="E9" t="s">
        <v>64</v>
      </c>
      <c r="F9" t="s">
        <v>39</v>
      </c>
      <c r="G9" t="s">
        <v>40</v>
      </c>
      <c r="H9" t="s">
        <v>37</v>
      </c>
      <c r="I9" t="s">
        <v>128</v>
      </c>
      <c r="J9" t="s">
        <v>0</v>
      </c>
      <c r="K9" t="s">
        <v>126</v>
      </c>
      <c r="L9" t="s">
        <v>77</v>
      </c>
      <c r="M9" t="s">
        <v>90</v>
      </c>
      <c r="N9" t="s">
        <v>69</v>
      </c>
      <c r="O9" t="s">
        <v>59</v>
      </c>
      <c r="P9" t="s">
        <v>45</v>
      </c>
      <c r="Q9" t="s">
        <v>51</v>
      </c>
      <c r="R9" t="s">
        <v>79</v>
      </c>
      <c r="S9" t="s">
        <v>74</v>
      </c>
      <c r="T9" t="s">
        <v>54</v>
      </c>
      <c r="U9" t="s">
        <v>129</v>
      </c>
      <c r="V9" t="s">
        <v>127</v>
      </c>
      <c r="W9" t="s">
        <v>61</v>
      </c>
      <c r="X9" t="s">
        <v>30</v>
      </c>
      <c r="Y9" t="s">
        <v>27</v>
      </c>
    </row>
    <row r="10" spans="1:25" x14ac:dyDescent="0.2">
      <c r="A10" t="s">
        <v>39</v>
      </c>
      <c r="B10" t="s">
        <v>39</v>
      </c>
      <c r="C10" t="s">
        <v>79</v>
      </c>
      <c r="D10" t="s">
        <v>129</v>
      </c>
      <c r="E10" t="s">
        <v>69</v>
      </c>
      <c r="F10" t="s">
        <v>40</v>
      </c>
      <c r="G10" t="s">
        <v>37</v>
      </c>
      <c r="H10" t="s">
        <v>38</v>
      </c>
      <c r="I10" t="s">
        <v>77</v>
      </c>
      <c r="J10" t="s">
        <v>54</v>
      </c>
      <c r="K10" t="s">
        <v>45</v>
      </c>
      <c r="L10" t="s">
        <v>127</v>
      </c>
      <c r="M10" t="s">
        <v>64</v>
      </c>
      <c r="N10" t="s">
        <v>30</v>
      </c>
      <c r="O10" t="s">
        <v>126</v>
      </c>
      <c r="P10" t="s">
        <v>61</v>
      </c>
      <c r="Q10" t="s">
        <v>48</v>
      </c>
      <c r="R10" t="s">
        <v>27</v>
      </c>
      <c r="S10" t="s">
        <v>128</v>
      </c>
      <c r="T10" t="s">
        <v>81</v>
      </c>
      <c r="U10" t="s">
        <v>0</v>
      </c>
      <c r="V10" t="s">
        <v>74</v>
      </c>
      <c r="W10" t="s">
        <v>59</v>
      </c>
      <c r="X10" t="s">
        <v>90</v>
      </c>
      <c r="Y10" t="s">
        <v>51</v>
      </c>
    </row>
    <row r="11" spans="1:25" x14ac:dyDescent="0.2">
      <c r="A11" t="s">
        <v>40</v>
      </c>
      <c r="B11" t="s">
        <v>40</v>
      </c>
      <c r="C11" t="s">
        <v>27</v>
      </c>
      <c r="D11" t="s">
        <v>0</v>
      </c>
      <c r="E11" t="s">
        <v>30</v>
      </c>
      <c r="F11" t="s">
        <v>37</v>
      </c>
      <c r="G11" t="s">
        <v>38</v>
      </c>
      <c r="H11" t="s">
        <v>39</v>
      </c>
      <c r="I11" t="s">
        <v>127</v>
      </c>
      <c r="J11" t="s">
        <v>81</v>
      </c>
      <c r="K11" t="s">
        <v>61</v>
      </c>
      <c r="L11" t="s">
        <v>74</v>
      </c>
      <c r="M11" t="s">
        <v>69</v>
      </c>
      <c r="N11" t="s">
        <v>90</v>
      </c>
      <c r="O11" t="s">
        <v>45</v>
      </c>
      <c r="P11" t="s">
        <v>59</v>
      </c>
      <c r="Q11" t="s">
        <v>79</v>
      </c>
      <c r="R11" t="s">
        <v>51</v>
      </c>
      <c r="S11" t="s">
        <v>77</v>
      </c>
      <c r="T11" t="s">
        <v>129</v>
      </c>
      <c r="U11" t="s">
        <v>54</v>
      </c>
      <c r="V11" t="s">
        <v>128</v>
      </c>
      <c r="W11" t="s">
        <v>126</v>
      </c>
      <c r="X11" t="s">
        <v>64</v>
      </c>
      <c r="Y11" t="s">
        <v>48</v>
      </c>
    </row>
    <row r="12" spans="1:25" x14ac:dyDescent="0.2">
      <c r="A12" t="s">
        <v>126</v>
      </c>
      <c r="B12" t="s">
        <v>126</v>
      </c>
      <c r="C12" t="s">
        <v>59</v>
      </c>
      <c r="D12" t="s">
        <v>61</v>
      </c>
      <c r="E12" t="s">
        <v>45</v>
      </c>
      <c r="F12" t="s">
        <v>79</v>
      </c>
      <c r="G12" t="s">
        <v>127</v>
      </c>
      <c r="H12" t="s">
        <v>90</v>
      </c>
      <c r="I12" t="s">
        <v>38</v>
      </c>
      <c r="J12" t="s">
        <v>128</v>
      </c>
      <c r="K12" t="s">
        <v>0</v>
      </c>
      <c r="L12" t="s">
        <v>48</v>
      </c>
      <c r="M12" t="s">
        <v>54</v>
      </c>
      <c r="N12" t="s">
        <v>39</v>
      </c>
      <c r="O12" t="s">
        <v>30</v>
      </c>
      <c r="P12" t="s">
        <v>27</v>
      </c>
      <c r="Q12" t="s">
        <v>37</v>
      </c>
      <c r="R12" t="s">
        <v>129</v>
      </c>
      <c r="S12" t="s">
        <v>64</v>
      </c>
      <c r="T12" t="s">
        <v>51</v>
      </c>
      <c r="U12" t="s">
        <v>69</v>
      </c>
      <c r="V12" t="s">
        <v>81</v>
      </c>
      <c r="W12" t="s">
        <v>40</v>
      </c>
      <c r="X12" t="s">
        <v>77</v>
      </c>
      <c r="Y12" t="s">
        <v>74</v>
      </c>
    </row>
    <row r="13" spans="1:25" x14ac:dyDescent="0.2">
      <c r="A13" t="s">
        <v>45</v>
      </c>
      <c r="B13" t="s">
        <v>45</v>
      </c>
      <c r="C13" t="s">
        <v>126</v>
      </c>
      <c r="D13" t="s">
        <v>59</v>
      </c>
      <c r="E13" t="s">
        <v>61</v>
      </c>
      <c r="F13" t="s">
        <v>27</v>
      </c>
      <c r="G13" t="s">
        <v>74</v>
      </c>
      <c r="H13" t="s">
        <v>64</v>
      </c>
      <c r="I13" t="s">
        <v>39</v>
      </c>
      <c r="J13" t="s">
        <v>77</v>
      </c>
      <c r="K13" t="s">
        <v>54</v>
      </c>
      <c r="L13" t="s">
        <v>79</v>
      </c>
      <c r="M13" t="s">
        <v>81</v>
      </c>
      <c r="N13" t="s">
        <v>40</v>
      </c>
      <c r="O13" t="s">
        <v>90</v>
      </c>
      <c r="P13" t="s">
        <v>51</v>
      </c>
      <c r="Q13" t="s">
        <v>38</v>
      </c>
      <c r="R13" t="s">
        <v>0</v>
      </c>
      <c r="S13" t="s">
        <v>69</v>
      </c>
      <c r="T13" t="s">
        <v>48</v>
      </c>
      <c r="U13" t="s">
        <v>30</v>
      </c>
      <c r="V13" t="s">
        <v>129</v>
      </c>
      <c r="W13" t="s">
        <v>37</v>
      </c>
      <c r="X13" t="s">
        <v>127</v>
      </c>
      <c r="Y13" t="s">
        <v>128</v>
      </c>
    </row>
    <row r="14" spans="1:25" x14ac:dyDescent="0.2">
      <c r="A14" t="s">
        <v>61</v>
      </c>
      <c r="B14" t="s">
        <v>61</v>
      </c>
      <c r="C14" t="s">
        <v>45</v>
      </c>
      <c r="D14" t="s">
        <v>126</v>
      </c>
      <c r="E14" t="s">
        <v>59</v>
      </c>
      <c r="F14" t="s">
        <v>51</v>
      </c>
      <c r="G14" t="s">
        <v>128</v>
      </c>
      <c r="H14" t="s">
        <v>69</v>
      </c>
      <c r="I14" t="s">
        <v>40</v>
      </c>
      <c r="J14" t="s">
        <v>127</v>
      </c>
      <c r="K14" t="s">
        <v>81</v>
      </c>
      <c r="L14" t="s">
        <v>27</v>
      </c>
      <c r="M14" t="s">
        <v>129</v>
      </c>
      <c r="N14" t="s">
        <v>37</v>
      </c>
      <c r="O14" t="s">
        <v>64</v>
      </c>
      <c r="P14" t="s">
        <v>48</v>
      </c>
      <c r="Q14" t="s">
        <v>39</v>
      </c>
      <c r="R14" t="s">
        <v>54</v>
      </c>
      <c r="S14" t="s">
        <v>30</v>
      </c>
      <c r="T14" t="s">
        <v>79</v>
      </c>
      <c r="U14" t="s">
        <v>90</v>
      </c>
      <c r="V14" t="s">
        <v>0</v>
      </c>
      <c r="W14" t="s">
        <v>38</v>
      </c>
      <c r="X14" t="s">
        <v>74</v>
      </c>
      <c r="Y14" t="s">
        <v>77</v>
      </c>
    </row>
    <row r="15" spans="1:25" x14ac:dyDescent="0.2">
      <c r="A15" t="s">
        <v>59</v>
      </c>
      <c r="B15" t="s">
        <v>59</v>
      </c>
      <c r="C15" t="s">
        <v>61</v>
      </c>
      <c r="D15" t="s">
        <v>45</v>
      </c>
      <c r="E15" t="s">
        <v>126</v>
      </c>
      <c r="F15" t="s">
        <v>48</v>
      </c>
      <c r="G15" t="s">
        <v>77</v>
      </c>
      <c r="H15" t="s">
        <v>30</v>
      </c>
      <c r="I15" t="s">
        <v>37</v>
      </c>
      <c r="J15" t="s">
        <v>74</v>
      </c>
      <c r="K15" t="s">
        <v>129</v>
      </c>
      <c r="L15" t="s">
        <v>51</v>
      </c>
      <c r="M15" t="s">
        <v>0</v>
      </c>
      <c r="N15" t="s">
        <v>38</v>
      </c>
      <c r="O15" t="s">
        <v>69</v>
      </c>
      <c r="P15" t="s">
        <v>79</v>
      </c>
      <c r="Q15" t="s">
        <v>40</v>
      </c>
      <c r="R15" t="s">
        <v>81</v>
      </c>
      <c r="S15" t="s">
        <v>90</v>
      </c>
      <c r="T15" t="s">
        <v>27</v>
      </c>
      <c r="U15" t="s">
        <v>64</v>
      </c>
      <c r="V15" t="s">
        <v>54</v>
      </c>
      <c r="W15" t="s">
        <v>39</v>
      </c>
      <c r="X15" t="s">
        <v>128</v>
      </c>
      <c r="Y15" t="s">
        <v>127</v>
      </c>
    </row>
    <row r="16" spans="1:25" x14ac:dyDescent="0.2">
      <c r="A16" t="s">
        <v>90</v>
      </c>
      <c r="B16" t="s">
        <v>90</v>
      </c>
      <c r="C16" t="s">
        <v>37</v>
      </c>
      <c r="D16" t="s">
        <v>51</v>
      </c>
      <c r="E16" t="s">
        <v>54</v>
      </c>
      <c r="F16" t="s">
        <v>126</v>
      </c>
      <c r="G16" t="s">
        <v>79</v>
      </c>
      <c r="H16" t="s">
        <v>127</v>
      </c>
      <c r="I16" t="s">
        <v>64</v>
      </c>
      <c r="J16" t="s">
        <v>69</v>
      </c>
      <c r="K16" t="s">
        <v>30</v>
      </c>
      <c r="L16" t="s">
        <v>38</v>
      </c>
      <c r="M16" t="s">
        <v>77</v>
      </c>
      <c r="N16" t="s">
        <v>45</v>
      </c>
      <c r="O16" t="s">
        <v>40</v>
      </c>
      <c r="P16" t="s">
        <v>0</v>
      </c>
      <c r="Q16" t="s">
        <v>74</v>
      </c>
      <c r="R16" t="s">
        <v>59</v>
      </c>
      <c r="S16" t="s">
        <v>81</v>
      </c>
      <c r="T16" t="s">
        <v>128</v>
      </c>
      <c r="U16" t="s">
        <v>61</v>
      </c>
      <c r="V16" t="s">
        <v>48</v>
      </c>
      <c r="W16" t="s">
        <v>27</v>
      </c>
      <c r="X16" t="s">
        <v>39</v>
      </c>
      <c r="Y16" t="s">
        <v>129</v>
      </c>
    </row>
    <row r="17" spans="1:25" x14ac:dyDescent="0.2">
      <c r="A17" t="s">
        <v>64</v>
      </c>
      <c r="B17" t="s">
        <v>64</v>
      </c>
      <c r="C17" t="s">
        <v>38</v>
      </c>
      <c r="D17" t="s">
        <v>48</v>
      </c>
      <c r="E17" t="s">
        <v>81</v>
      </c>
      <c r="F17" t="s">
        <v>45</v>
      </c>
      <c r="G17" t="s">
        <v>27</v>
      </c>
      <c r="H17" t="s">
        <v>74</v>
      </c>
      <c r="I17" t="s">
        <v>69</v>
      </c>
      <c r="J17" t="s">
        <v>30</v>
      </c>
      <c r="K17" t="s">
        <v>90</v>
      </c>
      <c r="L17" t="s">
        <v>39</v>
      </c>
      <c r="M17" t="s">
        <v>127</v>
      </c>
      <c r="N17" t="s">
        <v>61</v>
      </c>
      <c r="O17" t="s">
        <v>37</v>
      </c>
      <c r="P17" t="s">
        <v>54</v>
      </c>
      <c r="Q17" t="s">
        <v>128</v>
      </c>
      <c r="R17" t="s">
        <v>126</v>
      </c>
      <c r="S17" t="s">
        <v>129</v>
      </c>
      <c r="T17" t="s">
        <v>77</v>
      </c>
      <c r="U17" t="s">
        <v>59</v>
      </c>
      <c r="V17" t="s">
        <v>79</v>
      </c>
      <c r="W17" t="s">
        <v>51</v>
      </c>
      <c r="X17" t="s">
        <v>40</v>
      </c>
      <c r="Y17" t="s">
        <v>0</v>
      </c>
    </row>
    <row r="18" spans="1:25" x14ac:dyDescent="0.2">
      <c r="A18" t="s">
        <v>69</v>
      </c>
      <c r="B18" t="s">
        <v>69</v>
      </c>
      <c r="C18" t="s">
        <v>39</v>
      </c>
      <c r="D18" t="s">
        <v>79</v>
      </c>
      <c r="E18" t="s">
        <v>129</v>
      </c>
      <c r="F18" t="s">
        <v>61</v>
      </c>
      <c r="G18" t="s">
        <v>51</v>
      </c>
      <c r="H18" t="s">
        <v>128</v>
      </c>
      <c r="I18" t="s">
        <v>30</v>
      </c>
      <c r="J18" t="s">
        <v>90</v>
      </c>
      <c r="K18" t="s">
        <v>64</v>
      </c>
      <c r="L18" t="s">
        <v>40</v>
      </c>
      <c r="M18" t="s">
        <v>74</v>
      </c>
      <c r="N18" t="s">
        <v>59</v>
      </c>
      <c r="O18" t="s">
        <v>38</v>
      </c>
      <c r="P18" t="s">
        <v>81</v>
      </c>
      <c r="Q18" t="s">
        <v>77</v>
      </c>
      <c r="R18" t="s">
        <v>45</v>
      </c>
      <c r="S18" t="s">
        <v>0</v>
      </c>
      <c r="T18" t="s">
        <v>127</v>
      </c>
      <c r="U18" t="s">
        <v>126</v>
      </c>
      <c r="V18" t="s">
        <v>27</v>
      </c>
      <c r="W18" t="s">
        <v>48</v>
      </c>
      <c r="X18" t="s">
        <v>37</v>
      </c>
      <c r="Y18" t="s">
        <v>54</v>
      </c>
    </row>
    <row r="19" spans="1:25" x14ac:dyDescent="0.2">
      <c r="A19" t="s">
        <v>30</v>
      </c>
      <c r="B19" t="s">
        <v>30</v>
      </c>
      <c r="C19" t="s">
        <v>40</v>
      </c>
      <c r="D19" t="s">
        <v>27</v>
      </c>
      <c r="E19" t="s">
        <v>0</v>
      </c>
      <c r="F19" t="s">
        <v>59</v>
      </c>
      <c r="G19" t="s">
        <v>48</v>
      </c>
      <c r="H19" t="s">
        <v>77</v>
      </c>
      <c r="I19" t="s">
        <v>90</v>
      </c>
      <c r="J19" t="s">
        <v>64</v>
      </c>
      <c r="K19" t="s">
        <v>69</v>
      </c>
      <c r="L19" t="s">
        <v>37</v>
      </c>
      <c r="M19" t="s">
        <v>128</v>
      </c>
      <c r="N19" t="s">
        <v>126</v>
      </c>
      <c r="O19" t="s">
        <v>39</v>
      </c>
      <c r="P19" t="s">
        <v>129</v>
      </c>
      <c r="Q19" t="s">
        <v>127</v>
      </c>
      <c r="R19" t="s">
        <v>61</v>
      </c>
      <c r="S19" t="s">
        <v>54</v>
      </c>
      <c r="T19" t="s">
        <v>74</v>
      </c>
      <c r="U19" t="s">
        <v>45</v>
      </c>
      <c r="V19" t="s">
        <v>51</v>
      </c>
      <c r="W19" t="s">
        <v>79</v>
      </c>
      <c r="X19" t="s">
        <v>38</v>
      </c>
      <c r="Y19" t="s">
        <v>81</v>
      </c>
    </row>
    <row r="20" spans="1:25" x14ac:dyDescent="0.2">
      <c r="A20" t="s">
        <v>127</v>
      </c>
      <c r="B20" t="s">
        <v>127</v>
      </c>
      <c r="C20" t="s">
        <v>74</v>
      </c>
      <c r="D20" t="s">
        <v>128</v>
      </c>
      <c r="E20" t="s">
        <v>77</v>
      </c>
      <c r="F20" t="s">
        <v>90</v>
      </c>
      <c r="G20" t="s">
        <v>126</v>
      </c>
      <c r="H20" t="s">
        <v>79</v>
      </c>
      <c r="I20" t="s">
        <v>81</v>
      </c>
      <c r="J20" t="s">
        <v>61</v>
      </c>
      <c r="K20" t="s">
        <v>40</v>
      </c>
      <c r="L20" t="s">
        <v>64</v>
      </c>
      <c r="M20" t="s">
        <v>39</v>
      </c>
      <c r="N20" t="s">
        <v>54</v>
      </c>
      <c r="O20" t="s">
        <v>27</v>
      </c>
      <c r="P20" t="s">
        <v>30</v>
      </c>
      <c r="Q20" t="s">
        <v>129</v>
      </c>
      <c r="R20" t="s">
        <v>37</v>
      </c>
      <c r="S20" t="s">
        <v>48</v>
      </c>
      <c r="T20" t="s">
        <v>69</v>
      </c>
      <c r="U20" t="s">
        <v>51</v>
      </c>
      <c r="V20" t="s">
        <v>38</v>
      </c>
      <c r="W20" t="s">
        <v>0</v>
      </c>
      <c r="X20" t="s">
        <v>45</v>
      </c>
      <c r="Y20" t="s">
        <v>59</v>
      </c>
    </row>
    <row r="21" spans="1:25" x14ac:dyDescent="0.2">
      <c r="A21" t="s">
        <v>74</v>
      </c>
      <c r="B21" t="s">
        <v>74</v>
      </c>
      <c r="C21" t="s">
        <v>128</v>
      </c>
      <c r="D21" t="s">
        <v>77</v>
      </c>
      <c r="E21" t="s">
        <v>127</v>
      </c>
      <c r="F21" t="s">
        <v>64</v>
      </c>
      <c r="G21" t="s">
        <v>45</v>
      </c>
      <c r="H21" t="s">
        <v>27</v>
      </c>
      <c r="I21" t="s">
        <v>129</v>
      </c>
      <c r="J21" t="s">
        <v>59</v>
      </c>
      <c r="K21" t="s">
        <v>37</v>
      </c>
      <c r="L21" t="s">
        <v>69</v>
      </c>
      <c r="M21" t="s">
        <v>40</v>
      </c>
      <c r="N21" t="s">
        <v>81</v>
      </c>
      <c r="O21" t="s">
        <v>51</v>
      </c>
      <c r="P21" t="s">
        <v>90</v>
      </c>
      <c r="Q21" t="s">
        <v>0</v>
      </c>
      <c r="R21" t="s">
        <v>38</v>
      </c>
      <c r="S21" t="s">
        <v>79</v>
      </c>
      <c r="T21" t="s">
        <v>30</v>
      </c>
      <c r="U21" t="s">
        <v>48</v>
      </c>
      <c r="V21" t="s">
        <v>39</v>
      </c>
      <c r="W21" t="s">
        <v>54</v>
      </c>
      <c r="X21" t="s">
        <v>61</v>
      </c>
      <c r="Y21" t="s">
        <v>126</v>
      </c>
    </row>
    <row r="22" spans="1:25" x14ac:dyDescent="0.2">
      <c r="A22" t="s">
        <v>128</v>
      </c>
      <c r="B22" t="s">
        <v>128</v>
      </c>
      <c r="C22" t="s">
        <v>77</v>
      </c>
      <c r="D22" t="s">
        <v>127</v>
      </c>
      <c r="E22" t="s">
        <v>74</v>
      </c>
      <c r="F22" t="s">
        <v>69</v>
      </c>
      <c r="G22" t="s">
        <v>61</v>
      </c>
      <c r="H22" t="s">
        <v>51</v>
      </c>
      <c r="I22" t="s">
        <v>0</v>
      </c>
      <c r="J22" t="s">
        <v>126</v>
      </c>
      <c r="K22" t="s">
        <v>38</v>
      </c>
      <c r="L22" t="s">
        <v>30</v>
      </c>
      <c r="M22" t="s">
        <v>37</v>
      </c>
      <c r="N22" t="s">
        <v>129</v>
      </c>
      <c r="O22" t="s">
        <v>48</v>
      </c>
      <c r="P22" t="s">
        <v>64</v>
      </c>
      <c r="Q22" t="s">
        <v>54</v>
      </c>
      <c r="R22" t="s">
        <v>39</v>
      </c>
      <c r="S22" t="s">
        <v>27</v>
      </c>
      <c r="T22" t="s">
        <v>90</v>
      </c>
      <c r="U22" t="s">
        <v>79</v>
      </c>
      <c r="V22" t="s">
        <v>40</v>
      </c>
      <c r="W22" t="s">
        <v>81</v>
      </c>
      <c r="X22" t="s">
        <v>59</v>
      </c>
      <c r="Y22" t="s">
        <v>45</v>
      </c>
    </row>
    <row r="23" spans="1:25" x14ac:dyDescent="0.2">
      <c r="A23" t="s">
        <v>77</v>
      </c>
      <c r="B23" t="s">
        <v>77</v>
      </c>
      <c r="C23" t="s">
        <v>127</v>
      </c>
      <c r="D23" t="s">
        <v>74</v>
      </c>
      <c r="E23" t="s">
        <v>128</v>
      </c>
      <c r="F23" t="s">
        <v>30</v>
      </c>
      <c r="G23" t="s">
        <v>59</v>
      </c>
      <c r="H23" t="s">
        <v>48</v>
      </c>
      <c r="I23" t="s">
        <v>54</v>
      </c>
      <c r="J23" t="s">
        <v>45</v>
      </c>
      <c r="K23" t="s">
        <v>39</v>
      </c>
      <c r="L23" t="s">
        <v>90</v>
      </c>
      <c r="M23" t="s">
        <v>38</v>
      </c>
      <c r="N23" t="s">
        <v>0</v>
      </c>
      <c r="O23" t="s">
        <v>79</v>
      </c>
      <c r="P23" t="s">
        <v>69</v>
      </c>
      <c r="Q23" t="s">
        <v>81</v>
      </c>
      <c r="R23" t="s">
        <v>40</v>
      </c>
      <c r="S23" t="s">
        <v>51</v>
      </c>
      <c r="T23" t="s">
        <v>64</v>
      </c>
      <c r="U23" t="s">
        <v>27</v>
      </c>
      <c r="V23" t="s">
        <v>37</v>
      </c>
      <c r="W23" t="s">
        <v>129</v>
      </c>
      <c r="X23" t="s">
        <v>126</v>
      </c>
      <c r="Y23" t="s">
        <v>61</v>
      </c>
    </row>
    <row r="24" spans="1:25" x14ac:dyDescent="0.2">
      <c r="A24" t="s">
        <v>79</v>
      </c>
      <c r="B24" t="s">
        <v>79</v>
      </c>
      <c r="C24" t="s">
        <v>129</v>
      </c>
      <c r="D24" t="s">
        <v>69</v>
      </c>
      <c r="E24" t="s">
        <v>39</v>
      </c>
      <c r="F24" t="s">
        <v>127</v>
      </c>
      <c r="G24" t="s">
        <v>90</v>
      </c>
      <c r="H24" t="s">
        <v>126</v>
      </c>
      <c r="I24" t="s">
        <v>48</v>
      </c>
      <c r="J24" t="s">
        <v>51</v>
      </c>
      <c r="K24" t="s">
        <v>27</v>
      </c>
      <c r="L24" t="s">
        <v>81</v>
      </c>
      <c r="M24" t="s">
        <v>45</v>
      </c>
      <c r="N24" t="s">
        <v>77</v>
      </c>
      <c r="O24" t="s">
        <v>0</v>
      </c>
      <c r="P24" t="s">
        <v>40</v>
      </c>
      <c r="Q24" t="s">
        <v>59</v>
      </c>
      <c r="R24" t="s">
        <v>74</v>
      </c>
      <c r="S24" t="s">
        <v>38</v>
      </c>
      <c r="T24" t="s">
        <v>61</v>
      </c>
      <c r="U24" t="s">
        <v>128</v>
      </c>
      <c r="V24" t="s">
        <v>64</v>
      </c>
      <c r="W24" t="s">
        <v>30</v>
      </c>
      <c r="X24" t="s">
        <v>54</v>
      </c>
      <c r="Y24" t="s">
        <v>37</v>
      </c>
    </row>
    <row r="25" spans="1:25" x14ac:dyDescent="0.2">
      <c r="A25" t="s">
        <v>27</v>
      </c>
      <c r="B25" t="s">
        <v>27</v>
      </c>
      <c r="C25" t="s">
        <v>0</v>
      </c>
      <c r="D25" t="s">
        <v>30</v>
      </c>
      <c r="E25" t="s">
        <v>40</v>
      </c>
      <c r="F25" t="s">
        <v>74</v>
      </c>
      <c r="G25" t="s">
        <v>64</v>
      </c>
      <c r="H25" t="s">
        <v>45</v>
      </c>
      <c r="I25" t="s">
        <v>79</v>
      </c>
      <c r="J25" t="s">
        <v>48</v>
      </c>
      <c r="K25" t="s">
        <v>51</v>
      </c>
      <c r="L25" t="s">
        <v>129</v>
      </c>
      <c r="M25" t="s">
        <v>61</v>
      </c>
      <c r="N25" t="s">
        <v>127</v>
      </c>
      <c r="O25" t="s">
        <v>54</v>
      </c>
      <c r="P25" t="s">
        <v>37</v>
      </c>
      <c r="Q25" t="s">
        <v>126</v>
      </c>
      <c r="R25" t="s">
        <v>128</v>
      </c>
      <c r="S25" t="s">
        <v>39</v>
      </c>
      <c r="T25" t="s">
        <v>59</v>
      </c>
      <c r="U25" t="s">
        <v>77</v>
      </c>
      <c r="V25" t="s">
        <v>69</v>
      </c>
      <c r="W25" t="s">
        <v>90</v>
      </c>
      <c r="X25" t="s">
        <v>81</v>
      </c>
      <c r="Y25" t="s">
        <v>38</v>
      </c>
    </row>
    <row r="26" spans="1:25" x14ac:dyDescent="0.2">
      <c r="A26" t="s">
        <v>51</v>
      </c>
      <c r="B26" t="s">
        <v>51</v>
      </c>
      <c r="C26" t="s">
        <v>54</v>
      </c>
      <c r="D26" t="s">
        <v>90</v>
      </c>
      <c r="E26" t="s">
        <v>37</v>
      </c>
      <c r="F26" t="s">
        <v>128</v>
      </c>
      <c r="G26" t="s">
        <v>69</v>
      </c>
      <c r="H26" t="s">
        <v>61</v>
      </c>
      <c r="I26" t="s">
        <v>27</v>
      </c>
      <c r="J26" t="s">
        <v>79</v>
      </c>
      <c r="K26" t="s">
        <v>48</v>
      </c>
      <c r="L26" t="s">
        <v>0</v>
      </c>
      <c r="M26" t="s">
        <v>59</v>
      </c>
      <c r="N26" t="s">
        <v>74</v>
      </c>
      <c r="O26" t="s">
        <v>81</v>
      </c>
      <c r="P26" t="s">
        <v>38</v>
      </c>
      <c r="Q26" t="s">
        <v>45</v>
      </c>
      <c r="R26" t="s">
        <v>77</v>
      </c>
      <c r="S26" t="s">
        <v>40</v>
      </c>
      <c r="T26" t="s">
        <v>126</v>
      </c>
      <c r="U26" t="s">
        <v>127</v>
      </c>
      <c r="V26" t="s">
        <v>30</v>
      </c>
      <c r="W26" t="s">
        <v>64</v>
      </c>
      <c r="X26" t="s">
        <v>129</v>
      </c>
      <c r="Y26" t="s">
        <v>39</v>
      </c>
    </row>
    <row r="27" spans="1:25" x14ac:dyDescent="0.2">
      <c r="A27" t="s">
        <v>48</v>
      </c>
      <c r="B27" t="s">
        <v>48</v>
      </c>
      <c r="C27" t="s">
        <v>81</v>
      </c>
      <c r="D27" t="s">
        <v>64</v>
      </c>
      <c r="E27" t="s">
        <v>38</v>
      </c>
      <c r="F27" t="s">
        <v>77</v>
      </c>
      <c r="G27" t="s">
        <v>30</v>
      </c>
      <c r="H27" t="s">
        <v>59</v>
      </c>
      <c r="I27" t="s">
        <v>51</v>
      </c>
      <c r="J27" t="s">
        <v>27</v>
      </c>
      <c r="K27" t="s">
        <v>79</v>
      </c>
      <c r="L27" t="s">
        <v>54</v>
      </c>
      <c r="M27" t="s">
        <v>126</v>
      </c>
      <c r="N27" t="s">
        <v>128</v>
      </c>
      <c r="O27" t="s">
        <v>129</v>
      </c>
      <c r="P27" t="s">
        <v>39</v>
      </c>
      <c r="Q27" t="s">
        <v>61</v>
      </c>
      <c r="R27" t="s">
        <v>127</v>
      </c>
      <c r="S27" t="s">
        <v>37</v>
      </c>
      <c r="T27" t="s">
        <v>45</v>
      </c>
      <c r="U27" t="s">
        <v>74</v>
      </c>
      <c r="V27" t="s">
        <v>90</v>
      </c>
      <c r="W27" t="s">
        <v>69</v>
      </c>
      <c r="X27" t="s">
        <v>0</v>
      </c>
      <c r="Y27" t="s">
        <v>40</v>
      </c>
    </row>
    <row r="28" spans="1:25" x14ac:dyDescent="0.2">
      <c r="A28" t="s">
        <v>54</v>
      </c>
      <c r="B28" t="s">
        <v>54</v>
      </c>
      <c r="C28" t="s">
        <v>90</v>
      </c>
      <c r="D28" t="s">
        <v>37</v>
      </c>
      <c r="E28" t="s">
        <v>51</v>
      </c>
      <c r="F28" t="s">
        <v>0</v>
      </c>
      <c r="G28" t="s">
        <v>129</v>
      </c>
      <c r="H28" t="s">
        <v>81</v>
      </c>
      <c r="I28" t="s">
        <v>45</v>
      </c>
      <c r="J28" t="s">
        <v>39</v>
      </c>
      <c r="K28" t="s">
        <v>77</v>
      </c>
      <c r="L28" t="s">
        <v>126</v>
      </c>
      <c r="M28" t="s">
        <v>48</v>
      </c>
      <c r="N28" t="s">
        <v>27</v>
      </c>
      <c r="O28" t="s">
        <v>127</v>
      </c>
      <c r="P28" t="s">
        <v>128</v>
      </c>
      <c r="Q28" t="s">
        <v>64</v>
      </c>
      <c r="R28" t="s">
        <v>30</v>
      </c>
      <c r="S28" t="s">
        <v>61</v>
      </c>
      <c r="T28" t="s">
        <v>38</v>
      </c>
      <c r="U28" t="s">
        <v>40</v>
      </c>
      <c r="V28" t="s">
        <v>59</v>
      </c>
      <c r="W28" t="s">
        <v>74</v>
      </c>
      <c r="X28" t="s">
        <v>79</v>
      </c>
      <c r="Y28" t="s">
        <v>69</v>
      </c>
    </row>
    <row r="29" spans="1:25" x14ac:dyDescent="0.2">
      <c r="A29" t="s">
        <v>81</v>
      </c>
      <c r="B29" t="s">
        <v>81</v>
      </c>
      <c r="C29" t="s">
        <v>64</v>
      </c>
      <c r="D29" t="s">
        <v>38</v>
      </c>
      <c r="E29" t="s">
        <v>48</v>
      </c>
      <c r="F29" t="s">
        <v>54</v>
      </c>
      <c r="G29" t="s">
        <v>0</v>
      </c>
      <c r="H29" t="s">
        <v>129</v>
      </c>
      <c r="I29" t="s">
        <v>61</v>
      </c>
      <c r="J29" t="s">
        <v>40</v>
      </c>
      <c r="K29" t="s">
        <v>127</v>
      </c>
      <c r="L29" t="s">
        <v>45</v>
      </c>
      <c r="M29" t="s">
        <v>79</v>
      </c>
      <c r="N29" t="s">
        <v>51</v>
      </c>
      <c r="O29" t="s">
        <v>74</v>
      </c>
      <c r="P29" t="s">
        <v>77</v>
      </c>
      <c r="Q29" t="s">
        <v>69</v>
      </c>
      <c r="R29" t="s">
        <v>90</v>
      </c>
      <c r="S29" t="s">
        <v>59</v>
      </c>
      <c r="T29" t="s">
        <v>39</v>
      </c>
      <c r="U29" t="s">
        <v>37</v>
      </c>
      <c r="V29" t="s">
        <v>126</v>
      </c>
      <c r="W29" t="s">
        <v>128</v>
      </c>
      <c r="X29" t="s">
        <v>27</v>
      </c>
      <c r="Y29" t="s">
        <v>30</v>
      </c>
    </row>
    <row r="30" spans="1:25" x14ac:dyDescent="0.2">
      <c r="A30" t="s">
        <v>129</v>
      </c>
      <c r="B30" t="s">
        <v>129</v>
      </c>
      <c r="C30" t="s">
        <v>69</v>
      </c>
      <c r="D30" t="s">
        <v>39</v>
      </c>
      <c r="E30" t="s">
        <v>79</v>
      </c>
      <c r="F30" t="s">
        <v>81</v>
      </c>
      <c r="G30" t="s">
        <v>54</v>
      </c>
      <c r="H30" t="s">
        <v>0</v>
      </c>
      <c r="I30" t="s">
        <v>59</v>
      </c>
      <c r="J30" t="s">
        <v>37</v>
      </c>
      <c r="K30" t="s">
        <v>74</v>
      </c>
      <c r="L30" t="s">
        <v>61</v>
      </c>
      <c r="M30" t="s">
        <v>27</v>
      </c>
      <c r="N30" t="s">
        <v>48</v>
      </c>
      <c r="O30" t="s">
        <v>128</v>
      </c>
      <c r="P30" t="s">
        <v>127</v>
      </c>
      <c r="Q30" t="s">
        <v>30</v>
      </c>
      <c r="R30" t="s">
        <v>64</v>
      </c>
      <c r="S30" t="s">
        <v>126</v>
      </c>
      <c r="T30" t="s">
        <v>40</v>
      </c>
      <c r="U30" t="s">
        <v>38</v>
      </c>
      <c r="V30" t="s">
        <v>45</v>
      </c>
      <c r="W30" t="s">
        <v>77</v>
      </c>
      <c r="X30" t="s">
        <v>51</v>
      </c>
      <c r="Y30" t="s">
        <v>90</v>
      </c>
    </row>
    <row r="31" spans="1:25" x14ac:dyDescent="0.2">
      <c r="A31" t="s">
        <v>0</v>
      </c>
      <c r="B31" t="s">
        <v>0</v>
      </c>
      <c r="C31" t="s">
        <v>30</v>
      </c>
      <c r="D31" t="s">
        <v>40</v>
      </c>
      <c r="E31" t="s">
        <v>27</v>
      </c>
      <c r="F31" t="s">
        <v>129</v>
      </c>
      <c r="G31" t="s">
        <v>81</v>
      </c>
      <c r="H31" t="s">
        <v>54</v>
      </c>
      <c r="I31" t="s">
        <v>126</v>
      </c>
      <c r="J31" t="s">
        <v>38</v>
      </c>
      <c r="K31" t="s">
        <v>128</v>
      </c>
      <c r="L31" t="s">
        <v>59</v>
      </c>
      <c r="M31" t="s">
        <v>51</v>
      </c>
      <c r="N31" t="s">
        <v>79</v>
      </c>
      <c r="O31" t="s">
        <v>77</v>
      </c>
      <c r="P31" t="s">
        <v>74</v>
      </c>
      <c r="Q31" t="s">
        <v>90</v>
      </c>
      <c r="R31" t="s">
        <v>69</v>
      </c>
      <c r="S31" t="s">
        <v>45</v>
      </c>
      <c r="T31" t="s">
        <v>37</v>
      </c>
      <c r="U31" t="s">
        <v>39</v>
      </c>
      <c r="V31" t="s">
        <v>61</v>
      </c>
      <c r="W31" t="s">
        <v>127</v>
      </c>
      <c r="X31" t="s">
        <v>48</v>
      </c>
      <c r="Y31" t="s">
        <v>64</v>
      </c>
    </row>
    <row r="32" spans="1:25" x14ac:dyDescent="0.2">
      <c r="A32" t="s">
        <v>33</v>
      </c>
      <c r="B32" t="s">
        <v>33</v>
      </c>
      <c r="C32" t="s">
        <v>135</v>
      </c>
      <c r="D32" t="s">
        <v>53</v>
      </c>
      <c r="E32" t="s">
        <v>132</v>
      </c>
      <c r="F32" t="s">
        <v>34</v>
      </c>
      <c r="G32" t="s">
        <v>35</v>
      </c>
      <c r="H32" t="s">
        <v>36</v>
      </c>
      <c r="I32" t="s">
        <v>73</v>
      </c>
      <c r="J32" t="s">
        <v>137</v>
      </c>
      <c r="K32" t="s">
        <v>131</v>
      </c>
      <c r="L32" t="s">
        <v>134</v>
      </c>
      <c r="M32" t="s">
        <v>44</v>
      </c>
      <c r="N32" t="s">
        <v>67</v>
      </c>
      <c r="O32" t="s">
        <v>60</v>
      </c>
      <c r="P32" t="s">
        <v>130</v>
      </c>
      <c r="Q32" t="s">
        <v>46</v>
      </c>
      <c r="R32" t="s">
        <v>136</v>
      </c>
      <c r="S32" t="s">
        <v>133</v>
      </c>
      <c r="T32" t="s">
        <v>138</v>
      </c>
      <c r="U32" t="s">
        <v>88</v>
      </c>
      <c r="V32" t="s">
        <v>87</v>
      </c>
      <c r="W32" t="s">
        <v>47</v>
      </c>
      <c r="X32" t="s">
        <v>86</v>
      </c>
      <c r="Y32" t="s">
        <v>80</v>
      </c>
    </row>
    <row r="33" spans="1:25" x14ac:dyDescent="0.2">
      <c r="A33" t="s">
        <v>34</v>
      </c>
      <c r="B33" t="s">
        <v>34</v>
      </c>
      <c r="C33" t="s">
        <v>136</v>
      </c>
      <c r="D33" t="s">
        <v>88</v>
      </c>
      <c r="E33" t="s">
        <v>67</v>
      </c>
      <c r="F33" t="s">
        <v>35</v>
      </c>
      <c r="G33" t="s">
        <v>36</v>
      </c>
      <c r="H33" t="s">
        <v>33</v>
      </c>
      <c r="I33" t="s">
        <v>134</v>
      </c>
      <c r="J33" t="s">
        <v>138</v>
      </c>
      <c r="K33" t="s">
        <v>130</v>
      </c>
      <c r="L33" t="s">
        <v>87</v>
      </c>
      <c r="M33" t="s">
        <v>132</v>
      </c>
      <c r="N33" t="s">
        <v>86</v>
      </c>
      <c r="O33" t="s">
        <v>131</v>
      </c>
      <c r="P33" t="s">
        <v>47</v>
      </c>
      <c r="Q33" t="s">
        <v>135</v>
      </c>
      <c r="R33" t="s">
        <v>80</v>
      </c>
      <c r="S33" t="s">
        <v>73</v>
      </c>
      <c r="T33" t="s">
        <v>53</v>
      </c>
      <c r="U33" t="s">
        <v>137</v>
      </c>
      <c r="V33" t="s">
        <v>133</v>
      </c>
      <c r="W33" t="s">
        <v>60</v>
      </c>
      <c r="X33" t="s">
        <v>44</v>
      </c>
      <c r="Y33" t="s">
        <v>46</v>
      </c>
    </row>
    <row r="34" spans="1:25" x14ac:dyDescent="0.2">
      <c r="A34" t="s">
        <v>35</v>
      </c>
      <c r="B34" t="s">
        <v>35</v>
      </c>
      <c r="C34" t="s">
        <v>80</v>
      </c>
      <c r="D34" t="s">
        <v>137</v>
      </c>
      <c r="E34" t="s">
        <v>86</v>
      </c>
      <c r="F34" t="s">
        <v>36</v>
      </c>
      <c r="G34" t="s">
        <v>33</v>
      </c>
      <c r="H34" t="s">
        <v>34</v>
      </c>
      <c r="I34" t="s">
        <v>87</v>
      </c>
      <c r="J34" t="s">
        <v>53</v>
      </c>
      <c r="K34" t="s">
        <v>47</v>
      </c>
      <c r="L34" t="s">
        <v>133</v>
      </c>
      <c r="M34" t="s">
        <v>67</v>
      </c>
      <c r="N34" t="s">
        <v>44</v>
      </c>
      <c r="O34" t="s">
        <v>130</v>
      </c>
      <c r="P34" t="s">
        <v>60</v>
      </c>
      <c r="Q34" t="s">
        <v>136</v>
      </c>
      <c r="R34" t="s">
        <v>46</v>
      </c>
      <c r="S34" t="s">
        <v>134</v>
      </c>
      <c r="T34" t="s">
        <v>88</v>
      </c>
      <c r="U34" t="s">
        <v>138</v>
      </c>
      <c r="V34" t="s">
        <v>73</v>
      </c>
      <c r="W34" t="s">
        <v>131</v>
      </c>
      <c r="X34" t="s">
        <v>132</v>
      </c>
      <c r="Y34" t="s">
        <v>135</v>
      </c>
    </row>
    <row r="35" spans="1:25" x14ac:dyDescent="0.2">
      <c r="A35" t="s">
        <v>36</v>
      </c>
      <c r="B35" t="s">
        <v>36</v>
      </c>
      <c r="C35" t="s">
        <v>46</v>
      </c>
      <c r="D35" t="s">
        <v>138</v>
      </c>
      <c r="E35" t="s">
        <v>44</v>
      </c>
      <c r="F35" t="s">
        <v>33</v>
      </c>
      <c r="G35" t="s">
        <v>34</v>
      </c>
      <c r="H35" t="s">
        <v>35</v>
      </c>
      <c r="I35" t="s">
        <v>133</v>
      </c>
      <c r="J35" t="s">
        <v>88</v>
      </c>
      <c r="K35" t="s">
        <v>60</v>
      </c>
      <c r="L35" t="s">
        <v>73</v>
      </c>
      <c r="M35" t="s">
        <v>86</v>
      </c>
      <c r="N35" t="s">
        <v>132</v>
      </c>
      <c r="O35" t="s">
        <v>47</v>
      </c>
      <c r="P35" t="s">
        <v>131</v>
      </c>
      <c r="Q35" t="s">
        <v>80</v>
      </c>
      <c r="R35" t="s">
        <v>135</v>
      </c>
      <c r="S35" t="s">
        <v>87</v>
      </c>
      <c r="T35" t="s">
        <v>137</v>
      </c>
      <c r="U35" t="s">
        <v>53</v>
      </c>
      <c r="V35" t="s">
        <v>134</v>
      </c>
      <c r="W35" t="s">
        <v>130</v>
      </c>
      <c r="X35" t="s">
        <v>67</v>
      </c>
      <c r="Y35" t="s">
        <v>136</v>
      </c>
    </row>
    <row r="36" spans="1:25" x14ac:dyDescent="0.2">
      <c r="A36" t="s">
        <v>130</v>
      </c>
      <c r="B36" t="s">
        <v>130</v>
      </c>
      <c r="C36" t="s">
        <v>131</v>
      </c>
      <c r="D36" t="s">
        <v>60</v>
      </c>
      <c r="E36" t="s">
        <v>47</v>
      </c>
      <c r="F36" t="s">
        <v>80</v>
      </c>
      <c r="G36" t="s">
        <v>133</v>
      </c>
      <c r="H36" t="s">
        <v>132</v>
      </c>
      <c r="I36" t="s">
        <v>34</v>
      </c>
      <c r="J36" t="s">
        <v>134</v>
      </c>
      <c r="K36" t="s">
        <v>138</v>
      </c>
      <c r="L36" t="s">
        <v>136</v>
      </c>
      <c r="M36" t="s">
        <v>53</v>
      </c>
      <c r="N36" t="s">
        <v>35</v>
      </c>
      <c r="O36" t="s">
        <v>44</v>
      </c>
      <c r="P36" t="s">
        <v>46</v>
      </c>
      <c r="Q36" t="s">
        <v>33</v>
      </c>
      <c r="R36" t="s">
        <v>137</v>
      </c>
      <c r="S36" t="s">
        <v>67</v>
      </c>
      <c r="T36" t="s">
        <v>135</v>
      </c>
      <c r="U36" t="s">
        <v>86</v>
      </c>
      <c r="V36" t="s">
        <v>88</v>
      </c>
      <c r="W36" t="s">
        <v>36</v>
      </c>
      <c r="X36" t="s">
        <v>87</v>
      </c>
      <c r="Y36" t="s">
        <v>73</v>
      </c>
    </row>
    <row r="37" spans="1:25" x14ac:dyDescent="0.2">
      <c r="A37" t="s">
        <v>47</v>
      </c>
      <c r="B37" t="s">
        <v>47</v>
      </c>
      <c r="C37" t="s">
        <v>130</v>
      </c>
      <c r="D37" t="s">
        <v>131</v>
      </c>
      <c r="E37" t="s">
        <v>60</v>
      </c>
      <c r="F37" t="s">
        <v>46</v>
      </c>
      <c r="G37" t="s">
        <v>73</v>
      </c>
      <c r="H37" t="s">
        <v>67</v>
      </c>
      <c r="I37" t="s">
        <v>35</v>
      </c>
      <c r="J37" t="s">
        <v>87</v>
      </c>
      <c r="K37" t="s">
        <v>53</v>
      </c>
      <c r="L37" t="s">
        <v>80</v>
      </c>
      <c r="M37" t="s">
        <v>88</v>
      </c>
      <c r="N37" t="s">
        <v>36</v>
      </c>
      <c r="O37" t="s">
        <v>132</v>
      </c>
      <c r="P37" t="s">
        <v>135</v>
      </c>
      <c r="Q37" t="s">
        <v>34</v>
      </c>
      <c r="R37" t="s">
        <v>138</v>
      </c>
      <c r="S37" t="s">
        <v>86</v>
      </c>
      <c r="T37" t="s">
        <v>136</v>
      </c>
      <c r="U37" t="s">
        <v>44</v>
      </c>
      <c r="V37" t="s">
        <v>137</v>
      </c>
      <c r="W37" t="s">
        <v>33</v>
      </c>
      <c r="X37" t="s">
        <v>133</v>
      </c>
      <c r="Y37" t="s">
        <v>134</v>
      </c>
    </row>
    <row r="38" spans="1:25" x14ac:dyDescent="0.2">
      <c r="A38" t="s">
        <v>60</v>
      </c>
      <c r="B38" t="s">
        <v>60</v>
      </c>
      <c r="C38" t="s">
        <v>47</v>
      </c>
      <c r="D38" t="s">
        <v>130</v>
      </c>
      <c r="E38" t="s">
        <v>131</v>
      </c>
      <c r="F38" t="s">
        <v>135</v>
      </c>
      <c r="G38" t="s">
        <v>134</v>
      </c>
      <c r="H38" t="s">
        <v>86</v>
      </c>
      <c r="I38" t="s">
        <v>36</v>
      </c>
      <c r="J38" t="s">
        <v>133</v>
      </c>
      <c r="K38" t="s">
        <v>88</v>
      </c>
      <c r="L38" t="s">
        <v>46</v>
      </c>
      <c r="M38" t="s">
        <v>137</v>
      </c>
      <c r="N38" t="s">
        <v>33</v>
      </c>
      <c r="O38" t="s">
        <v>67</v>
      </c>
      <c r="P38" t="s">
        <v>136</v>
      </c>
      <c r="Q38" t="s">
        <v>35</v>
      </c>
      <c r="R38" t="s">
        <v>53</v>
      </c>
      <c r="S38" t="s">
        <v>44</v>
      </c>
      <c r="T38" t="s">
        <v>80</v>
      </c>
      <c r="U38" t="s">
        <v>132</v>
      </c>
      <c r="V38" t="s">
        <v>138</v>
      </c>
      <c r="W38" t="s">
        <v>34</v>
      </c>
      <c r="X38" t="s">
        <v>73</v>
      </c>
      <c r="Y38" t="s">
        <v>87</v>
      </c>
    </row>
    <row r="39" spans="1:25" x14ac:dyDescent="0.2">
      <c r="A39" t="s">
        <v>131</v>
      </c>
      <c r="B39" t="s">
        <v>131</v>
      </c>
      <c r="C39" t="s">
        <v>60</v>
      </c>
      <c r="D39" t="s">
        <v>47</v>
      </c>
      <c r="E39" t="s">
        <v>130</v>
      </c>
      <c r="F39" t="s">
        <v>136</v>
      </c>
      <c r="G39" t="s">
        <v>87</v>
      </c>
      <c r="H39" t="s">
        <v>44</v>
      </c>
      <c r="I39" t="s">
        <v>33</v>
      </c>
      <c r="J39" t="s">
        <v>73</v>
      </c>
      <c r="K39" t="s">
        <v>137</v>
      </c>
      <c r="L39" t="s">
        <v>135</v>
      </c>
      <c r="M39" t="s">
        <v>138</v>
      </c>
      <c r="N39" t="s">
        <v>34</v>
      </c>
      <c r="O39" t="s">
        <v>86</v>
      </c>
      <c r="P39" t="s">
        <v>80</v>
      </c>
      <c r="Q39" t="s">
        <v>36</v>
      </c>
      <c r="R39" t="s">
        <v>88</v>
      </c>
      <c r="S39" t="s">
        <v>132</v>
      </c>
      <c r="T39" t="s">
        <v>46</v>
      </c>
      <c r="U39" t="s">
        <v>67</v>
      </c>
      <c r="V39" t="s">
        <v>53</v>
      </c>
      <c r="W39" t="s">
        <v>35</v>
      </c>
      <c r="X39" t="s">
        <v>134</v>
      </c>
      <c r="Y39" t="s">
        <v>133</v>
      </c>
    </row>
    <row r="40" spans="1:25" x14ac:dyDescent="0.2">
      <c r="A40" t="s">
        <v>132</v>
      </c>
      <c r="B40" t="s">
        <v>132</v>
      </c>
      <c r="C40" t="s">
        <v>33</v>
      </c>
      <c r="D40" t="s">
        <v>135</v>
      </c>
      <c r="E40" t="s">
        <v>53</v>
      </c>
      <c r="F40" t="s">
        <v>130</v>
      </c>
      <c r="G40" t="s">
        <v>80</v>
      </c>
      <c r="H40" t="s">
        <v>133</v>
      </c>
      <c r="I40" t="s">
        <v>67</v>
      </c>
      <c r="J40" t="s">
        <v>86</v>
      </c>
      <c r="K40" t="s">
        <v>44</v>
      </c>
      <c r="L40" t="s">
        <v>34</v>
      </c>
      <c r="M40" t="s">
        <v>87</v>
      </c>
      <c r="N40" t="s">
        <v>47</v>
      </c>
      <c r="O40" t="s">
        <v>36</v>
      </c>
      <c r="P40" t="s">
        <v>138</v>
      </c>
      <c r="Q40" t="s">
        <v>73</v>
      </c>
      <c r="R40" t="s">
        <v>131</v>
      </c>
      <c r="S40" t="s">
        <v>88</v>
      </c>
      <c r="T40" t="s">
        <v>134</v>
      </c>
      <c r="U40" t="s">
        <v>60</v>
      </c>
      <c r="V40" t="s">
        <v>136</v>
      </c>
      <c r="W40" t="s">
        <v>46</v>
      </c>
      <c r="X40" t="s">
        <v>35</v>
      </c>
      <c r="Y40" t="s">
        <v>137</v>
      </c>
    </row>
    <row r="41" spans="1:25" x14ac:dyDescent="0.2">
      <c r="A41" t="s">
        <v>67</v>
      </c>
      <c r="B41" t="s">
        <v>67</v>
      </c>
      <c r="C41" t="s">
        <v>34</v>
      </c>
      <c r="D41" t="s">
        <v>136</v>
      </c>
      <c r="E41" t="s">
        <v>88</v>
      </c>
      <c r="F41" t="s">
        <v>47</v>
      </c>
      <c r="G41" t="s">
        <v>46</v>
      </c>
      <c r="H41" t="s">
        <v>73</v>
      </c>
      <c r="I41" t="s">
        <v>86</v>
      </c>
      <c r="J41" t="s">
        <v>44</v>
      </c>
      <c r="K41" t="s">
        <v>132</v>
      </c>
      <c r="L41" t="s">
        <v>35</v>
      </c>
      <c r="M41" t="s">
        <v>133</v>
      </c>
      <c r="N41" t="s">
        <v>60</v>
      </c>
      <c r="O41" t="s">
        <v>33</v>
      </c>
      <c r="P41" t="s">
        <v>53</v>
      </c>
      <c r="Q41" t="s">
        <v>134</v>
      </c>
      <c r="R41" t="s">
        <v>130</v>
      </c>
      <c r="S41" t="s">
        <v>137</v>
      </c>
      <c r="T41" t="s">
        <v>87</v>
      </c>
      <c r="U41" t="s">
        <v>131</v>
      </c>
      <c r="V41" t="s">
        <v>80</v>
      </c>
      <c r="W41" t="s">
        <v>135</v>
      </c>
      <c r="X41" t="s">
        <v>36</v>
      </c>
      <c r="Y41" t="s">
        <v>138</v>
      </c>
    </row>
    <row r="42" spans="1:25" x14ac:dyDescent="0.2">
      <c r="A42" t="s">
        <v>86</v>
      </c>
      <c r="B42" t="s">
        <v>86</v>
      </c>
      <c r="C42" t="s">
        <v>35</v>
      </c>
      <c r="D42" t="s">
        <v>80</v>
      </c>
      <c r="E42" t="s">
        <v>137</v>
      </c>
      <c r="F42" t="s">
        <v>60</v>
      </c>
      <c r="G42" t="s">
        <v>135</v>
      </c>
      <c r="H42" t="s">
        <v>134</v>
      </c>
      <c r="I42" t="s">
        <v>44</v>
      </c>
      <c r="J42" t="s">
        <v>132</v>
      </c>
      <c r="K42" t="s">
        <v>67</v>
      </c>
      <c r="L42" t="s">
        <v>36</v>
      </c>
      <c r="M42" t="s">
        <v>73</v>
      </c>
      <c r="N42" t="s">
        <v>131</v>
      </c>
      <c r="O42" t="s">
        <v>34</v>
      </c>
      <c r="P42" t="s">
        <v>88</v>
      </c>
      <c r="Q42" t="s">
        <v>87</v>
      </c>
      <c r="R42" t="s">
        <v>47</v>
      </c>
      <c r="S42" t="s">
        <v>138</v>
      </c>
      <c r="T42" t="s">
        <v>133</v>
      </c>
      <c r="U42" t="s">
        <v>130</v>
      </c>
      <c r="V42" t="s">
        <v>46</v>
      </c>
      <c r="W42" t="s">
        <v>136</v>
      </c>
      <c r="X42" t="s">
        <v>33</v>
      </c>
      <c r="Y42" t="s">
        <v>53</v>
      </c>
    </row>
    <row r="43" spans="1:25" x14ac:dyDescent="0.2">
      <c r="A43" t="s">
        <v>44</v>
      </c>
      <c r="B43" t="s">
        <v>44</v>
      </c>
      <c r="C43" t="s">
        <v>36</v>
      </c>
      <c r="D43" t="s">
        <v>46</v>
      </c>
      <c r="E43" t="s">
        <v>138</v>
      </c>
      <c r="F43" t="s">
        <v>131</v>
      </c>
      <c r="G43" t="s">
        <v>136</v>
      </c>
      <c r="H43" t="s">
        <v>87</v>
      </c>
      <c r="I43" t="s">
        <v>132</v>
      </c>
      <c r="J43" t="s">
        <v>67</v>
      </c>
      <c r="K43" t="s">
        <v>86</v>
      </c>
      <c r="L43" t="s">
        <v>33</v>
      </c>
      <c r="M43" t="s">
        <v>134</v>
      </c>
      <c r="N43" t="s">
        <v>130</v>
      </c>
      <c r="O43" t="s">
        <v>35</v>
      </c>
      <c r="P43" t="s">
        <v>137</v>
      </c>
      <c r="Q43" t="s">
        <v>133</v>
      </c>
      <c r="R43" t="s">
        <v>60</v>
      </c>
      <c r="S43" t="s">
        <v>53</v>
      </c>
      <c r="T43" t="s">
        <v>73</v>
      </c>
      <c r="U43" t="s">
        <v>47</v>
      </c>
      <c r="V43" t="s">
        <v>135</v>
      </c>
      <c r="W43" t="s">
        <v>80</v>
      </c>
      <c r="X43" t="s">
        <v>34</v>
      </c>
      <c r="Y43" t="s">
        <v>88</v>
      </c>
    </row>
    <row r="44" spans="1:25" x14ac:dyDescent="0.2">
      <c r="A44" t="s">
        <v>133</v>
      </c>
      <c r="B44" t="s">
        <v>133</v>
      </c>
      <c r="C44" t="s">
        <v>73</v>
      </c>
      <c r="D44" t="s">
        <v>134</v>
      </c>
      <c r="E44" t="s">
        <v>87</v>
      </c>
      <c r="F44" t="s">
        <v>132</v>
      </c>
      <c r="G44" t="s">
        <v>130</v>
      </c>
      <c r="H44" t="s">
        <v>80</v>
      </c>
      <c r="I44" t="s">
        <v>88</v>
      </c>
      <c r="J44" t="s">
        <v>60</v>
      </c>
      <c r="K44" t="s">
        <v>36</v>
      </c>
      <c r="L44" t="s">
        <v>67</v>
      </c>
      <c r="M44" t="s">
        <v>35</v>
      </c>
      <c r="N44" t="s">
        <v>53</v>
      </c>
      <c r="O44" t="s">
        <v>46</v>
      </c>
      <c r="P44" t="s">
        <v>44</v>
      </c>
      <c r="Q44" t="s">
        <v>137</v>
      </c>
      <c r="R44" t="s">
        <v>33</v>
      </c>
      <c r="S44" t="s">
        <v>136</v>
      </c>
      <c r="T44" t="s">
        <v>86</v>
      </c>
      <c r="U44" t="s">
        <v>135</v>
      </c>
      <c r="V44" t="s">
        <v>34</v>
      </c>
      <c r="W44" t="s">
        <v>138</v>
      </c>
      <c r="X44" t="s">
        <v>47</v>
      </c>
      <c r="Y44" t="s">
        <v>131</v>
      </c>
    </row>
    <row r="45" spans="1:25" x14ac:dyDescent="0.2">
      <c r="A45" t="s">
        <v>73</v>
      </c>
      <c r="B45" t="s">
        <v>73</v>
      </c>
      <c r="C45" t="s">
        <v>134</v>
      </c>
      <c r="D45" t="s">
        <v>87</v>
      </c>
      <c r="E45" t="s">
        <v>133</v>
      </c>
      <c r="F45" t="s">
        <v>67</v>
      </c>
      <c r="G45" t="s">
        <v>47</v>
      </c>
      <c r="H45" t="s">
        <v>46</v>
      </c>
      <c r="I45" t="s">
        <v>137</v>
      </c>
      <c r="J45" t="s">
        <v>131</v>
      </c>
      <c r="K45" t="s">
        <v>33</v>
      </c>
      <c r="L45" t="s">
        <v>86</v>
      </c>
      <c r="M45" t="s">
        <v>36</v>
      </c>
      <c r="N45" t="s">
        <v>88</v>
      </c>
      <c r="O45" t="s">
        <v>135</v>
      </c>
      <c r="P45" t="s">
        <v>132</v>
      </c>
      <c r="Q45" t="s">
        <v>138</v>
      </c>
      <c r="R45" t="s">
        <v>34</v>
      </c>
      <c r="S45" t="s">
        <v>80</v>
      </c>
      <c r="T45" t="s">
        <v>44</v>
      </c>
      <c r="U45" t="s">
        <v>136</v>
      </c>
      <c r="V45" t="s">
        <v>35</v>
      </c>
      <c r="W45" t="s">
        <v>53</v>
      </c>
      <c r="X45" t="s">
        <v>60</v>
      </c>
      <c r="Y45" t="s">
        <v>130</v>
      </c>
    </row>
    <row r="46" spans="1:25" x14ac:dyDescent="0.2">
      <c r="A46" t="s">
        <v>134</v>
      </c>
      <c r="B46" t="s">
        <v>134</v>
      </c>
      <c r="C46" t="s">
        <v>87</v>
      </c>
      <c r="D46" t="s">
        <v>133</v>
      </c>
      <c r="E46" t="s">
        <v>73</v>
      </c>
      <c r="F46" t="s">
        <v>86</v>
      </c>
      <c r="G46" t="s">
        <v>60</v>
      </c>
      <c r="H46" t="s">
        <v>135</v>
      </c>
      <c r="I46" t="s">
        <v>138</v>
      </c>
      <c r="J46" t="s">
        <v>130</v>
      </c>
      <c r="K46" t="s">
        <v>34</v>
      </c>
      <c r="L46" t="s">
        <v>44</v>
      </c>
      <c r="M46" t="s">
        <v>33</v>
      </c>
      <c r="N46" t="s">
        <v>137</v>
      </c>
      <c r="O46" t="s">
        <v>136</v>
      </c>
      <c r="P46" t="s">
        <v>67</v>
      </c>
      <c r="Q46" t="s">
        <v>53</v>
      </c>
      <c r="R46" t="s">
        <v>35</v>
      </c>
      <c r="S46" t="s">
        <v>46</v>
      </c>
      <c r="T46" t="s">
        <v>132</v>
      </c>
      <c r="U46" t="s">
        <v>80</v>
      </c>
      <c r="V46" t="s">
        <v>36</v>
      </c>
      <c r="W46" t="s">
        <v>88</v>
      </c>
      <c r="X46" t="s">
        <v>131</v>
      </c>
      <c r="Y46" t="s">
        <v>47</v>
      </c>
    </row>
    <row r="47" spans="1:25" x14ac:dyDescent="0.2">
      <c r="A47" t="s">
        <v>87</v>
      </c>
      <c r="B47" t="s">
        <v>87</v>
      </c>
      <c r="C47" t="s">
        <v>133</v>
      </c>
      <c r="D47" t="s">
        <v>73</v>
      </c>
      <c r="E47" t="s">
        <v>134</v>
      </c>
      <c r="F47" t="s">
        <v>44</v>
      </c>
      <c r="G47" t="s">
        <v>131</v>
      </c>
      <c r="H47" t="s">
        <v>136</v>
      </c>
      <c r="I47" t="s">
        <v>53</v>
      </c>
      <c r="J47" t="s">
        <v>47</v>
      </c>
      <c r="K47" t="s">
        <v>35</v>
      </c>
      <c r="L47" t="s">
        <v>132</v>
      </c>
      <c r="M47" t="s">
        <v>34</v>
      </c>
      <c r="N47" t="s">
        <v>138</v>
      </c>
      <c r="O47" t="s">
        <v>80</v>
      </c>
      <c r="P47" t="s">
        <v>86</v>
      </c>
      <c r="Q47" t="s">
        <v>88</v>
      </c>
      <c r="R47" t="s">
        <v>36</v>
      </c>
      <c r="S47" t="s">
        <v>135</v>
      </c>
      <c r="T47" t="s">
        <v>67</v>
      </c>
      <c r="U47" t="s">
        <v>46</v>
      </c>
      <c r="V47" t="s">
        <v>33</v>
      </c>
      <c r="W47" t="s">
        <v>137</v>
      </c>
      <c r="X47" t="s">
        <v>130</v>
      </c>
      <c r="Y47" t="s">
        <v>60</v>
      </c>
    </row>
    <row r="48" spans="1:25" x14ac:dyDescent="0.2">
      <c r="A48" t="s">
        <v>80</v>
      </c>
      <c r="B48" t="s">
        <v>80</v>
      </c>
      <c r="C48" t="s">
        <v>137</v>
      </c>
      <c r="D48" t="s">
        <v>86</v>
      </c>
      <c r="E48" t="s">
        <v>35</v>
      </c>
      <c r="F48" t="s">
        <v>133</v>
      </c>
      <c r="G48" t="s">
        <v>132</v>
      </c>
      <c r="H48" t="s">
        <v>130</v>
      </c>
      <c r="I48" t="s">
        <v>136</v>
      </c>
      <c r="J48" t="s">
        <v>135</v>
      </c>
      <c r="K48" t="s">
        <v>46</v>
      </c>
      <c r="L48" t="s">
        <v>88</v>
      </c>
      <c r="M48" t="s">
        <v>47</v>
      </c>
      <c r="N48" t="s">
        <v>87</v>
      </c>
      <c r="O48" t="s">
        <v>138</v>
      </c>
      <c r="P48" t="s">
        <v>36</v>
      </c>
      <c r="Q48" t="s">
        <v>131</v>
      </c>
      <c r="R48" t="s">
        <v>73</v>
      </c>
      <c r="S48" t="s">
        <v>34</v>
      </c>
      <c r="T48" t="s">
        <v>60</v>
      </c>
      <c r="U48" t="s">
        <v>134</v>
      </c>
      <c r="V48" t="s">
        <v>67</v>
      </c>
      <c r="W48" t="s">
        <v>44</v>
      </c>
      <c r="X48" t="s">
        <v>53</v>
      </c>
      <c r="Y48" t="s">
        <v>33</v>
      </c>
    </row>
    <row r="49" spans="1:25" x14ac:dyDescent="0.2">
      <c r="A49" t="s">
        <v>46</v>
      </c>
      <c r="B49" t="s">
        <v>46</v>
      </c>
      <c r="C49" t="s">
        <v>138</v>
      </c>
      <c r="D49" t="s">
        <v>44</v>
      </c>
      <c r="E49" t="s">
        <v>36</v>
      </c>
      <c r="F49" t="s">
        <v>73</v>
      </c>
      <c r="G49" t="s">
        <v>67</v>
      </c>
      <c r="H49" t="s">
        <v>47</v>
      </c>
      <c r="I49" t="s">
        <v>80</v>
      </c>
      <c r="J49" t="s">
        <v>136</v>
      </c>
      <c r="K49" t="s">
        <v>135</v>
      </c>
      <c r="L49" t="s">
        <v>137</v>
      </c>
      <c r="M49" t="s">
        <v>60</v>
      </c>
      <c r="N49" t="s">
        <v>133</v>
      </c>
      <c r="O49" t="s">
        <v>53</v>
      </c>
      <c r="P49" t="s">
        <v>33</v>
      </c>
      <c r="Q49" t="s">
        <v>130</v>
      </c>
      <c r="R49" t="s">
        <v>134</v>
      </c>
      <c r="S49" t="s">
        <v>35</v>
      </c>
      <c r="T49" t="s">
        <v>131</v>
      </c>
      <c r="U49" t="s">
        <v>87</v>
      </c>
      <c r="V49" t="s">
        <v>86</v>
      </c>
      <c r="W49" t="s">
        <v>132</v>
      </c>
      <c r="X49" t="s">
        <v>88</v>
      </c>
      <c r="Y49" t="s">
        <v>34</v>
      </c>
    </row>
    <row r="50" spans="1:25" x14ac:dyDescent="0.2">
      <c r="A50" t="s">
        <v>135</v>
      </c>
      <c r="B50" t="s">
        <v>135</v>
      </c>
      <c r="C50" t="s">
        <v>53</v>
      </c>
      <c r="D50" t="s">
        <v>132</v>
      </c>
      <c r="E50" t="s">
        <v>33</v>
      </c>
      <c r="F50" t="s">
        <v>134</v>
      </c>
      <c r="G50" t="s">
        <v>86</v>
      </c>
      <c r="H50" t="s">
        <v>60</v>
      </c>
      <c r="I50" t="s">
        <v>46</v>
      </c>
      <c r="J50" t="s">
        <v>80</v>
      </c>
      <c r="K50" t="s">
        <v>136</v>
      </c>
      <c r="L50" t="s">
        <v>138</v>
      </c>
      <c r="M50" t="s">
        <v>131</v>
      </c>
      <c r="N50" t="s">
        <v>73</v>
      </c>
      <c r="O50" t="s">
        <v>88</v>
      </c>
      <c r="P50" t="s">
        <v>34</v>
      </c>
      <c r="Q50" t="s">
        <v>47</v>
      </c>
      <c r="R50" t="s">
        <v>87</v>
      </c>
      <c r="S50" t="s">
        <v>36</v>
      </c>
      <c r="T50" t="s">
        <v>130</v>
      </c>
      <c r="U50" t="s">
        <v>133</v>
      </c>
      <c r="V50" t="s">
        <v>44</v>
      </c>
      <c r="W50" t="s">
        <v>67</v>
      </c>
      <c r="X50" t="s">
        <v>137</v>
      </c>
      <c r="Y50" t="s">
        <v>35</v>
      </c>
    </row>
    <row r="51" spans="1:25" x14ac:dyDescent="0.2">
      <c r="A51" t="s">
        <v>136</v>
      </c>
      <c r="B51" t="s">
        <v>136</v>
      </c>
      <c r="C51" t="s">
        <v>88</v>
      </c>
      <c r="D51" t="s">
        <v>67</v>
      </c>
      <c r="E51" t="s">
        <v>34</v>
      </c>
      <c r="F51" t="s">
        <v>87</v>
      </c>
      <c r="G51" t="s">
        <v>44</v>
      </c>
      <c r="H51" t="s">
        <v>131</v>
      </c>
      <c r="I51" t="s">
        <v>135</v>
      </c>
      <c r="J51" t="s">
        <v>46</v>
      </c>
      <c r="K51" t="s">
        <v>80</v>
      </c>
      <c r="L51" t="s">
        <v>53</v>
      </c>
      <c r="M51" t="s">
        <v>130</v>
      </c>
      <c r="N51" t="s">
        <v>134</v>
      </c>
      <c r="O51" t="s">
        <v>137</v>
      </c>
      <c r="P51" t="s">
        <v>35</v>
      </c>
      <c r="Q51" t="s">
        <v>60</v>
      </c>
      <c r="R51" t="s">
        <v>133</v>
      </c>
      <c r="S51" t="s">
        <v>33</v>
      </c>
      <c r="T51" t="s">
        <v>47</v>
      </c>
      <c r="U51" t="s">
        <v>73</v>
      </c>
      <c r="V51" t="s">
        <v>132</v>
      </c>
      <c r="W51" t="s">
        <v>86</v>
      </c>
      <c r="X51" t="s">
        <v>138</v>
      </c>
      <c r="Y51" t="s">
        <v>36</v>
      </c>
    </row>
    <row r="52" spans="1:25" x14ac:dyDescent="0.2">
      <c r="A52" t="s">
        <v>53</v>
      </c>
      <c r="B52" t="s">
        <v>53</v>
      </c>
      <c r="C52" t="s">
        <v>132</v>
      </c>
      <c r="D52" t="s">
        <v>33</v>
      </c>
      <c r="E52" t="s">
        <v>135</v>
      </c>
      <c r="F52" t="s">
        <v>138</v>
      </c>
      <c r="G52" t="s">
        <v>137</v>
      </c>
      <c r="H52" t="s">
        <v>88</v>
      </c>
      <c r="I52" t="s">
        <v>47</v>
      </c>
      <c r="J52" t="s">
        <v>35</v>
      </c>
      <c r="K52" t="s">
        <v>87</v>
      </c>
      <c r="L52" t="s">
        <v>130</v>
      </c>
      <c r="M52" t="s">
        <v>136</v>
      </c>
      <c r="N52" t="s">
        <v>46</v>
      </c>
      <c r="O52" t="s">
        <v>133</v>
      </c>
      <c r="P52" t="s">
        <v>134</v>
      </c>
      <c r="Q52" t="s">
        <v>67</v>
      </c>
      <c r="R52" t="s">
        <v>44</v>
      </c>
      <c r="S52" t="s">
        <v>60</v>
      </c>
      <c r="T52" t="s">
        <v>34</v>
      </c>
      <c r="U52" t="s">
        <v>36</v>
      </c>
      <c r="V52" t="s">
        <v>131</v>
      </c>
      <c r="W52" t="s">
        <v>73</v>
      </c>
      <c r="X52" t="s">
        <v>80</v>
      </c>
      <c r="Y52" t="s">
        <v>86</v>
      </c>
    </row>
    <row r="53" spans="1:25" x14ac:dyDescent="0.2">
      <c r="A53" t="s">
        <v>88</v>
      </c>
      <c r="B53" t="s">
        <v>88</v>
      </c>
      <c r="C53" t="s">
        <v>67</v>
      </c>
      <c r="D53" t="s">
        <v>34</v>
      </c>
      <c r="E53" t="s">
        <v>136</v>
      </c>
      <c r="F53" t="s">
        <v>53</v>
      </c>
      <c r="G53" t="s">
        <v>138</v>
      </c>
      <c r="H53" t="s">
        <v>137</v>
      </c>
      <c r="I53" t="s">
        <v>60</v>
      </c>
      <c r="J53" t="s">
        <v>36</v>
      </c>
      <c r="K53" t="s">
        <v>133</v>
      </c>
      <c r="L53" t="s">
        <v>47</v>
      </c>
      <c r="M53" t="s">
        <v>80</v>
      </c>
      <c r="N53" t="s">
        <v>135</v>
      </c>
      <c r="O53" t="s">
        <v>73</v>
      </c>
      <c r="P53" t="s">
        <v>87</v>
      </c>
      <c r="Q53" t="s">
        <v>86</v>
      </c>
      <c r="R53" t="s">
        <v>132</v>
      </c>
      <c r="S53" t="s">
        <v>131</v>
      </c>
      <c r="T53" t="s">
        <v>35</v>
      </c>
      <c r="U53" t="s">
        <v>33</v>
      </c>
      <c r="V53" t="s">
        <v>130</v>
      </c>
      <c r="W53" t="s">
        <v>134</v>
      </c>
      <c r="X53" t="s">
        <v>46</v>
      </c>
      <c r="Y53" t="s">
        <v>44</v>
      </c>
    </row>
    <row r="54" spans="1:25" x14ac:dyDescent="0.2">
      <c r="A54" t="s">
        <v>137</v>
      </c>
      <c r="B54" t="s">
        <v>137</v>
      </c>
      <c r="C54" t="s">
        <v>86</v>
      </c>
      <c r="D54" t="s">
        <v>35</v>
      </c>
      <c r="E54" t="s">
        <v>80</v>
      </c>
      <c r="F54" t="s">
        <v>88</v>
      </c>
      <c r="G54" t="s">
        <v>53</v>
      </c>
      <c r="H54" t="s">
        <v>138</v>
      </c>
      <c r="I54" t="s">
        <v>131</v>
      </c>
      <c r="J54" t="s">
        <v>33</v>
      </c>
      <c r="K54" t="s">
        <v>73</v>
      </c>
      <c r="L54" t="s">
        <v>60</v>
      </c>
      <c r="M54" t="s">
        <v>46</v>
      </c>
      <c r="N54" t="s">
        <v>136</v>
      </c>
      <c r="O54" t="s">
        <v>134</v>
      </c>
      <c r="P54" t="s">
        <v>133</v>
      </c>
      <c r="Q54" t="s">
        <v>44</v>
      </c>
      <c r="R54" t="s">
        <v>67</v>
      </c>
      <c r="S54" t="s">
        <v>130</v>
      </c>
      <c r="T54" t="s">
        <v>36</v>
      </c>
      <c r="U54" t="s">
        <v>34</v>
      </c>
      <c r="V54" t="s">
        <v>47</v>
      </c>
      <c r="W54" t="s">
        <v>87</v>
      </c>
      <c r="X54" t="s">
        <v>135</v>
      </c>
      <c r="Y54" t="s">
        <v>132</v>
      </c>
    </row>
    <row r="55" spans="1:25" x14ac:dyDescent="0.2">
      <c r="A55" t="s">
        <v>138</v>
      </c>
      <c r="B55" t="s">
        <v>138</v>
      </c>
      <c r="C55" t="s">
        <v>44</v>
      </c>
      <c r="D55" t="s">
        <v>36</v>
      </c>
      <c r="E55" t="s">
        <v>46</v>
      </c>
      <c r="F55" t="s">
        <v>137</v>
      </c>
      <c r="G55" t="s">
        <v>88</v>
      </c>
      <c r="H55" t="s">
        <v>53</v>
      </c>
      <c r="I55" t="s">
        <v>130</v>
      </c>
      <c r="J55" t="s">
        <v>34</v>
      </c>
      <c r="K55" t="s">
        <v>134</v>
      </c>
      <c r="L55" t="s">
        <v>131</v>
      </c>
      <c r="M55" t="s">
        <v>135</v>
      </c>
      <c r="N55" t="s">
        <v>80</v>
      </c>
      <c r="O55" t="s">
        <v>87</v>
      </c>
      <c r="P55" t="s">
        <v>73</v>
      </c>
      <c r="Q55" t="s">
        <v>132</v>
      </c>
      <c r="R55" t="s">
        <v>86</v>
      </c>
      <c r="S55" t="s">
        <v>47</v>
      </c>
      <c r="T55" t="s">
        <v>33</v>
      </c>
      <c r="U55" t="s">
        <v>35</v>
      </c>
      <c r="V55" t="s">
        <v>60</v>
      </c>
      <c r="W55" t="s">
        <v>133</v>
      </c>
      <c r="X55" t="s">
        <v>136</v>
      </c>
      <c r="Y55" t="s">
        <v>67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C4924-0230-DD47-AAF9-531F790C2A75}">
  <dimension ref="A1:Y56"/>
  <sheetViews>
    <sheetView workbookViewId="0">
      <selection activeCell="I12" sqref="I12"/>
    </sheetView>
  </sheetViews>
  <sheetFormatPr baseColWidth="10" defaultRowHeight="15" x14ac:dyDescent="0.2"/>
  <cols>
    <col min="10" max="25" width="11.5" customWidth="1"/>
  </cols>
  <sheetData>
    <row r="1" spans="1:25" x14ac:dyDescent="0.2">
      <c r="A1" t="s">
        <v>167</v>
      </c>
      <c r="B1" t="s">
        <v>168</v>
      </c>
      <c r="C1" t="s">
        <v>169</v>
      </c>
      <c r="D1" t="s">
        <v>170</v>
      </c>
      <c r="E1" t="s">
        <v>171</v>
      </c>
      <c r="F1" t="s">
        <v>172</v>
      </c>
      <c r="G1" t="s">
        <v>173</v>
      </c>
      <c r="H1" t="s">
        <v>174</v>
      </c>
      <c r="I1" t="s">
        <v>175</v>
      </c>
      <c r="J1" t="s">
        <v>176</v>
      </c>
      <c r="K1" t="s">
        <v>177</v>
      </c>
      <c r="L1" t="s">
        <v>178</v>
      </c>
      <c r="M1" t="s">
        <v>179</v>
      </c>
      <c r="N1" t="s">
        <v>180</v>
      </c>
      <c r="O1" t="s">
        <v>181</v>
      </c>
      <c r="P1" t="s">
        <v>182</v>
      </c>
      <c r="Q1" t="s">
        <v>183</v>
      </c>
      <c r="R1" t="s">
        <v>184</v>
      </c>
      <c r="S1" t="s">
        <v>185</v>
      </c>
      <c r="T1" t="s">
        <v>186</v>
      </c>
      <c r="U1" t="s">
        <v>187</v>
      </c>
      <c r="V1" t="s">
        <v>188</v>
      </c>
      <c r="W1" t="s">
        <v>189</v>
      </c>
      <c r="X1" t="s">
        <v>190</v>
      </c>
      <c r="Y1" t="s">
        <v>191</v>
      </c>
    </row>
    <row r="2" spans="1:25" x14ac:dyDescent="0.2">
      <c r="A2" t="s">
        <v>41</v>
      </c>
      <c r="B2" t="s">
        <v>142</v>
      </c>
      <c r="C2" t="s">
        <v>14</v>
      </c>
      <c r="D2" t="s">
        <v>16</v>
      </c>
      <c r="E2" t="s">
        <v>15</v>
      </c>
      <c r="F2" t="s">
        <v>17</v>
      </c>
      <c r="G2" t="s">
        <v>19</v>
      </c>
      <c r="H2" t="s">
        <v>18</v>
      </c>
      <c r="I2" t="s">
        <v>20</v>
      </c>
      <c r="J2" t="s">
        <v>22</v>
      </c>
      <c r="K2" t="s">
        <v>21</v>
      </c>
      <c r="L2" t="s">
        <v>143</v>
      </c>
      <c r="M2" t="s">
        <v>23</v>
      </c>
      <c r="N2" t="s">
        <v>144</v>
      </c>
      <c r="O2" t="s">
        <v>145</v>
      </c>
      <c r="P2" t="s">
        <v>146</v>
      </c>
      <c r="Q2" t="s">
        <v>24</v>
      </c>
      <c r="R2" t="s">
        <v>147</v>
      </c>
      <c r="S2" t="s">
        <v>148</v>
      </c>
      <c r="T2" t="s">
        <v>149</v>
      </c>
      <c r="U2" t="s">
        <v>150</v>
      </c>
      <c r="V2" t="s">
        <v>151</v>
      </c>
      <c r="W2" t="s">
        <v>152</v>
      </c>
      <c r="X2" t="s">
        <v>25</v>
      </c>
      <c r="Y2" t="s">
        <v>26</v>
      </c>
    </row>
    <row r="3" spans="1:25" x14ac:dyDescent="0.2">
      <c r="A3" t="s">
        <v>120</v>
      </c>
      <c r="B3" t="s">
        <v>120</v>
      </c>
      <c r="C3" t="s">
        <v>125</v>
      </c>
      <c r="D3" t="s">
        <v>123</v>
      </c>
      <c r="E3" t="s">
        <v>122</v>
      </c>
      <c r="F3" t="s">
        <v>120</v>
      </c>
      <c r="G3" t="s">
        <v>120</v>
      </c>
      <c r="H3" t="s">
        <v>120</v>
      </c>
      <c r="I3" t="s">
        <v>124</v>
      </c>
      <c r="J3" t="s">
        <v>123</v>
      </c>
      <c r="K3" t="s">
        <v>121</v>
      </c>
      <c r="L3" t="s">
        <v>124</v>
      </c>
      <c r="M3" t="s">
        <v>122</v>
      </c>
      <c r="N3" t="s">
        <v>122</v>
      </c>
      <c r="O3" t="s">
        <v>121</v>
      </c>
      <c r="P3" t="s">
        <v>121</v>
      </c>
      <c r="Q3" t="s">
        <v>125</v>
      </c>
      <c r="R3" t="s">
        <v>125</v>
      </c>
      <c r="S3" t="s">
        <v>124</v>
      </c>
      <c r="T3" t="s">
        <v>123</v>
      </c>
      <c r="U3" t="s">
        <v>123</v>
      </c>
      <c r="V3" t="s">
        <v>124</v>
      </c>
      <c r="W3" t="s">
        <v>121</v>
      </c>
      <c r="X3" t="s">
        <v>122</v>
      </c>
      <c r="Y3" t="s">
        <v>125</v>
      </c>
    </row>
    <row r="4" spans="1:25" x14ac:dyDescent="0.2">
      <c r="A4" t="s">
        <v>121</v>
      </c>
      <c r="B4" t="s">
        <v>124</v>
      </c>
      <c r="C4" t="s">
        <v>124</v>
      </c>
      <c r="D4" t="s">
        <v>124</v>
      </c>
      <c r="E4" t="s">
        <v>124</v>
      </c>
      <c r="F4" t="s">
        <v>122</v>
      </c>
      <c r="G4" t="s">
        <v>121</v>
      </c>
      <c r="H4" t="s">
        <v>125</v>
      </c>
      <c r="I4" t="s">
        <v>123</v>
      </c>
      <c r="J4" t="s">
        <v>121</v>
      </c>
      <c r="K4" t="s">
        <v>120</v>
      </c>
      <c r="L4" t="s">
        <v>122</v>
      </c>
      <c r="M4" t="s">
        <v>120</v>
      </c>
      <c r="N4" t="s">
        <v>123</v>
      </c>
      <c r="O4" t="s">
        <v>125</v>
      </c>
      <c r="P4" t="s">
        <v>122</v>
      </c>
      <c r="Q4" t="s">
        <v>123</v>
      </c>
      <c r="R4" t="s">
        <v>120</v>
      </c>
      <c r="S4" t="s">
        <v>125</v>
      </c>
      <c r="T4" t="s">
        <v>122</v>
      </c>
      <c r="U4" t="s">
        <v>125</v>
      </c>
      <c r="V4" t="s">
        <v>120</v>
      </c>
      <c r="W4" t="s">
        <v>123</v>
      </c>
      <c r="X4" t="s">
        <v>121</v>
      </c>
      <c r="Y4" t="s">
        <v>121</v>
      </c>
    </row>
    <row r="5" spans="1:25" x14ac:dyDescent="0.2">
      <c r="A5" t="s">
        <v>122</v>
      </c>
      <c r="B5" t="s">
        <v>122</v>
      </c>
      <c r="C5" t="s">
        <v>120</v>
      </c>
      <c r="D5" t="s">
        <v>125</v>
      </c>
      <c r="E5" t="s">
        <v>123</v>
      </c>
      <c r="F5" t="s">
        <v>121</v>
      </c>
      <c r="G5" t="s">
        <v>125</v>
      </c>
      <c r="H5" t="s">
        <v>124</v>
      </c>
      <c r="I5" t="s">
        <v>122</v>
      </c>
      <c r="J5" t="s">
        <v>122</v>
      </c>
      <c r="K5" t="s">
        <v>122</v>
      </c>
      <c r="L5" t="s">
        <v>120</v>
      </c>
      <c r="M5" t="s">
        <v>124</v>
      </c>
      <c r="N5" t="s">
        <v>121</v>
      </c>
      <c r="O5" t="s">
        <v>120</v>
      </c>
      <c r="P5" t="s">
        <v>123</v>
      </c>
      <c r="Q5" t="s">
        <v>124</v>
      </c>
      <c r="R5" t="s">
        <v>121</v>
      </c>
      <c r="S5" t="s">
        <v>123</v>
      </c>
      <c r="T5" t="s">
        <v>124</v>
      </c>
      <c r="U5" t="s">
        <v>121</v>
      </c>
      <c r="V5" t="s">
        <v>125</v>
      </c>
      <c r="W5" t="s">
        <v>125</v>
      </c>
      <c r="X5" t="s">
        <v>120</v>
      </c>
      <c r="Y5" t="s">
        <v>123</v>
      </c>
    </row>
    <row r="6" spans="1:25" x14ac:dyDescent="0.2">
      <c r="A6" t="s">
        <v>123</v>
      </c>
      <c r="B6" t="s">
        <v>123</v>
      </c>
      <c r="C6" t="s">
        <v>122</v>
      </c>
      <c r="D6" t="s">
        <v>120</v>
      </c>
      <c r="E6" t="s">
        <v>125</v>
      </c>
      <c r="F6" t="s">
        <v>123</v>
      </c>
      <c r="G6" t="s">
        <v>123</v>
      </c>
      <c r="H6" t="s">
        <v>123</v>
      </c>
      <c r="I6" t="s">
        <v>121</v>
      </c>
      <c r="J6" t="s">
        <v>120</v>
      </c>
      <c r="K6" t="s">
        <v>124</v>
      </c>
      <c r="L6" t="s">
        <v>121</v>
      </c>
      <c r="M6" t="s">
        <v>125</v>
      </c>
      <c r="N6" t="s">
        <v>125</v>
      </c>
      <c r="O6" t="s">
        <v>124</v>
      </c>
      <c r="P6" t="s">
        <v>124</v>
      </c>
      <c r="Q6" t="s">
        <v>122</v>
      </c>
      <c r="R6" t="s">
        <v>122</v>
      </c>
      <c r="S6" t="s">
        <v>121</v>
      </c>
      <c r="T6" t="s">
        <v>120</v>
      </c>
      <c r="U6" t="s">
        <v>120</v>
      </c>
      <c r="V6" t="s">
        <v>121</v>
      </c>
      <c r="W6" t="s">
        <v>124</v>
      </c>
      <c r="X6" t="s">
        <v>125</v>
      </c>
      <c r="Y6" t="s">
        <v>122</v>
      </c>
    </row>
    <row r="7" spans="1:25" x14ac:dyDescent="0.2">
      <c r="A7" t="s">
        <v>124</v>
      </c>
      <c r="B7" t="s">
        <v>121</v>
      </c>
      <c r="C7" t="s">
        <v>121</v>
      </c>
      <c r="D7" t="s">
        <v>121</v>
      </c>
      <c r="E7" t="s">
        <v>121</v>
      </c>
      <c r="F7" t="s">
        <v>125</v>
      </c>
      <c r="G7" t="s">
        <v>124</v>
      </c>
      <c r="H7" t="s">
        <v>122</v>
      </c>
      <c r="I7" t="s">
        <v>120</v>
      </c>
      <c r="J7" t="s">
        <v>124</v>
      </c>
      <c r="K7" t="s">
        <v>123</v>
      </c>
      <c r="L7" t="s">
        <v>125</v>
      </c>
      <c r="M7" t="s">
        <v>123</v>
      </c>
      <c r="N7" t="s">
        <v>120</v>
      </c>
      <c r="O7" t="s">
        <v>122</v>
      </c>
      <c r="P7" t="s">
        <v>125</v>
      </c>
      <c r="Q7" t="s">
        <v>120</v>
      </c>
      <c r="R7" t="s">
        <v>123</v>
      </c>
      <c r="S7" t="s">
        <v>122</v>
      </c>
      <c r="T7" t="s">
        <v>125</v>
      </c>
      <c r="U7" t="s">
        <v>122</v>
      </c>
      <c r="V7" t="s">
        <v>123</v>
      </c>
      <c r="W7" t="s">
        <v>120</v>
      </c>
      <c r="X7" t="s">
        <v>124</v>
      </c>
      <c r="Y7" t="s">
        <v>124</v>
      </c>
    </row>
    <row r="8" spans="1:25" x14ac:dyDescent="0.2">
      <c r="A8" t="s">
        <v>125</v>
      </c>
      <c r="B8" t="s">
        <v>125</v>
      </c>
      <c r="C8" t="s">
        <v>123</v>
      </c>
      <c r="D8" t="s">
        <v>122</v>
      </c>
      <c r="E8" t="s">
        <v>120</v>
      </c>
      <c r="F8" t="s">
        <v>124</v>
      </c>
      <c r="G8" t="s">
        <v>122</v>
      </c>
      <c r="H8" t="s">
        <v>121</v>
      </c>
      <c r="I8" t="s">
        <v>125</v>
      </c>
      <c r="J8" t="s">
        <v>125</v>
      </c>
      <c r="K8" t="s">
        <v>125</v>
      </c>
      <c r="L8" t="s">
        <v>123</v>
      </c>
      <c r="M8" t="s">
        <v>121</v>
      </c>
      <c r="N8" t="s">
        <v>124</v>
      </c>
      <c r="O8" t="s">
        <v>123</v>
      </c>
      <c r="P8" t="s">
        <v>120</v>
      </c>
      <c r="Q8" t="s">
        <v>121</v>
      </c>
      <c r="R8" t="s">
        <v>124</v>
      </c>
      <c r="S8" t="s">
        <v>120</v>
      </c>
      <c r="T8" t="s">
        <v>121</v>
      </c>
      <c r="U8" t="s">
        <v>124</v>
      </c>
      <c r="V8" t="s">
        <v>122</v>
      </c>
      <c r="W8" t="s">
        <v>122</v>
      </c>
      <c r="X8" t="s">
        <v>123</v>
      </c>
      <c r="Y8" t="s">
        <v>120</v>
      </c>
    </row>
    <row r="9" spans="1:25" x14ac:dyDescent="0.2">
      <c r="A9" t="s">
        <v>37</v>
      </c>
      <c r="B9" t="s">
        <v>38</v>
      </c>
      <c r="C9" t="s">
        <v>48</v>
      </c>
      <c r="D9" t="s">
        <v>81</v>
      </c>
      <c r="E9" t="s">
        <v>64</v>
      </c>
      <c r="F9" t="s">
        <v>37</v>
      </c>
      <c r="G9" t="s">
        <v>40</v>
      </c>
      <c r="H9" t="s">
        <v>39</v>
      </c>
      <c r="I9" t="s">
        <v>126</v>
      </c>
      <c r="J9" t="s">
        <v>0</v>
      </c>
      <c r="K9" t="s">
        <v>128</v>
      </c>
      <c r="L9" t="s">
        <v>59</v>
      </c>
      <c r="M9" t="s">
        <v>69</v>
      </c>
      <c r="N9" t="s">
        <v>90</v>
      </c>
      <c r="O9" t="s">
        <v>77</v>
      </c>
      <c r="P9" t="s">
        <v>74</v>
      </c>
      <c r="Q9" t="s">
        <v>79</v>
      </c>
      <c r="R9" t="s">
        <v>51</v>
      </c>
      <c r="S9" t="s">
        <v>45</v>
      </c>
      <c r="T9" t="s">
        <v>129</v>
      </c>
      <c r="U9" t="s">
        <v>54</v>
      </c>
      <c r="V9" t="s">
        <v>61</v>
      </c>
      <c r="W9" t="s">
        <v>127</v>
      </c>
      <c r="X9" t="s">
        <v>30</v>
      </c>
      <c r="Y9" t="s">
        <v>27</v>
      </c>
    </row>
    <row r="10" spans="1:25" x14ac:dyDescent="0.2">
      <c r="A10" t="s">
        <v>38</v>
      </c>
      <c r="B10" t="s">
        <v>37</v>
      </c>
      <c r="C10" t="s">
        <v>51</v>
      </c>
      <c r="D10" t="s">
        <v>54</v>
      </c>
      <c r="E10" t="s">
        <v>90</v>
      </c>
      <c r="F10" t="s">
        <v>40</v>
      </c>
      <c r="G10" t="s">
        <v>39</v>
      </c>
      <c r="H10" t="s">
        <v>38</v>
      </c>
      <c r="I10" t="s">
        <v>59</v>
      </c>
      <c r="J10" t="s">
        <v>129</v>
      </c>
      <c r="K10" t="s">
        <v>74</v>
      </c>
      <c r="L10" t="s">
        <v>61</v>
      </c>
      <c r="M10" t="s">
        <v>64</v>
      </c>
      <c r="N10" t="s">
        <v>30</v>
      </c>
      <c r="O10" t="s">
        <v>128</v>
      </c>
      <c r="P10" t="s">
        <v>127</v>
      </c>
      <c r="Q10" t="s">
        <v>48</v>
      </c>
      <c r="R10" t="s">
        <v>27</v>
      </c>
      <c r="S10" t="s">
        <v>126</v>
      </c>
      <c r="T10" t="s">
        <v>81</v>
      </c>
      <c r="U10" t="s">
        <v>0</v>
      </c>
      <c r="V10" t="s">
        <v>45</v>
      </c>
      <c r="W10" t="s">
        <v>77</v>
      </c>
      <c r="X10" t="s">
        <v>69</v>
      </c>
      <c r="Y10" t="s">
        <v>79</v>
      </c>
    </row>
    <row r="11" spans="1:25" x14ac:dyDescent="0.2">
      <c r="A11" t="s">
        <v>39</v>
      </c>
      <c r="B11" t="s">
        <v>40</v>
      </c>
      <c r="C11" t="s">
        <v>27</v>
      </c>
      <c r="D11" t="s">
        <v>0</v>
      </c>
      <c r="E11" t="s">
        <v>30</v>
      </c>
      <c r="F11" t="s">
        <v>39</v>
      </c>
      <c r="G11" t="s">
        <v>38</v>
      </c>
      <c r="H11" t="s">
        <v>37</v>
      </c>
      <c r="I11" t="s">
        <v>61</v>
      </c>
      <c r="J11" t="s">
        <v>81</v>
      </c>
      <c r="K11" t="s">
        <v>127</v>
      </c>
      <c r="L11" t="s">
        <v>45</v>
      </c>
      <c r="M11" t="s">
        <v>90</v>
      </c>
      <c r="N11" t="s">
        <v>69</v>
      </c>
      <c r="O11" t="s">
        <v>74</v>
      </c>
      <c r="P11" t="s">
        <v>77</v>
      </c>
      <c r="Q11" t="s">
        <v>51</v>
      </c>
      <c r="R11" t="s">
        <v>79</v>
      </c>
      <c r="S11" t="s">
        <v>59</v>
      </c>
      <c r="T11" t="s">
        <v>54</v>
      </c>
      <c r="U11" t="s">
        <v>129</v>
      </c>
      <c r="V11" t="s">
        <v>126</v>
      </c>
      <c r="W11" t="s">
        <v>128</v>
      </c>
      <c r="X11" t="s">
        <v>64</v>
      </c>
      <c r="Y11" t="s">
        <v>48</v>
      </c>
    </row>
    <row r="12" spans="1:25" x14ac:dyDescent="0.2">
      <c r="A12" t="s">
        <v>40</v>
      </c>
      <c r="B12" t="s">
        <v>39</v>
      </c>
      <c r="C12" t="s">
        <v>79</v>
      </c>
      <c r="D12" t="s">
        <v>129</v>
      </c>
      <c r="E12" t="s">
        <v>69</v>
      </c>
      <c r="F12" t="s">
        <v>38</v>
      </c>
      <c r="G12" t="s">
        <v>37</v>
      </c>
      <c r="H12" t="s">
        <v>40</v>
      </c>
      <c r="I12" t="s">
        <v>45</v>
      </c>
      <c r="J12" t="s">
        <v>54</v>
      </c>
      <c r="K12" t="s">
        <v>77</v>
      </c>
      <c r="L12" t="s">
        <v>126</v>
      </c>
      <c r="M12" t="s">
        <v>30</v>
      </c>
      <c r="N12" t="s">
        <v>64</v>
      </c>
      <c r="O12" t="s">
        <v>127</v>
      </c>
      <c r="P12" t="s">
        <v>128</v>
      </c>
      <c r="Q12" t="s">
        <v>27</v>
      </c>
      <c r="R12" t="s">
        <v>48</v>
      </c>
      <c r="S12" t="s">
        <v>61</v>
      </c>
      <c r="T12" t="s">
        <v>0</v>
      </c>
      <c r="U12" t="s">
        <v>81</v>
      </c>
      <c r="V12" t="s">
        <v>59</v>
      </c>
      <c r="W12" t="s">
        <v>74</v>
      </c>
      <c r="X12" t="s">
        <v>90</v>
      </c>
      <c r="Y12" t="s">
        <v>51</v>
      </c>
    </row>
    <row r="13" spans="1:25" x14ac:dyDescent="0.2">
      <c r="A13" t="s">
        <v>126</v>
      </c>
      <c r="B13" t="s">
        <v>74</v>
      </c>
      <c r="C13" t="s">
        <v>128</v>
      </c>
      <c r="D13" t="s">
        <v>77</v>
      </c>
      <c r="E13" t="s">
        <v>127</v>
      </c>
      <c r="F13" t="s">
        <v>27</v>
      </c>
      <c r="G13" t="s">
        <v>45</v>
      </c>
      <c r="H13" t="s">
        <v>64</v>
      </c>
      <c r="I13" t="s">
        <v>37</v>
      </c>
      <c r="J13" t="s">
        <v>59</v>
      </c>
      <c r="K13" t="s">
        <v>129</v>
      </c>
      <c r="L13" t="s">
        <v>51</v>
      </c>
      <c r="M13" t="s">
        <v>81</v>
      </c>
      <c r="N13" t="s">
        <v>40</v>
      </c>
      <c r="O13" t="s">
        <v>69</v>
      </c>
      <c r="P13" t="s">
        <v>79</v>
      </c>
      <c r="Q13" t="s">
        <v>38</v>
      </c>
      <c r="R13" t="s">
        <v>0</v>
      </c>
      <c r="S13" t="s">
        <v>90</v>
      </c>
      <c r="T13" t="s">
        <v>48</v>
      </c>
      <c r="U13" t="s">
        <v>30</v>
      </c>
      <c r="V13" t="s">
        <v>54</v>
      </c>
      <c r="W13" t="s">
        <v>39</v>
      </c>
      <c r="X13" t="s">
        <v>61</v>
      </c>
      <c r="Y13" t="s">
        <v>126</v>
      </c>
    </row>
    <row r="14" spans="1:25" x14ac:dyDescent="0.2">
      <c r="A14" t="s">
        <v>45</v>
      </c>
      <c r="B14" t="s">
        <v>127</v>
      </c>
      <c r="C14" t="s">
        <v>74</v>
      </c>
      <c r="D14" t="s">
        <v>128</v>
      </c>
      <c r="E14" t="s">
        <v>77</v>
      </c>
      <c r="F14" t="s">
        <v>79</v>
      </c>
      <c r="G14" t="s">
        <v>126</v>
      </c>
      <c r="H14" t="s">
        <v>90</v>
      </c>
      <c r="I14" t="s">
        <v>40</v>
      </c>
      <c r="J14" t="s">
        <v>61</v>
      </c>
      <c r="K14" t="s">
        <v>81</v>
      </c>
      <c r="L14" t="s">
        <v>27</v>
      </c>
      <c r="M14" t="s">
        <v>54</v>
      </c>
      <c r="N14" t="s">
        <v>39</v>
      </c>
      <c r="O14" t="s">
        <v>64</v>
      </c>
      <c r="P14" t="s">
        <v>48</v>
      </c>
      <c r="Q14" t="s">
        <v>37</v>
      </c>
      <c r="R14" t="s">
        <v>129</v>
      </c>
      <c r="S14" t="s">
        <v>30</v>
      </c>
      <c r="T14" t="s">
        <v>51</v>
      </c>
      <c r="U14" t="s">
        <v>69</v>
      </c>
      <c r="V14" t="s">
        <v>0</v>
      </c>
      <c r="W14" t="s">
        <v>38</v>
      </c>
      <c r="X14" t="s">
        <v>45</v>
      </c>
      <c r="Y14" t="s">
        <v>59</v>
      </c>
    </row>
    <row r="15" spans="1:25" x14ac:dyDescent="0.2">
      <c r="A15" t="s">
        <v>61</v>
      </c>
      <c r="B15" t="s">
        <v>77</v>
      </c>
      <c r="C15" t="s">
        <v>127</v>
      </c>
      <c r="D15" t="s">
        <v>74</v>
      </c>
      <c r="E15" t="s">
        <v>128</v>
      </c>
      <c r="F15" t="s">
        <v>48</v>
      </c>
      <c r="G15" t="s">
        <v>59</v>
      </c>
      <c r="H15" t="s">
        <v>30</v>
      </c>
      <c r="I15" t="s">
        <v>39</v>
      </c>
      <c r="J15" t="s">
        <v>45</v>
      </c>
      <c r="K15" t="s">
        <v>54</v>
      </c>
      <c r="L15" t="s">
        <v>79</v>
      </c>
      <c r="M15" t="s">
        <v>0</v>
      </c>
      <c r="N15" t="s">
        <v>38</v>
      </c>
      <c r="O15" t="s">
        <v>90</v>
      </c>
      <c r="P15" t="s">
        <v>51</v>
      </c>
      <c r="Q15" t="s">
        <v>40</v>
      </c>
      <c r="R15" t="s">
        <v>81</v>
      </c>
      <c r="S15" t="s">
        <v>69</v>
      </c>
      <c r="T15" t="s">
        <v>27</v>
      </c>
      <c r="U15" t="s">
        <v>64</v>
      </c>
      <c r="V15" t="s">
        <v>129</v>
      </c>
      <c r="W15" t="s">
        <v>37</v>
      </c>
      <c r="X15" t="s">
        <v>126</v>
      </c>
      <c r="Y15" t="s">
        <v>61</v>
      </c>
    </row>
    <row r="16" spans="1:25" x14ac:dyDescent="0.2">
      <c r="A16" t="s">
        <v>59</v>
      </c>
      <c r="B16" t="s">
        <v>128</v>
      </c>
      <c r="C16" t="s">
        <v>77</v>
      </c>
      <c r="D16" t="s">
        <v>127</v>
      </c>
      <c r="E16" t="s">
        <v>74</v>
      </c>
      <c r="F16" t="s">
        <v>51</v>
      </c>
      <c r="G16" t="s">
        <v>61</v>
      </c>
      <c r="H16" t="s">
        <v>69</v>
      </c>
      <c r="I16" t="s">
        <v>38</v>
      </c>
      <c r="J16" t="s">
        <v>126</v>
      </c>
      <c r="K16" t="s">
        <v>0</v>
      </c>
      <c r="L16" t="s">
        <v>48</v>
      </c>
      <c r="M16" t="s">
        <v>129</v>
      </c>
      <c r="N16" t="s">
        <v>37</v>
      </c>
      <c r="O16" t="s">
        <v>30</v>
      </c>
      <c r="P16" t="s">
        <v>27</v>
      </c>
      <c r="Q16" t="s">
        <v>39</v>
      </c>
      <c r="R16" t="s">
        <v>54</v>
      </c>
      <c r="S16" t="s">
        <v>64</v>
      </c>
      <c r="T16" t="s">
        <v>79</v>
      </c>
      <c r="U16" t="s">
        <v>90</v>
      </c>
      <c r="V16" t="s">
        <v>81</v>
      </c>
      <c r="W16" t="s">
        <v>40</v>
      </c>
      <c r="X16" t="s">
        <v>59</v>
      </c>
      <c r="Y16" t="s">
        <v>45</v>
      </c>
    </row>
    <row r="17" spans="1:25" x14ac:dyDescent="0.2">
      <c r="A17" t="s">
        <v>90</v>
      </c>
      <c r="B17" t="s">
        <v>64</v>
      </c>
      <c r="C17" t="s">
        <v>38</v>
      </c>
      <c r="D17" t="s">
        <v>48</v>
      </c>
      <c r="E17" t="s">
        <v>81</v>
      </c>
      <c r="F17" t="s">
        <v>74</v>
      </c>
      <c r="G17" t="s">
        <v>27</v>
      </c>
      <c r="H17" t="s">
        <v>45</v>
      </c>
      <c r="I17" t="s">
        <v>90</v>
      </c>
      <c r="J17" t="s">
        <v>30</v>
      </c>
      <c r="K17" t="s">
        <v>69</v>
      </c>
      <c r="L17" t="s">
        <v>37</v>
      </c>
      <c r="M17" t="s">
        <v>61</v>
      </c>
      <c r="N17" t="s">
        <v>127</v>
      </c>
      <c r="O17" t="s">
        <v>39</v>
      </c>
      <c r="P17" t="s">
        <v>129</v>
      </c>
      <c r="Q17" t="s">
        <v>126</v>
      </c>
      <c r="R17" t="s">
        <v>128</v>
      </c>
      <c r="S17" t="s">
        <v>54</v>
      </c>
      <c r="T17" t="s">
        <v>59</v>
      </c>
      <c r="U17" t="s">
        <v>77</v>
      </c>
      <c r="V17" t="s">
        <v>51</v>
      </c>
      <c r="W17" t="s">
        <v>79</v>
      </c>
      <c r="X17" t="s">
        <v>40</v>
      </c>
      <c r="Y17" t="s">
        <v>0</v>
      </c>
    </row>
    <row r="18" spans="1:25" x14ac:dyDescent="0.2">
      <c r="A18" t="s">
        <v>64</v>
      </c>
      <c r="B18" t="s">
        <v>90</v>
      </c>
      <c r="C18" t="s">
        <v>37</v>
      </c>
      <c r="D18" t="s">
        <v>51</v>
      </c>
      <c r="E18" t="s">
        <v>54</v>
      </c>
      <c r="F18" t="s">
        <v>127</v>
      </c>
      <c r="G18" t="s">
        <v>79</v>
      </c>
      <c r="H18" t="s">
        <v>126</v>
      </c>
      <c r="I18" t="s">
        <v>30</v>
      </c>
      <c r="J18" t="s">
        <v>69</v>
      </c>
      <c r="K18" t="s">
        <v>64</v>
      </c>
      <c r="L18" t="s">
        <v>40</v>
      </c>
      <c r="M18" t="s">
        <v>45</v>
      </c>
      <c r="N18" t="s">
        <v>77</v>
      </c>
      <c r="O18" t="s">
        <v>38</v>
      </c>
      <c r="P18" t="s">
        <v>81</v>
      </c>
      <c r="Q18" t="s">
        <v>59</v>
      </c>
      <c r="R18" t="s">
        <v>74</v>
      </c>
      <c r="S18" t="s">
        <v>0</v>
      </c>
      <c r="T18" t="s">
        <v>61</v>
      </c>
      <c r="U18" t="s">
        <v>128</v>
      </c>
      <c r="V18" t="s">
        <v>27</v>
      </c>
      <c r="W18" t="s">
        <v>48</v>
      </c>
      <c r="X18" t="s">
        <v>39</v>
      </c>
      <c r="Y18" t="s">
        <v>129</v>
      </c>
    </row>
    <row r="19" spans="1:25" x14ac:dyDescent="0.2">
      <c r="A19" t="s">
        <v>69</v>
      </c>
      <c r="B19" t="s">
        <v>30</v>
      </c>
      <c r="C19" t="s">
        <v>40</v>
      </c>
      <c r="D19" t="s">
        <v>27</v>
      </c>
      <c r="E19" t="s">
        <v>0</v>
      </c>
      <c r="F19" t="s">
        <v>77</v>
      </c>
      <c r="G19" t="s">
        <v>48</v>
      </c>
      <c r="H19" t="s">
        <v>59</v>
      </c>
      <c r="I19" t="s">
        <v>69</v>
      </c>
      <c r="J19" t="s">
        <v>64</v>
      </c>
      <c r="K19" t="s">
        <v>90</v>
      </c>
      <c r="L19" t="s">
        <v>39</v>
      </c>
      <c r="M19" t="s">
        <v>126</v>
      </c>
      <c r="N19" t="s">
        <v>128</v>
      </c>
      <c r="O19" t="s">
        <v>37</v>
      </c>
      <c r="P19" t="s">
        <v>54</v>
      </c>
      <c r="Q19" t="s">
        <v>61</v>
      </c>
      <c r="R19" t="s">
        <v>127</v>
      </c>
      <c r="S19" t="s">
        <v>129</v>
      </c>
      <c r="T19" t="s">
        <v>45</v>
      </c>
      <c r="U19" t="s">
        <v>74</v>
      </c>
      <c r="V19" t="s">
        <v>79</v>
      </c>
      <c r="W19" t="s">
        <v>51</v>
      </c>
      <c r="X19" t="s">
        <v>38</v>
      </c>
      <c r="Y19" t="s">
        <v>81</v>
      </c>
    </row>
    <row r="20" spans="1:25" x14ac:dyDescent="0.2">
      <c r="A20" t="s">
        <v>30</v>
      </c>
      <c r="B20" t="s">
        <v>69</v>
      </c>
      <c r="C20" t="s">
        <v>39</v>
      </c>
      <c r="D20" t="s">
        <v>79</v>
      </c>
      <c r="E20" t="s">
        <v>129</v>
      </c>
      <c r="F20" t="s">
        <v>128</v>
      </c>
      <c r="G20" t="s">
        <v>51</v>
      </c>
      <c r="H20" t="s">
        <v>61</v>
      </c>
      <c r="I20" t="s">
        <v>64</v>
      </c>
      <c r="J20" t="s">
        <v>90</v>
      </c>
      <c r="K20" t="s">
        <v>30</v>
      </c>
      <c r="L20" t="s">
        <v>38</v>
      </c>
      <c r="M20" t="s">
        <v>59</v>
      </c>
      <c r="N20" t="s">
        <v>74</v>
      </c>
      <c r="O20" t="s">
        <v>40</v>
      </c>
      <c r="P20" t="s">
        <v>0</v>
      </c>
      <c r="Q20" t="s">
        <v>45</v>
      </c>
      <c r="R20" t="s">
        <v>77</v>
      </c>
      <c r="S20" t="s">
        <v>81</v>
      </c>
      <c r="T20" t="s">
        <v>126</v>
      </c>
      <c r="U20" t="s">
        <v>127</v>
      </c>
      <c r="V20" t="s">
        <v>48</v>
      </c>
      <c r="W20" t="s">
        <v>27</v>
      </c>
      <c r="X20" t="s">
        <v>37</v>
      </c>
      <c r="Y20" t="s">
        <v>54</v>
      </c>
    </row>
    <row r="21" spans="1:25" x14ac:dyDescent="0.2">
      <c r="A21" t="s">
        <v>127</v>
      </c>
      <c r="B21" t="s">
        <v>45</v>
      </c>
      <c r="C21" t="s">
        <v>126</v>
      </c>
      <c r="D21" t="s">
        <v>59</v>
      </c>
      <c r="E21" t="s">
        <v>61</v>
      </c>
      <c r="F21" t="s">
        <v>64</v>
      </c>
      <c r="G21" t="s">
        <v>74</v>
      </c>
      <c r="H21" t="s">
        <v>27</v>
      </c>
      <c r="I21" t="s">
        <v>54</v>
      </c>
      <c r="J21" t="s">
        <v>77</v>
      </c>
      <c r="K21" t="s">
        <v>39</v>
      </c>
      <c r="L21" t="s">
        <v>90</v>
      </c>
      <c r="M21" t="s">
        <v>40</v>
      </c>
      <c r="N21" t="s">
        <v>81</v>
      </c>
      <c r="O21" t="s">
        <v>79</v>
      </c>
      <c r="P21" t="s">
        <v>69</v>
      </c>
      <c r="Q21" t="s">
        <v>0</v>
      </c>
      <c r="R21" t="s">
        <v>38</v>
      </c>
      <c r="S21" t="s">
        <v>51</v>
      </c>
      <c r="T21" t="s">
        <v>30</v>
      </c>
      <c r="U21" t="s">
        <v>48</v>
      </c>
      <c r="V21" t="s">
        <v>37</v>
      </c>
      <c r="W21" t="s">
        <v>129</v>
      </c>
      <c r="X21" t="s">
        <v>127</v>
      </c>
      <c r="Y21" t="s">
        <v>128</v>
      </c>
    </row>
    <row r="22" spans="1:25" x14ac:dyDescent="0.2">
      <c r="A22" t="s">
        <v>74</v>
      </c>
      <c r="B22" t="s">
        <v>126</v>
      </c>
      <c r="C22" t="s">
        <v>59</v>
      </c>
      <c r="D22" t="s">
        <v>61</v>
      </c>
      <c r="E22" t="s">
        <v>45</v>
      </c>
      <c r="F22" t="s">
        <v>90</v>
      </c>
      <c r="G22" t="s">
        <v>127</v>
      </c>
      <c r="H22" t="s">
        <v>79</v>
      </c>
      <c r="I22" t="s">
        <v>0</v>
      </c>
      <c r="J22" t="s">
        <v>128</v>
      </c>
      <c r="K22" t="s">
        <v>38</v>
      </c>
      <c r="L22" t="s">
        <v>30</v>
      </c>
      <c r="M22" t="s">
        <v>39</v>
      </c>
      <c r="N22" t="s">
        <v>54</v>
      </c>
      <c r="O22" t="s">
        <v>48</v>
      </c>
      <c r="P22" t="s">
        <v>64</v>
      </c>
      <c r="Q22" t="s">
        <v>129</v>
      </c>
      <c r="R22" t="s">
        <v>37</v>
      </c>
      <c r="S22" t="s">
        <v>27</v>
      </c>
      <c r="T22" t="s">
        <v>69</v>
      </c>
      <c r="U22" t="s">
        <v>51</v>
      </c>
      <c r="V22" t="s">
        <v>40</v>
      </c>
      <c r="W22" t="s">
        <v>81</v>
      </c>
      <c r="X22" t="s">
        <v>77</v>
      </c>
      <c r="Y22" t="s">
        <v>74</v>
      </c>
    </row>
    <row r="23" spans="1:25" x14ac:dyDescent="0.2">
      <c r="A23" t="s">
        <v>128</v>
      </c>
      <c r="B23" t="s">
        <v>59</v>
      </c>
      <c r="C23" t="s">
        <v>61</v>
      </c>
      <c r="D23" t="s">
        <v>45</v>
      </c>
      <c r="E23" t="s">
        <v>126</v>
      </c>
      <c r="F23" t="s">
        <v>30</v>
      </c>
      <c r="G23" t="s">
        <v>77</v>
      </c>
      <c r="H23" t="s">
        <v>48</v>
      </c>
      <c r="I23" t="s">
        <v>129</v>
      </c>
      <c r="J23" t="s">
        <v>74</v>
      </c>
      <c r="K23" t="s">
        <v>37</v>
      </c>
      <c r="L23" t="s">
        <v>69</v>
      </c>
      <c r="M23" t="s">
        <v>38</v>
      </c>
      <c r="N23" t="s">
        <v>0</v>
      </c>
      <c r="O23" t="s">
        <v>51</v>
      </c>
      <c r="P23" t="s">
        <v>90</v>
      </c>
      <c r="Q23" t="s">
        <v>81</v>
      </c>
      <c r="R23" t="s">
        <v>40</v>
      </c>
      <c r="S23" t="s">
        <v>79</v>
      </c>
      <c r="T23" t="s">
        <v>64</v>
      </c>
      <c r="U23" t="s">
        <v>27</v>
      </c>
      <c r="V23" t="s">
        <v>39</v>
      </c>
      <c r="W23" t="s">
        <v>54</v>
      </c>
      <c r="X23" t="s">
        <v>128</v>
      </c>
      <c r="Y23" t="s">
        <v>127</v>
      </c>
    </row>
    <row r="24" spans="1:25" x14ac:dyDescent="0.2">
      <c r="A24" t="s">
        <v>77</v>
      </c>
      <c r="B24" t="s">
        <v>61</v>
      </c>
      <c r="C24" t="s">
        <v>45</v>
      </c>
      <c r="D24" t="s">
        <v>126</v>
      </c>
      <c r="E24" t="s">
        <v>59</v>
      </c>
      <c r="F24" t="s">
        <v>69</v>
      </c>
      <c r="G24" t="s">
        <v>128</v>
      </c>
      <c r="H24" t="s">
        <v>51</v>
      </c>
      <c r="I24" t="s">
        <v>81</v>
      </c>
      <c r="J24" t="s">
        <v>127</v>
      </c>
      <c r="K24" t="s">
        <v>40</v>
      </c>
      <c r="L24" t="s">
        <v>64</v>
      </c>
      <c r="M24" t="s">
        <v>37</v>
      </c>
      <c r="N24" t="s">
        <v>129</v>
      </c>
      <c r="O24" t="s">
        <v>27</v>
      </c>
      <c r="P24" t="s">
        <v>30</v>
      </c>
      <c r="Q24" t="s">
        <v>54</v>
      </c>
      <c r="R24" t="s">
        <v>39</v>
      </c>
      <c r="S24" t="s">
        <v>48</v>
      </c>
      <c r="T24" t="s">
        <v>90</v>
      </c>
      <c r="U24" t="s">
        <v>79</v>
      </c>
      <c r="V24" t="s">
        <v>38</v>
      </c>
      <c r="W24" t="s">
        <v>0</v>
      </c>
      <c r="X24" t="s">
        <v>74</v>
      </c>
      <c r="Y24" t="s">
        <v>77</v>
      </c>
    </row>
    <row r="25" spans="1:25" x14ac:dyDescent="0.2">
      <c r="A25" t="s">
        <v>79</v>
      </c>
      <c r="B25" t="s">
        <v>27</v>
      </c>
      <c r="C25" t="s">
        <v>0</v>
      </c>
      <c r="D25" t="s">
        <v>30</v>
      </c>
      <c r="E25" t="s">
        <v>40</v>
      </c>
      <c r="F25" t="s">
        <v>45</v>
      </c>
      <c r="G25" t="s">
        <v>64</v>
      </c>
      <c r="H25" t="s">
        <v>74</v>
      </c>
      <c r="I25" t="s">
        <v>51</v>
      </c>
      <c r="J25" t="s">
        <v>48</v>
      </c>
      <c r="K25" t="s">
        <v>79</v>
      </c>
      <c r="L25" t="s">
        <v>54</v>
      </c>
      <c r="M25" t="s">
        <v>127</v>
      </c>
      <c r="N25" t="s">
        <v>61</v>
      </c>
      <c r="O25" t="s">
        <v>129</v>
      </c>
      <c r="P25" t="s">
        <v>39</v>
      </c>
      <c r="Q25" t="s">
        <v>128</v>
      </c>
      <c r="R25" t="s">
        <v>126</v>
      </c>
      <c r="S25" t="s">
        <v>37</v>
      </c>
      <c r="T25" t="s">
        <v>77</v>
      </c>
      <c r="U25" t="s">
        <v>59</v>
      </c>
      <c r="V25" t="s">
        <v>90</v>
      </c>
      <c r="W25" t="s">
        <v>69</v>
      </c>
      <c r="X25" t="s">
        <v>81</v>
      </c>
      <c r="Y25" t="s">
        <v>38</v>
      </c>
    </row>
    <row r="26" spans="1:25" x14ac:dyDescent="0.2">
      <c r="A26" t="s">
        <v>27</v>
      </c>
      <c r="B26" t="s">
        <v>79</v>
      </c>
      <c r="C26" t="s">
        <v>129</v>
      </c>
      <c r="D26" t="s">
        <v>69</v>
      </c>
      <c r="E26" t="s">
        <v>39</v>
      </c>
      <c r="F26" t="s">
        <v>126</v>
      </c>
      <c r="G26" t="s">
        <v>90</v>
      </c>
      <c r="H26" t="s">
        <v>127</v>
      </c>
      <c r="I26" t="s">
        <v>27</v>
      </c>
      <c r="J26" t="s">
        <v>51</v>
      </c>
      <c r="K26" t="s">
        <v>48</v>
      </c>
      <c r="L26" t="s">
        <v>0</v>
      </c>
      <c r="M26" t="s">
        <v>77</v>
      </c>
      <c r="N26" t="s">
        <v>45</v>
      </c>
      <c r="O26" t="s">
        <v>81</v>
      </c>
      <c r="P26" t="s">
        <v>38</v>
      </c>
      <c r="Q26" t="s">
        <v>74</v>
      </c>
      <c r="R26" t="s">
        <v>59</v>
      </c>
      <c r="S26" t="s">
        <v>40</v>
      </c>
      <c r="T26" t="s">
        <v>128</v>
      </c>
      <c r="U26" t="s">
        <v>61</v>
      </c>
      <c r="V26" t="s">
        <v>30</v>
      </c>
      <c r="W26" t="s">
        <v>64</v>
      </c>
      <c r="X26" t="s">
        <v>54</v>
      </c>
      <c r="Y26" t="s">
        <v>37</v>
      </c>
    </row>
    <row r="27" spans="1:25" x14ac:dyDescent="0.2">
      <c r="A27" t="s">
        <v>51</v>
      </c>
      <c r="B27" t="s">
        <v>48</v>
      </c>
      <c r="C27" t="s">
        <v>81</v>
      </c>
      <c r="D27" t="s">
        <v>64</v>
      </c>
      <c r="E27" t="s">
        <v>38</v>
      </c>
      <c r="F27" t="s">
        <v>59</v>
      </c>
      <c r="G27" t="s">
        <v>30</v>
      </c>
      <c r="H27" t="s">
        <v>77</v>
      </c>
      <c r="I27" t="s">
        <v>79</v>
      </c>
      <c r="J27" t="s">
        <v>27</v>
      </c>
      <c r="K27" t="s">
        <v>51</v>
      </c>
      <c r="L27" t="s">
        <v>129</v>
      </c>
      <c r="M27" t="s">
        <v>128</v>
      </c>
      <c r="N27" t="s">
        <v>126</v>
      </c>
      <c r="O27" t="s">
        <v>54</v>
      </c>
      <c r="P27" t="s">
        <v>37</v>
      </c>
      <c r="Q27" t="s">
        <v>127</v>
      </c>
      <c r="R27" t="s">
        <v>61</v>
      </c>
      <c r="S27" t="s">
        <v>39</v>
      </c>
      <c r="T27" t="s">
        <v>74</v>
      </c>
      <c r="U27" t="s">
        <v>45</v>
      </c>
      <c r="V27" t="s">
        <v>69</v>
      </c>
      <c r="W27" t="s">
        <v>90</v>
      </c>
      <c r="X27" t="s">
        <v>0</v>
      </c>
      <c r="Y27" t="s">
        <v>40</v>
      </c>
    </row>
    <row r="28" spans="1:25" x14ac:dyDescent="0.2">
      <c r="A28" t="s">
        <v>48</v>
      </c>
      <c r="B28" t="s">
        <v>51</v>
      </c>
      <c r="C28" t="s">
        <v>54</v>
      </c>
      <c r="D28" t="s">
        <v>90</v>
      </c>
      <c r="E28" t="s">
        <v>37</v>
      </c>
      <c r="F28" t="s">
        <v>61</v>
      </c>
      <c r="G28" t="s">
        <v>69</v>
      </c>
      <c r="H28" t="s">
        <v>128</v>
      </c>
      <c r="I28" t="s">
        <v>48</v>
      </c>
      <c r="J28" t="s">
        <v>79</v>
      </c>
      <c r="K28" t="s">
        <v>27</v>
      </c>
      <c r="L28" t="s">
        <v>81</v>
      </c>
      <c r="M28" t="s">
        <v>74</v>
      </c>
      <c r="N28" t="s">
        <v>59</v>
      </c>
      <c r="O28" t="s">
        <v>0</v>
      </c>
      <c r="P28" t="s">
        <v>40</v>
      </c>
      <c r="Q28" t="s">
        <v>77</v>
      </c>
      <c r="R28" t="s">
        <v>45</v>
      </c>
      <c r="S28" t="s">
        <v>38</v>
      </c>
      <c r="T28" t="s">
        <v>127</v>
      </c>
      <c r="U28" t="s">
        <v>126</v>
      </c>
      <c r="V28" t="s">
        <v>64</v>
      </c>
      <c r="W28" t="s">
        <v>30</v>
      </c>
      <c r="X28" t="s">
        <v>129</v>
      </c>
      <c r="Y28" t="s">
        <v>39</v>
      </c>
    </row>
    <row r="29" spans="1:25" x14ac:dyDescent="0.2">
      <c r="A29" t="s">
        <v>54</v>
      </c>
      <c r="B29" t="s">
        <v>81</v>
      </c>
      <c r="C29" t="s">
        <v>64</v>
      </c>
      <c r="D29" t="s">
        <v>38</v>
      </c>
      <c r="E29" t="s">
        <v>48</v>
      </c>
      <c r="F29" t="s">
        <v>129</v>
      </c>
      <c r="G29" t="s">
        <v>0</v>
      </c>
      <c r="H29" t="s">
        <v>54</v>
      </c>
      <c r="I29" t="s">
        <v>127</v>
      </c>
      <c r="J29" t="s">
        <v>40</v>
      </c>
      <c r="K29" t="s">
        <v>61</v>
      </c>
      <c r="L29" t="s">
        <v>74</v>
      </c>
      <c r="M29" t="s">
        <v>51</v>
      </c>
      <c r="N29" t="s">
        <v>79</v>
      </c>
      <c r="O29" t="s">
        <v>45</v>
      </c>
      <c r="P29" t="s">
        <v>59</v>
      </c>
      <c r="Q29" t="s">
        <v>90</v>
      </c>
      <c r="R29" t="s">
        <v>69</v>
      </c>
      <c r="S29" t="s">
        <v>77</v>
      </c>
      <c r="T29" t="s">
        <v>37</v>
      </c>
      <c r="U29" t="s">
        <v>39</v>
      </c>
      <c r="V29" t="s">
        <v>128</v>
      </c>
      <c r="W29" t="s">
        <v>126</v>
      </c>
      <c r="X29" t="s">
        <v>27</v>
      </c>
      <c r="Y29" t="s">
        <v>30</v>
      </c>
    </row>
    <row r="30" spans="1:25" x14ac:dyDescent="0.2">
      <c r="A30" t="s">
        <v>81</v>
      </c>
      <c r="B30" t="s">
        <v>54</v>
      </c>
      <c r="C30" t="s">
        <v>90</v>
      </c>
      <c r="D30" t="s">
        <v>37</v>
      </c>
      <c r="E30" t="s">
        <v>51</v>
      </c>
      <c r="F30" t="s">
        <v>81</v>
      </c>
      <c r="G30" t="s">
        <v>129</v>
      </c>
      <c r="H30" t="s">
        <v>0</v>
      </c>
      <c r="I30" t="s">
        <v>77</v>
      </c>
      <c r="J30" t="s">
        <v>39</v>
      </c>
      <c r="K30" t="s">
        <v>45</v>
      </c>
      <c r="L30" t="s">
        <v>127</v>
      </c>
      <c r="M30" t="s">
        <v>27</v>
      </c>
      <c r="N30" t="s">
        <v>48</v>
      </c>
      <c r="O30" t="s">
        <v>126</v>
      </c>
      <c r="P30" t="s">
        <v>61</v>
      </c>
      <c r="Q30" t="s">
        <v>30</v>
      </c>
      <c r="R30" t="s">
        <v>64</v>
      </c>
      <c r="S30" t="s">
        <v>128</v>
      </c>
      <c r="T30" t="s">
        <v>40</v>
      </c>
      <c r="U30" t="s">
        <v>38</v>
      </c>
      <c r="V30" t="s">
        <v>74</v>
      </c>
      <c r="W30" t="s">
        <v>59</v>
      </c>
      <c r="X30" t="s">
        <v>79</v>
      </c>
      <c r="Y30" t="s">
        <v>69</v>
      </c>
    </row>
    <row r="31" spans="1:25" x14ac:dyDescent="0.2">
      <c r="A31" t="s">
        <v>129</v>
      </c>
      <c r="B31" t="s">
        <v>0</v>
      </c>
      <c r="C31" t="s">
        <v>30</v>
      </c>
      <c r="D31" t="s">
        <v>40</v>
      </c>
      <c r="E31" t="s">
        <v>27</v>
      </c>
      <c r="F31" t="s">
        <v>54</v>
      </c>
      <c r="G31" t="s">
        <v>81</v>
      </c>
      <c r="H31" t="s">
        <v>129</v>
      </c>
      <c r="I31" t="s">
        <v>128</v>
      </c>
      <c r="J31" t="s">
        <v>38</v>
      </c>
      <c r="K31" t="s">
        <v>126</v>
      </c>
      <c r="L31" t="s">
        <v>77</v>
      </c>
      <c r="M31" t="s">
        <v>79</v>
      </c>
      <c r="N31" t="s">
        <v>51</v>
      </c>
      <c r="O31" t="s">
        <v>59</v>
      </c>
      <c r="P31" t="s">
        <v>45</v>
      </c>
      <c r="Q31" t="s">
        <v>69</v>
      </c>
      <c r="R31" t="s">
        <v>90</v>
      </c>
      <c r="S31" t="s">
        <v>74</v>
      </c>
      <c r="T31" t="s">
        <v>39</v>
      </c>
      <c r="U31" t="s">
        <v>37</v>
      </c>
      <c r="V31" t="s">
        <v>127</v>
      </c>
      <c r="W31" t="s">
        <v>61</v>
      </c>
      <c r="X31" t="s">
        <v>48</v>
      </c>
      <c r="Y31" t="s">
        <v>64</v>
      </c>
    </row>
    <row r="32" spans="1:25" x14ac:dyDescent="0.2">
      <c r="A32" t="s">
        <v>0</v>
      </c>
      <c r="B32" t="s">
        <v>129</v>
      </c>
      <c r="C32" t="s">
        <v>69</v>
      </c>
      <c r="D32" t="s">
        <v>39</v>
      </c>
      <c r="E32" t="s">
        <v>79</v>
      </c>
      <c r="F32" t="s">
        <v>0</v>
      </c>
      <c r="G32" t="s">
        <v>54</v>
      </c>
      <c r="H32" t="s">
        <v>81</v>
      </c>
      <c r="I32" t="s">
        <v>74</v>
      </c>
      <c r="J32" t="s">
        <v>37</v>
      </c>
      <c r="K32" t="s">
        <v>59</v>
      </c>
      <c r="L32" t="s">
        <v>128</v>
      </c>
      <c r="M32" t="s">
        <v>48</v>
      </c>
      <c r="N32" t="s">
        <v>27</v>
      </c>
      <c r="O32" t="s">
        <v>61</v>
      </c>
      <c r="P32" t="s">
        <v>126</v>
      </c>
      <c r="Q32" t="s">
        <v>64</v>
      </c>
      <c r="R32" t="s">
        <v>30</v>
      </c>
      <c r="S32" t="s">
        <v>127</v>
      </c>
      <c r="T32" t="s">
        <v>38</v>
      </c>
      <c r="U32" t="s">
        <v>40</v>
      </c>
      <c r="V32" t="s">
        <v>77</v>
      </c>
      <c r="W32" t="s">
        <v>45</v>
      </c>
      <c r="X32" t="s">
        <v>51</v>
      </c>
      <c r="Y32" t="s">
        <v>90</v>
      </c>
    </row>
    <row r="33" spans="1:25" x14ac:dyDescent="0.2">
      <c r="A33" t="s">
        <v>33</v>
      </c>
      <c r="B33" t="s">
        <v>33</v>
      </c>
      <c r="C33" t="s">
        <v>135</v>
      </c>
      <c r="D33" t="s">
        <v>53</v>
      </c>
      <c r="E33" t="s">
        <v>132</v>
      </c>
      <c r="F33" t="s">
        <v>36</v>
      </c>
      <c r="G33" t="s">
        <v>35</v>
      </c>
      <c r="H33" t="s">
        <v>34</v>
      </c>
      <c r="I33" t="s">
        <v>131</v>
      </c>
      <c r="J33" t="s">
        <v>137</v>
      </c>
      <c r="K33" t="s">
        <v>73</v>
      </c>
      <c r="L33" t="s">
        <v>60</v>
      </c>
      <c r="M33" t="s">
        <v>67</v>
      </c>
      <c r="N33" t="s">
        <v>44</v>
      </c>
      <c r="O33" t="s">
        <v>134</v>
      </c>
      <c r="P33" t="s">
        <v>133</v>
      </c>
      <c r="Q33" t="s">
        <v>136</v>
      </c>
      <c r="R33" t="s">
        <v>46</v>
      </c>
      <c r="S33" t="s">
        <v>130</v>
      </c>
      <c r="T33" t="s">
        <v>88</v>
      </c>
      <c r="U33" t="s">
        <v>138</v>
      </c>
      <c r="V33" t="s">
        <v>47</v>
      </c>
      <c r="W33" t="s">
        <v>87</v>
      </c>
      <c r="X33" t="s">
        <v>86</v>
      </c>
      <c r="Y33" t="s">
        <v>80</v>
      </c>
    </row>
    <row r="34" spans="1:25" x14ac:dyDescent="0.2">
      <c r="A34" t="s">
        <v>34</v>
      </c>
      <c r="B34" t="s">
        <v>36</v>
      </c>
      <c r="C34" t="s">
        <v>46</v>
      </c>
      <c r="D34" t="s">
        <v>138</v>
      </c>
      <c r="E34" t="s">
        <v>44</v>
      </c>
      <c r="F34" t="s">
        <v>35</v>
      </c>
      <c r="G34" t="s">
        <v>34</v>
      </c>
      <c r="H34" t="s">
        <v>33</v>
      </c>
      <c r="I34" t="s">
        <v>60</v>
      </c>
      <c r="J34" t="s">
        <v>88</v>
      </c>
      <c r="K34" t="s">
        <v>133</v>
      </c>
      <c r="L34" t="s">
        <v>47</v>
      </c>
      <c r="M34" t="s">
        <v>132</v>
      </c>
      <c r="N34" t="s">
        <v>86</v>
      </c>
      <c r="O34" t="s">
        <v>73</v>
      </c>
      <c r="P34" t="s">
        <v>87</v>
      </c>
      <c r="Q34" t="s">
        <v>135</v>
      </c>
      <c r="R34" t="s">
        <v>80</v>
      </c>
      <c r="S34" t="s">
        <v>131</v>
      </c>
      <c r="T34" t="s">
        <v>53</v>
      </c>
      <c r="U34" t="s">
        <v>137</v>
      </c>
      <c r="V34" t="s">
        <v>130</v>
      </c>
      <c r="W34" t="s">
        <v>134</v>
      </c>
      <c r="X34" t="s">
        <v>67</v>
      </c>
      <c r="Y34" t="s">
        <v>136</v>
      </c>
    </row>
    <row r="35" spans="1:25" x14ac:dyDescent="0.2">
      <c r="A35" t="s">
        <v>35</v>
      </c>
      <c r="B35" t="s">
        <v>35</v>
      </c>
      <c r="C35" t="s">
        <v>80</v>
      </c>
      <c r="D35" t="s">
        <v>137</v>
      </c>
      <c r="E35" t="s">
        <v>86</v>
      </c>
      <c r="F35" t="s">
        <v>34</v>
      </c>
      <c r="G35" t="s">
        <v>33</v>
      </c>
      <c r="H35" t="s">
        <v>36</v>
      </c>
      <c r="I35" t="s">
        <v>47</v>
      </c>
      <c r="J35" t="s">
        <v>53</v>
      </c>
      <c r="K35" t="s">
        <v>87</v>
      </c>
      <c r="L35" t="s">
        <v>130</v>
      </c>
      <c r="M35" t="s">
        <v>44</v>
      </c>
      <c r="N35" t="s">
        <v>67</v>
      </c>
      <c r="O35" t="s">
        <v>133</v>
      </c>
      <c r="P35" t="s">
        <v>134</v>
      </c>
      <c r="Q35" t="s">
        <v>46</v>
      </c>
      <c r="R35" t="s">
        <v>136</v>
      </c>
      <c r="S35" t="s">
        <v>60</v>
      </c>
      <c r="T35" t="s">
        <v>138</v>
      </c>
      <c r="U35" t="s">
        <v>88</v>
      </c>
      <c r="V35" t="s">
        <v>131</v>
      </c>
      <c r="W35" t="s">
        <v>73</v>
      </c>
      <c r="X35" t="s">
        <v>132</v>
      </c>
      <c r="Y35" t="s">
        <v>135</v>
      </c>
    </row>
    <row r="36" spans="1:25" x14ac:dyDescent="0.2">
      <c r="A36" t="s">
        <v>36</v>
      </c>
      <c r="B36" t="s">
        <v>34</v>
      </c>
      <c r="C36" t="s">
        <v>136</v>
      </c>
      <c r="D36" t="s">
        <v>88</v>
      </c>
      <c r="E36" t="s">
        <v>67</v>
      </c>
      <c r="F36" t="s">
        <v>33</v>
      </c>
      <c r="G36" t="s">
        <v>36</v>
      </c>
      <c r="H36" t="s">
        <v>35</v>
      </c>
      <c r="I36" t="s">
        <v>130</v>
      </c>
      <c r="J36" t="s">
        <v>138</v>
      </c>
      <c r="K36" t="s">
        <v>134</v>
      </c>
      <c r="L36" t="s">
        <v>131</v>
      </c>
      <c r="M36" t="s">
        <v>86</v>
      </c>
      <c r="N36" t="s">
        <v>132</v>
      </c>
      <c r="O36" t="s">
        <v>87</v>
      </c>
      <c r="P36" t="s">
        <v>73</v>
      </c>
      <c r="Q36" t="s">
        <v>80</v>
      </c>
      <c r="R36" t="s">
        <v>135</v>
      </c>
      <c r="S36" t="s">
        <v>47</v>
      </c>
      <c r="T36" t="s">
        <v>137</v>
      </c>
      <c r="U36" t="s">
        <v>53</v>
      </c>
      <c r="V36" t="s">
        <v>60</v>
      </c>
      <c r="W36" t="s">
        <v>133</v>
      </c>
      <c r="X36" t="s">
        <v>44</v>
      </c>
      <c r="Y36" t="s">
        <v>46</v>
      </c>
    </row>
    <row r="37" spans="1:25" x14ac:dyDescent="0.2">
      <c r="A37" t="s">
        <v>130</v>
      </c>
      <c r="B37" t="s">
        <v>133</v>
      </c>
      <c r="C37" t="s">
        <v>73</v>
      </c>
      <c r="D37" t="s">
        <v>134</v>
      </c>
      <c r="E37" t="s">
        <v>87</v>
      </c>
      <c r="F37" t="s">
        <v>80</v>
      </c>
      <c r="G37" t="s">
        <v>130</v>
      </c>
      <c r="H37" t="s">
        <v>132</v>
      </c>
      <c r="I37" t="s">
        <v>36</v>
      </c>
      <c r="J37" t="s">
        <v>60</v>
      </c>
      <c r="K37" t="s">
        <v>88</v>
      </c>
      <c r="L37" t="s">
        <v>46</v>
      </c>
      <c r="M37" t="s">
        <v>53</v>
      </c>
      <c r="N37" t="s">
        <v>35</v>
      </c>
      <c r="O37" t="s">
        <v>67</v>
      </c>
      <c r="P37" t="s">
        <v>136</v>
      </c>
      <c r="Q37" t="s">
        <v>33</v>
      </c>
      <c r="R37" t="s">
        <v>137</v>
      </c>
      <c r="S37" t="s">
        <v>44</v>
      </c>
      <c r="T37" t="s">
        <v>135</v>
      </c>
      <c r="U37" t="s">
        <v>86</v>
      </c>
      <c r="V37" t="s">
        <v>138</v>
      </c>
      <c r="W37" t="s">
        <v>34</v>
      </c>
      <c r="X37" t="s">
        <v>47</v>
      </c>
      <c r="Y37" t="s">
        <v>131</v>
      </c>
    </row>
    <row r="38" spans="1:25" x14ac:dyDescent="0.2">
      <c r="A38" t="s">
        <v>47</v>
      </c>
      <c r="B38" t="s">
        <v>87</v>
      </c>
      <c r="C38" t="s">
        <v>133</v>
      </c>
      <c r="D38" t="s">
        <v>73</v>
      </c>
      <c r="E38" t="s">
        <v>134</v>
      </c>
      <c r="F38" t="s">
        <v>136</v>
      </c>
      <c r="G38" t="s">
        <v>131</v>
      </c>
      <c r="H38" t="s">
        <v>44</v>
      </c>
      <c r="I38" t="s">
        <v>35</v>
      </c>
      <c r="J38" t="s">
        <v>47</v>
      </c>
      <c r="K38" t="s">
        <v>53</v>
      </c>
      <c r="L38" t="s">
        <v>80</v>
      </c>
      <c r="M38" t="s">
        <v>138</v>
      </c>
      <c r="N38" t="s">
        <v>34</v>
      </c>
      <c r="O38" t="s">
        <v>132</v>
      </c>
      <c r="P38" t="s">
        <v>135</v>
      </c>
      <c r="Q38" t="s">
        <v>36</v>
      </c>
      <c r="R38" t="s">
        <v>88</v>
      </c>
      <c r="S38" t="s">
        <v>86</v>
      </c>
      <c r="T38" t="s">
        <v>46</v>
      </c>
      <c r="U38" t="s">
        <v>67</v>
      </c>
      <c r="V38" t="s">
        <v>137</v>
      </c>
      <c r="W38" t="s">
        <v>33</v>
      </c>
      <c r="X38" t="s">
        <v>130</v>
      </c>
      <c r="Y38" t="s">
        <v>60</v>
      </c>
    </row>
    <row r="39" spans="1:25" x14ac:dyDescent="0.2">
      <c r="A39" t="s">
        <v>60</v>
      </c>
      <c r="B39" t="s">
        <v>134</v>
      </c>
      <c r="C39" t="s">
        <v>87</v>
      </c>
      <c r="D39" t="s">
        <v>133</v>
      </c>
      <c r="E39" t="s">
        <v>73</v>
      </c>
      <c r="F39" t="s">
        <v>135</v>
      </c>
      <c r="G39" t="s">
        <v>60</v>
      </c>
      <c r="H39" t="s">
        <v>86</v>
      </c>
      <c r="I39" t="s">
        <v>34</v>
      </c>
      <c r="J39" t="s">
        <v>130</v>
      </c>
      <c r="K39" t="s">
        <v>138</v>
      </c>
      <c r="L39" t="s">
        <v>136</v>
      </c>
      <c r="M39" t="s">
        <v>137</v>
      </c>
      <c r="N39" t="s">
        <v>33</v>
      </c>
      <c r="O39" t="s">
        <v>44</v>
      </c>
      <c r="P39" t="s">
        <v>46</v>
      </c>
      <c r="Q39" t="s">
        <v>35</v>
      </c>
      <c r="R39" t="s">
        <v>53</v>
      </c>
      <c r="S39" t="s">
        <v>67</v>
      </c>
      <c r="T39" t="s">
        <v>80</v>
      </c>
      <c r="U39" t="s">
        <v>132</v>
      </c>
      <c r="V39" t="s">
        <v>88</v>
      </c>
      <c r="W39" t="s">
        <v>36</v>
      </c>
      <c r="X39" t="s">
        <v>131</v>
      </c>
      <c r="Y39" t="s">
        <v>47</v>
      </c>
    </row>
    <row r="40" spans="1:25" x14ac:dyDescent="0.2">
      <c r="A40" t="s">
        <v>131</v>
      </c>
      <c r="B40" t="s">
        <v>73</v>
      </c>
      <c r="C40" t="s">
        <v>134</v>
      </c>
      <c r="D40" t="s">
        <v>87</v>
      </c>
      <c r="E40" t="s">
        <v>133</v>
      </c>
      <c r="F40" t="s">
        <v>46</v>
      </c>
      <c r="G40" t="s">
        <v>47</v>
      </c>
      <c r="H40" t="s">
        <v>67</v>
      </c>
      <c r="I40" t="s">
        <v>33</v>
      </c>
      <c r="J40" t="s">
        <v>131</v>
      </c>
      <c r="K40" t="s">
        <v>137</v>
      </c>
      <c r="L40" t="s">
        <v>135</v>
      </c>
      <c r="M40" t="s">
        <v>88</v>
      </c>
      <c r="N40" t="s">
        <v>36</v>
      </c>
      <c r="O40" t="s">
        <v>86</v>
      </c>
      <c r="P40" t="s">
        <v>80</v>
      </c>
      <c r="Q40" t="s">
        <v>34</v>
      </c>
      <c r="R40" t="s">
        <v>138</v>
      </c>
      <c r="S40" t="s">
        <v>132</v>
      </c>
      <c r="T40" t="s">
        <v>136</v>
      </c>
      <c r="U40" t="s">
        <v>44</v>
      </c>
      <c r="V40" t="s">
        <v>53</v>
      </c>
      <c r="W40" t="s">
        <v>35</v>
      </c>
      <c r="X40" t="s">
        <v>60</v>
      </c>
      <c r="Y40" t="s">
        <v>130</v>
      </c>
    </row>
    <row r="41" spans="1:25" x14ac:dyDescent="0.2">
      <c r="A41" t="s">
        <v>132</v>
      </c>
      <c r="B41" t="s">
        <v>132</v>
      </c>
      <c r="C41" t="s">
        <v>33</v>
      </c>
      <c r="D41" t="s">
        <v>135</v>
      </c>
      <c r="E41" t="s">
        <v>53</v>
      </c>
      <c r="F41" t="s">
        <v>133</v>
      </c>
      <c r="G41" t="s">
        <v>80</v>
      </c>
      <c r="H41" t="s">
        <v>130</v>
      </c>
      <c r="I41" t="s">
        <v>44</v>
      </c>
      <c r="J41" t="s">
        <v>86</v>
      </c>
      <c r="K41" t="s">
        <v>67</v>
      </c>
      <c r="L41" t="s">
        <v>36</v>
      </c>
      <c r="M41" t="s">
        <v>47</v>
      </c>
      <c r="N41" t="s">
        <v>87</v>
      </c>
      <c r="O41" t="s">
        <v>34</v>
      </c>
      <c r="P41" t="s">
        <v>88</v>
      </c>
      <c r="Q41" t="s">
        <v>131</v>
      </c>
      <c r="R41" t="s">
        <v>73</v>
      </c>
      <c r="S41" t="s">
        <v>138</v>
      </c>
      <c r="T41" t="s">
        <v>60</v>
      </c>
      <c r="U41" t="s">
        <v>134</v>
      </c>
      <c r="V41" t="s">
        <v>46</v>
      </c>
      <c r="W41" t="s">
        <v>136</v>
      </c>
      <c r="X41" t="s">
        <v>35</v>
      </c>
      <c r="Y41" t="s">
        <v>137</v>
      </c>
    </row>
    <row r="42" spans="1:25" x14ac:dyDescent="0.2">
      <c r="A42" t="s">
        <v>67</v>
      </c>
      <c r="B42" t="s">
        <v>44</v>
      </c>
      <c r="C42" t="s">
        <v>36</v>
      </c>
      <c r="D42" t="s">
        <v>46</v>
      </c>
      <c r="E42" t="s">
        <v>138</v>
      </c>
      <c r="F42" t="s">
        <v>87</v>
      </c>
      <c r="G42" t="s">
        <v>136</v>
      </c>
      <c r="H42" t="s">
        <v>131</v>
      </c>
      <c r="I42" t="s">
        <v>86</v>
      </c>
      <c r="J42" t="s">
        <v>67</v>
      </c>
      <c r="K42" t="s">
        <v>132</v>
      </c>
      <c r="L42" t="s">
        <v>35</v>
      </c>
      <c r="M42" t="s">
        <v>130</v>
      </c>
      <c r="N42" t="s">
        <v>134</v>
      </c>
      <c r="O42" t="s">
        <v>33</v>
      </c>
      <c r="P42" t="s">
        <v>53</v>
      </c>
      <c r="Q42" t="s">
        <v>60</v>
      </c>
      <c r="R42" t="s">
        <v>133</v>
      </c>
      <c r="S42" t="s">
        <v>137</v>
      </c>
      <c r="T42" t="s">
        <v>47</v>
      </c>
      <c r="U42" t="s">
        <v>73</v>
      </c>
      <c r="V42" t="s">
        <v>80</v>
      </c>
      <c r="W42" t="s">
        <v>135</v>
      </c>
      <c r="X42" t="s">
        <v>34</v>
      </c>
      <c r="Y42" t="s">
        <v>88</v>
      </c>
    </row>
    <row r="43" spans="1:25" x14ac:dyDescent="0.2">
      <c r="A43" t="s">
        <v>86</v>
      </c>
      <c r="B43" t="s">
        <v>86</v>
      </c>
      <c r="C43" t="s">
        <v>35</v>
      </c>
      <c r="D43" t="s">
        <v>80</v>
      </c>
      <c r="E43" t="s">
        <v>137</v>
      </c>
      <c r="F43" t="s">
        <v>134</v>
      </c>
      <c r="G43" t="s">
        <v>135</v>
      </c>
      <c r="H43" t="s">
        <v>60</v>
      </c>
      <c r="I43" t="s">
        <v>67</v>
      </c>
      <c r="J43" t="s">
        <v>132</v>
      </c>
      <c r="K43" t="s">
        <v>44</v>
      </c>
      <c r="L43" t="s">
        <v>34</v>
      </c>
      <c r="M43" t="s">
        <v>131</v>
      </c>
      <c r="N43" t="s">
        <v>73</v>
      </c>
      <c r="O43" t="s">
        <v>36</v>
      </c>
      <c r="P43" t="s">
        <v>138</v>
      </c>
      <c r="Q43" t="s">
        <v>47</v>
      </c>
      <c r="R43" t="s">
        <v>87</v>
      </c>
      <c r="S43" t="s">
        <v>88</v>
      </c>
      <c r="T43" t="s">
        <v>130</v>
      </c>
      <c r="U43" t="s">
        <v>133</v>
      </c>
      <c r="V43" t="s">
        <v>136</v>
      </c>
      <c r="W43" t="s">
        <v>46</v>
      </c>
      <c r="X43" t="s">
        <v>33</v>
      </c>
      <c r="Y43" t="s">
        <v>53</v>
      </c>
    </row>
    <row r="44" spans="1:25" x14ac:dyDescent="0.2">
      <c r="A44" t="s">
        <v>44</v>
      </c>
      <c r="B44" t="s">
        <v>67</v>
      </c>
      <c r="C44" t="s">
        <v>34</v>
      </c>
      <c r="D44" t="s">
        <v>136</v>
      </c>
      <c r="E44" t="s">
        <v>88</v>
      </c>
      <c r="F44" t="s">
        <v>73</v>
      </c>
      <c r="G44" t="s">
        <v>46</v>
      </c>
      <c r="H44" t="s">
        <v>47</v>
      </c>
      <c r="I44" t="s">
        <v>132</v>
      </c>
      <c r="J44" t="s">
        <v>44</v>
      </c>
      <c r="K44" t="s">
        <v>86</v>
      </c>
      <c r="L44" t="s">
        <v>33</v>
      </c>
      <c r="M44" t="s">
        <v>60</v>
      </c>
      <c r="N44" t="s">
        <v>133</v>
      </c>
      <c r="O44" t="s">
        <v>35</v>
      </c>
      <c r="P44" t="s">
        <v>137</v>
      </c>
      <c r="Q44" t="s">
        <v>130</v>
      </c>
      <c r="R44" t="s">
        <v>134</v>
      </c>
      <c r="S44" t="s">
        <v>53</v>
      </c>
      <c r="T44" t="s">
        <v>131</v>
      </c>
      <c r="U44" t="s">
        <v>87</v>
      </c>
      <c r="V44" t="s">
        <v>135</v>
      </c>
      <c r="W44" t="s">
        <v>80</v>
      </c>
      <c r="X44" t="s">
        <v>36</v>
      </c>
      <c r="Y44" t="s">
        <v>138</v>
      </c>
    </row>
    <row r="45" spans="1:25" x14ac:dyDescent="0.2">
      <c r="A45" t="s">
        <v>133</v>
      </c>
      <c r="B45" t="s">
        <v>130</v>
      </c>
      <c r="C45" t="s">
        <v>131</v>
      </c>
      <c r="D45" t="s">
        <v>60</v>
      </c>
      <c r="E45" t="s">
        <v>47</v>
      </c>
      <c r="F45" t="s">
        <v>132</v>
      </c>
      <c r="G45" t="s">
        <v>133</v>
      </c>
      <c r="H45" t="s">
        <v>80</v>
      </c>
      <c r="I45" t="s">
        <v>138</v>
      </c>
      <c r="J45" t="s">
        <v>134</v>
      </c>
      <c r="K45" t="s">
        <v>34</v>
      </c>
      <c r="L45" t="s">
        <v>44</v>
      </c>
      <c r="M45" t="s">
        <v>35</v>
      </c>
      <c r="N45" t="s">
        <v>53</v>
      </c>
      <c r="O45" t="s">
        <v>136</v>
      </c>
      <c r="P45" t="s">
        <v>67</v>
      </c>
      <c r="Q45" t="s">
        <v>137</v>
      </c>
      <c r="R45" t="s">
        <v>33</v>
      </c>
      <c r="S45" t="s">
        <v>46</v>
      </c>
      <c r="T45" t="s">
        <v>86</v>
      </c>
      <c r="U45" t="s">
        <v>135</v>
      </c>
      <c r="V45" t="s">
        <v>36</v>
      </c>
      <c r="W45" t="s">
        <v>88</v>
      </c>
      <c r="X45" t="s">
        <v>87</v>
      </c>
      <c r="Y45" t="s">
        <v>73</v>
      </c>
    </row>
    <row r="46" spans="1:25" x14ac:dyDescent="0.2">
      <c r="A46" t="s">
        <v>73</v>
      </c>
      <c r="B46" t="s">
        <v>131</v>
      </c>
      <c r="C46" t="s">
        <v>60</v>
      </c>
      <c r="D46" t="s">
        <v>47</v>
      </c>
      <c r="E46" t="s">
        <v>130</v>
      </c>
      <c r="F46" t="s">
        <v>44</v>
      </c>
      <c r="G46" t="s">
        <v>87</v>
      </c>
      <c r="H46" t="s">
        <v>136</v>
      </c>
      <c r="I46" t="s">
        <v>137</v>
      </c>
      <c r="J46" t="s">
        <v>73</v>
      </c>
      <c r="K46" t="s">
        <v>33</v>
      </c>
      <c r="L46" t="s">
        <v>86</v>
      </c>
      <c r="M46" t="s">
        <v>34</v>
      </c>
      <c r="N46" t="s">
        <v>138</v>
      </c>
      <c r="O46" t="s">
        <v>135</v>
      </c>
      <c r="P46" t="s">
        <v>132</v>
      </c>
      <c r="Q46" t="s">
        <v>88</v>
      </c>
      <c r="R46" t="s">
        <v>36</v>
      </c>
      <c r="S46" t="s">
        <v>80</v>
      </c>
      <c r="T46" t="s">
        <v>67</v>
      </c>
      <c r="U46" t="s">
        <v>46</v>
      </c>
      <c r="V46" t="s">
        <v>35</v>
      </c>
      <c r="W46" t="s">
        <v>53</v>
      </c>
      <c r="X46" t="s">
        <v>134</v>
      </c>
      <c r="Y46" t="s">
        <v>133</v>
      </c>
    </row>
    <row r="47" spans="1:25" x14ac:dyDescent="0.2">
      <c r="A47" t="s">
        <v>134</v>
      </c>
      <c r="B47" t="s">
        <v>60</v>
      </c>
      <c r="C47" t="s">
        <v>47</v>
      </c>
      <c r="D47" t="s">
        <v>130</v>
      </c>
      <c r="E47" t="s">
        <v>131</v>
      </c>
      <c r="F47" t="s">
        <v>86</v>
      </c>
      <c r="G47" t="s">
        <v>134</v>
      </c>
      <c r="H47" t="s">
        <v>135</v>
      </c>
      <c r="I47" t="s">
        <v>88</v>
      </c>
      <c r="J47" t="s">
        <v>133</v>
      </c>
      <c r="K47" t="s">
        <v>36</v>
      </c>
      <c r="L47" t="s">
        <v>67</v>
      </c>
      <c r="M47" t="s">
        <v>33</v>
      </c>
      <c r="N47" t="s">
        <v>137</v>
      </c>
      <c r="O47" t="s">
        <v>46</v>
      </c>
      <c r="P47" t="s">
        <v>44</v>
      </c>
      <c r="Q47" t="s">
        <v>53</v>
      </c>
      <c r="R47" t="s">
        <v>35</v>
      </c>
      <c r="S47" t="s">
        <v>136</v>
      </c>
      <c r="T47" t="s">
        <v>132</v>
      </c>
      <c r="U47" t="s">
        <v>80</v>
      </c>
      <c r="V47" t="s">
        <v>34</v>
      </c>
      <c r="W47" t="s">
        <v>138</v>
      </c>
      <c r="X47" t="s">
        <v>73</v>
      </c>
      <c r="Y47" t="s">
        <v>87</v>
      </c>
    </row>
    <row r="48" spans="1:25" x14ac:dyDescent="0.2">
      <c r="A48" t="s">
        <v>87</v>
      </c>
      <c r="B48" t="s">
        <v>47</v>
      </c>
      <c r="C48" t="s">
        <v>130</v>
      </c>
      <c r="D48" t="s">
        <v>131</v>
      </c>
      <c r="E48" t="s">
        <v>60</v>
      </c>
      <c r="F48" t="s">
        <v>67</v>
      </c>
      <c r="G48" t="s">
        <v>73</v>
      </c>
      <c r="H48" t="s">
        <v>46</v>
      </c>
      <c r="I48" t="s">
        <v>53</v>
      </c>
      <c r="J48" t="s">
        <v>87</v>
      </c>
      <c r="K48" t="s">
        <v>35</v>
      </c>
      <c r="L48" t="s">
        <v>132</v>
      </c>
      <c r="M48" t="s">
        <v>36</v>
      </c>
      <c r="N48" t="s">
        <v>88</v>
      </c>
      <c r="O48" t="s">
        <v>80</v>
      </c>
      <c r="P48" t="s">
        <v>86</v>
      </c>
      <c r="Q48" t="s">
        <v>138</v>
      </c>
      <c r="R48" t="s">
        <v>34</v>
      </c>
      <c r="S48" t="s">
        <v>135</v>
      </c>
      <c r="T48" t="s">
        <v>44</v>
      </c>
      <c r="U48" t="s">
        <v>136</v>
      </c>
      <c r="V48" t="s">
        <v>33</v>
      </c>
      <c r="W48" t="s">
        <v>137</v>
      </c>
      <c r="X48" t="s">
        <v>133</v>
      </c>
      <c r="Y48" t="s">
        <v>134</v>
      </c>
    </row>
    <row r="49" spans="1:25" x14ac:dyDescent="0.2">
      <c r="A49" t="s">
        <v>80</v>
      </c>
      <c r="B49" t="s">
        <v>80</v>
      </c>
      <c r="C49" t="s">
        <v>137</v>
      </c>
      <c r="D49" t="s">
        <v>86</v>
      </c>
      <c r="E49" t="s">
        <v>35</v>
      </c>
      <c r="F49" t="s">
        <v>130</v>
      </c>
      <c r="G49" t="s">
        <v>132</v>
      </c>
      <c r="H49" t="s">
        <v>133</v>
      </c>
      <c r="I49" t="s">
        <v>46</v>
      </c>
      <c r="J49" t="s">
        <v>135</v>
      </c>
      <c r="K49" t="s">
        <v>136</v>
      </c>
      <c r="L49" t="s">
        <v>138</v>
      </c>
      <c r="M49" t="s">
        <v>87</v>
      </c>
      <c r="N49" t="s">
        <v>47</v>
      </c>
      <c r="O49" t="s">
        <v>88</v>
      </c>
      <c r="P49" t="s">
        <v>34</v>
      </c>
      <c r="Q49" t="s">
        <v>73</v>
      </c>
      <c r="R49" t="s">
        <v>131</v>
      </c>
      <c r="S49" t="s">
        <v>36</v>
      </c>
      <c r="T49" t="s">
        <v>134</v>
      </c>
      <c r="U49" t="s">
        <v>60</v>
      </c>
      <c r="V49" t="s">
        <v>44</v>
      </c>
      <c r="W49" t="s">
        <v>67</v>
      </c>
      <c r="X49" t="s">
        <v>53</v>
      </c>
      <c r="Y49" t="s">
        <v>33</v>
      </c>
    </row>
    <row r="50" spans="1:25" x14ac:dyDescent="0.2">
      <c r="A50" t="s">
        <v>46</v>
      </c>
      <c r="B50" t="s">
        <v>136</v>
      </c>
      <c r="C50" t="s">
        <v>88</v>
      </c>
      <c r="D50" t="s">
        <v>67</v>
      </c>
      <c r="E50" t="s">
        <v>34</v>
      </c>
      <c r="F50" t="s">
        <v>131</v>
      </c>
      <c r="G50" t="s">
        <v>44</v>
      </c>
      <c r="H50" t="s">
        <v>87</v>
      </c>
      <c r="I50" t="s">
        <v>80</v>
      </c>
      <c r="J50" t="s">
        <v>46</v>
      </c>
      <c r="K50" t="s">
        <v>135</v>
      </c>
      <c r="L50" t="s">
        <v>137</v>
      </c>
      <c r="M50" t="s">
        <v>134</v>
      </c>
      <c r="N50" t="s">
        <v>130</v>
      </c>
      <c r="O50" t="s">
        <v>53</v>
      </c>
      <c r="P50" t="s">
        <v>33</v>
      </c>
      <c r="Q50" t="s">
        <v>133</v>
      </c>
      <c r="R50" t="s">
        <v>60</v>
      </c>
      <c r="S50" t="s">
        <v>35</v>
      </c>
      <c r="T50" t="s">
        <v>73</v>
      </c>
      <c r="U50" t="s">
        <v>47</v>
      </c>
      <c r="V50" t="s">
        <v>86</v>
      </c>
      <c r="W50" t="s">
        <v>132</v>
      </c>
      <c r="X50" t="s">
        <v>138</v>
      </c>
      <c r="Y50" t="s">
        <v>36</v>
      </c>
    </row>
    <row r="51" spans="1:25" x14ac:dyDescent="0.2">
      <c r="A51" t="s">
        <v>135</v>
      </c>
      <c r="B51" t="s">
        <v>135</v>
      </c>
      <c r="C51" t="s">
        <v>53</v>
      </c>
      <c r="D51" t="s">
        <v>132</v>
      </c>
      <c r="E51" t="s">
        <v>33</v>
      </c>
      <c r="F51" t="s">
        <v>60</v>
      </c>
      <c r="G51" t="s">
        <v>86</v>
      </c>
      <c r="H51" t="s">
        <v>134</v>
      </c>
      <c r="I51" t="s">
        <v>136</v>
      </c>
      <c r="J51" t="s">
        <v>80</v>
      </c>
      <c r="K51" t="s">
        <v>46</v>
      </c>
      <c r="L51" t="s">
        <v>88</v>
      </c>
      <c r="M51" t="s">
        <v>73</v>
      </c>
      <c r="N51" t="s">
        <v>131</v>
      </c>
      <c r="O51" t="s">
        <v>138</v>
      </c>
      <c r="P51" t="s">
        <v>36</v>
      </c>
      <c r="Q51" t="s">
        <v>87</v>
      </c>
      <c r="R51" t="s">
        <v>47</v>
      </c>
      <c r="S51" t="s">
        <v>34</v>
      </c>
      <c r="T51" t="s">
        <v>133</v>
      </c>
      <c r="U51" t="s">
        <v>130</v>
      </c>
      <c r="V51" t="s">
        <v>67</v>
      </c>
      <c r="W51" t="s">
        <v>44</v>
      </c>
      <c r="X51" t="s">
        <v>137</v>
      </c>
      <c r="Y51" t="s">
        <v>35</v>
      </c>
    </row>
    <row r="52" spans="1:25" x14ac:dyDescent="0.2">
      <c r="A52" t="s">
        <v>136</v>
      </c>
      <c r="B52" t="s">
        <v>46</v>
      </c>
      <c r="C52" t="s">
        <v>138</v>
      </c>
      <c r="D52" t="s">
        <v>44</v>
      </c>
      <c r="E52" t="s">
        <v>36</v>
      </c>
      <c r="F52" t="s">
        <v>47</v>
      </c>
      <c r="G52" t="s">
        <v>67</v>
      </c>
      <c r="H52" t="s">
        <v>73</v>
      </c>
      <c r="I52" t="s">
        <v>135</v>
      </c>
      <c r="J52" t="s">
        <v>136</v>
      </c>
      <c r="K52" t="s">
        <v>80</v>
      </c>
      <c r="L52" t="s">
        <v>53</v>
      </c>
      <c r="M52" t="s">
        <v>133</v>
      </c>
      <c r="N52" t="s">
        <v>60</v>
      </c>
      <c r="O52" t="s">
        <v>137</v>
      </c>
      <c r="P52" t="s">
        <v>35</v>
      </c>
      <c r="Q52" t="s">
        <v>134</v>
      </c>
      <c r="R52" t="s">
        <v>130</v>
      </c>
      <c r="S52" t="s">
        <v>33</v>
      </c>
      <c r="T52" t="s">
        <v>87</v>
      </c>
      <c r="U52" t="s">
        <v>131</v>
      </c>
      <c r="V52" t="s">
        <v>132</v>
      </c>
      <c r="W52" t="s">
        <v>86</v>
      </c>
      <c r="X52" t="s">
        <v>88</v>
      </c>
      <c r="Y52" t="s">
        <v>34</v>
      </c>
    </row>
    <row r="53" spans="1:25" x14ac:dyDescent="0.2">
      <c r="A53" t="s">
        <v>53</v>
      </c>
      <c r="B53" t="s">
        <v>53</v>
      </c>
      <c r="C53" t="s">
        <v>132</v>
      </c>
      <c r="D53" t="s">
        <v>33</v>
      </c>
      <c r="E53" t="s">
        <v>135</v>
      </c>
      <c r="F53" t="s">
        <v>88</v>
      </c>
      <c r="G53" t="s">
        <v>137</v>
      </c>
      <c r="H53" t="s">
        <v>138</v>
      </c>
      <c r="I53" t="s">
        <v>87</v>
      </c>
      <c r="J53" t="s">
        <v>35</v>
      </c>
      <c r="K53" t="s">
        <v>47</v>
      </c>
      <c r="L53" t="s">
        <v>133</v>
      </c>
      <c r="M53" t="s">
        <v>46</v>
      </c>
      <c r="N53" t="s">
        <v>136</v>
      </c>
      <c r="O53" t="s">
        <v>130</v>
      </c>
      <c r="P53" t="s">
        <v>60</v>
      </c>
      <c r="Q53" t="s">
        <v>44</v>
      </c>
      <c r="R53" t="s">
        <v>67</v>
      </c>
      <c r="S53" t="s">
        <v>134</v>
      </c>
      <c r="T53" t="s">
        <v>36</v>
      </c>
      <c r="U53" t="s">
        <v>34</v>
      </c>
      <c r="V53" t="s">
        <v>73</v>
      </c>
      <c r="W53" t="s">
        <v>131</v>
      </c>
      <c r="X53" t="s">
        <v>80</v>
      </c>
      <c r="Y53" t="s">
        <v>86</v>
      </c>
    </row>
    <row r="54" spans="1:25" x14ac:dyDescent="0.2">
      <c r="A54" t="s">
        <v>88</v>
      </c>
      <c r="B54" t="s">
        <v>138</v>
      </c>
      <c r="C54" t="s">
        <v>44</v>
      </c>
      <c r="D54" t="s">
        <v>36</v>
      </c>
      <c r="E54" t="s">
        <v>46</v>
      </c>
      <c r="F54" t="s">
        <v>53</v>
      </c>
      <c r="G54" t="s">
        <v>88</v>
      </c>
      <c r="H54" t="s">
        <v>137</v>
      </c>
      <c r="I54" t="s">
        <v>134</v>
      </c>
      <c r="J54" t="s">
        <v>34</v>
      </c>
      <c r="K54" t="s">
        <v>130</v>
      </c>
      <c r="L54" t="s">
        <v>87</v>
      </c>
      <c r="M54" t="s">
        <v>80</v>
      </c>
      <c r="N54" t="s">
        <v>135</v>
      </c>
      <c r="O54" t="s">
        <v>131</v>
      </c>
      <c r="P54" t="s">
        <v>47</v>
      </c>
      <c r="Q54" t="s">
        <v>86</v>
      </c>
      <c r="R54" t="s">
        <v>132</v>
      </c>
      <c r="S54" t="s">
        <v>73</v>
      </c>
      <c r="T54" t="s">
        <v>35</v>
      </c>
      <c r="U54" t="s">
        <v>33</v>
      </c>
      <c r="V54" t="s">
        <v>133</v>
      </c>
      <c r="W54" t="s">
        <v>60</v>
      </c>
      <c r="X54" t="s">
        <v>136</v>
      </c>
      <c r="Y54" t="s">
        <v>67</v>
      </c>
    </row>
    <row r="55" spans="1:25" x14ac:dyDescent="0.2">
      <c r="A55" t="s">
        <v>137</v>
      </c>
      <c r="B55" t="s">
        <v>137</v>
      </c>
      <c r="C55" t="s">
        <v>86</v>
      </c>
      <c r="D55" t="s">
        <v>35</v>
      </c>
      <c r="E55" t="s">
        <v>80</v>
      </c>
      <c r="F55" t="s">
        <v>138</v>
      </c>
      <c r="G55" t="s">
        <v>53</v>
      </c>
      <c r="H55" t="s">
        <v>88</v>
      </c>
      <c r="I55" t="s">
        <v>73</v>
      </c>
      <c r="J55" t="s">
        <v>33</v>
      </c>
      <c r="K55" t="s">
        <v>131</v>
      </c>
      <c r="L55" t="s">
        <v>134</v>
      </c>
      <c r="M55" t="s">
        <v>136</v>
      </c>
      <c r="N55" t="s">
        <v>46</v>
      </c>
      <c r="O55" t="s">
        <v>60</v>
      </c>
      <c r="P55" t="s">
        <v>130</v>
      </c>
      <c r="Q55" t="s">
        <v>67</v>
      </c>
      <c r="R55" t="s">
        <v>44</v>
      </c>
      <c r="S55" t="s">
        <v>133</v>
      </c>
      <c r="T55" t="s">
        <v>34</v>
      </c>
      <c r="U55" t="s">
        <v>36</v>
      </c>
      <c r="V55" t="s">
        <v>87</v>
      </c>
      <c r="W55" t="s">
        <v>47</v>
      </c>
      <c r="X55" t="s">
        <v>135</v>
      </c>
      <c r="Y55" t="s">
        <v>132</v>
      </c>
    </row>
    <row r="56" spans="1:25" x14ac:dyDescent="0.2">
      <c r="A56" t="s">
        <v>138</v>
      </c>
      <c r="B56" t="s">
        <v>88</v>
      </c>
      <c r="C56" t="s">
        <v>67</v>
      </c>
      <c r="D56" t="s">
        <v>34</v>
      </c>
      <c r="E56" t="s">
        <v>136</v>
      </c>
      <c r="F56" t="s">
        <v>137</v>
      </c>
      <c r="G56" t="s">
        <v>138</v>
      </c>
      <c r="H56" t="s">
        <v>53</v>
      </c>
      <c r="I56" t="s">
        <v>133</v>
      </c>
      <c r="J56" t="s">
        <v>36</v>
      </c>
      <c r="K56" t="s">
        <v>60</v>
      </c>
      <c r="L56" t="s">
        <v>73</v>
      </c>
      <c r="M56" t="s">
        <v>135</v>
      </c>
      <c r="N56" t="s">
        <v>80</v>
      </c>
      <c r="O56" t="s">
        <v>47</v>
      </c>
      <c r="P56" t="s">
        <v>131</v>
      </c>
      <c r="Q56" t="s">
        <v>132</v>
      </c>
      <c r="R56" t="s">
        <v>86</v>
      </c>
      <c r="S56" t="s">
        <v>87</v>
      </c>
      <c r="T56" t="s">
        <v>33</v>
      </c>
      <c r="U56" t="s">
        <v>35</v>
      </c>
      <c r="V56" t="s">
        <v>134</v>
      </c>
      <c r="W56" t="s">
        <v>130</v>
      </c>
      <c r="X56" t="s">
        <v>46</v>
      </c>
      <c r="Y56" t="s">
        <v>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TABLES</vt:lpstr>
      <vt:lpstr>core</vt:lpstr>
      <vt:lpstr>turns</vt:lpstr>
      <vt:lpstr>rotations_24</vt:lpstr>
      <vt:lpstr>reflections_24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Susan Sprigg</cp:lastModifiedBy>
  <cp:revision/>
  <dcterms:created xsi:type="dcterms:W3CDTF">2024-03-04T03:28:46Z</dcterms:created>
  <dcterms:modified xsi:type="dcterms:W3CDTF">2024-07-04T17:09:15Z</dcterms:modified>
  <cp:category/>
  <cp:contentStatus/>
</cp:coreProperties>
</file>