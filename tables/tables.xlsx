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dudley/dev/cube/Alg_Slice_And_Widen_daddy/alg-slice-and-widen/"/>
    </mc:Choice>
  </mc:AlternateContent>
  <xr:revisionPtr revIDLastSave="0" documentId="13_ncr:1_{5487746E-BE80-5142-8848-F1069161C0EF}" xr6:coauthVersionLast="47" xr6:coauthVersionMax="47" xr10:uidLastSave="{00000000-0000-0000-0000-000000000000}"/>
  <bookViews>
    <workbookView xWindow="0" yWindow="1400" windowWidth="32260" windowHeight="16800" activeTab="3" xr2:uid="{00000000-000D-0000-FFFF-FFFF00000000}"/>
  </bookViews>
  <sheets>
    <sheet name="intermediate" sheetId="2" r:id="rId1"/>
    <sheet name="Other Tables" sheetId="12" r:id="rId2"/>
    <sheet name="basics" sheetId="13" r:id="rId3"/>
    <sheet name="transformations" sheetId="1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4" l="1"/>
  <c r="E55" i="14" s="1" a="1"/>
  <c r="E55" i="14" s="1"/>
  <c r="A54" i="14"/>
  <c r="L54" i="14" s="1" a="1"/>
  <c r="L54" i="14" s="1"/>
  <c r="A53" i="14"/>
  <c r="K53" i="14" s="1" a="1"/>
  <c r="K53" i="14" s="1"/>
  <c r="A52" i="14"/>
  <c r="H52" i="14" s="1" a="1"/>
  <c r="H52" i="14" s="1"/>
  <c r="A51" i="14"/>
  <c r="K51" i="14" s="1" a="1"/>
  <c r="K51" i="14" s="1"/>
  <c r="A50" i="14"/>
  <c r="M50" i="14" s="1" a="1"/>
  <c r="M50" i="14" s="1"/>
  <c r="A49" i="14"/>
  <c r="K49" i="14" s="1" a="1"/>
  <c r="K49" i="14" s="1"/>
  <c r="A48" i="14"/>
  <c r="A47" i="14"/>
  <c r="A46" i="14"/>
  <c r="M46" i="14" s="1" a="1"/>
  <c r="M46" i="14" s="1"/>
  <c r="A45" i="14"/>
  <c r="L45" i="14" s="1" a="1"/>
  <c r="L45" i="14" s="1"/>
  <c r="A44" i="14"/>
  <c r="M44" i="14" s="1" a="1"/>
  <c r="M44" i="14" s="1"/>
  <c r="A43" i="14"/>
  <c r="E43" i="14" s="1" a="1"/>
  <c r="E43" i="14" s="1"/>
  <c r="F43" i="14" s="1" a="1"/>
  <c r="F43" i="14" s="1"/>
  <c r="A42" i="14"/>
  <c r="A41" i="14"/>
  <c r="E41" i="14" s="1" a="1"/>
  <c r="E41" i="14" s="1"/>
  <c r="A40" i="14"/>
  <c r="H40" i="14" s="1" a="1"/>
  <c r="H40" i="14" s="1"/>
  <c r="A39" i="14"/>
  <c r="K39" i="14" s="1" a="1"/>
  <c r="K39" i="14" s="1"/>
  <c r="A38" i="14"/>
  <c r="B38" i="14" s="1" a="1"/>
  <c r="B38" i="14" s="1"/>
  <c r="C38" i="14" s="1" a="1"/>
  <c r="C38" i="14" s="1"/>
  <c r="A37" i="14"/>
  <c r="L37" i="14" s="1" a="1"/>
  <c r="L37" i="14" s="1"/>
  <c r="A36" i="14"/>
  <c r="H36" i="14" s="1" a="1"/>
  <c r="H36" i="14" s="1"/>
  <c r="A35" i="14"/>
  <c r="K35" i="14" s="1" a="1"/>
  <c r="K35" i="14" s="1"/>
  <c r="A34" i="14"/>
  <c r="E34" i="14" s="1" a="1"/>
  <c r="E34" i="14" s="1"/>
  <c r="A33" i="14"/>
  <c r="L33" i="14" s="1" a="1"/>
  <c r="L33" i="14" s="1"/>
  <c r="A32" i="14"/>
  <c r="M32" i="14" s="1" a="1"/>
  <c r="M32" i="14" s="1"/>
  <c r="A31" i="14"/>
  <c r="A30" i="14"/>
  <c r="E30" i="14" s="1" a="1"/>
  <c r="E30" i="14" s="1"/>
  <c r="A29" i="14"/>
  <c r="A28" i="14"/>
  <c r="M28" i="14" s="1" a="1"/>
  <c r="M28" i="14" s="1"/>
  <c r="A27" i="14"/>
  <c r="H27" i="14" s="1" a="1"/>
  <c r="H27" i="14" s="1"/>
  <c r="A26" i="14"/>
  <c r="B26" i="14" s="1" a="1"/>
  <c r="B26" i="14" s="1"/>
  <c r="A25" i="14"/>
  <c r="K25" i="14" s="1" a="1"/>
  <c r="K25" i="14" s="1"/>
  <c r="A24" i="14"/>
  <c r="M24" i="14" s="1" a="1"/>
  <c r="M24" i="14" s="1"/>
  <c r="A23" i="14"/>
  <c r="L23" i="14" s="1" a="1"/>
  <c r="L23" i="14" s="1"/>
  <c r="A22" i="14"/>
  <c r="H22" i="14" s="1" a="1"/>
  <c r="H22" i="14" s="1"/>
  <c r="A21" i="14"/>
  <c r="H21" i="14" s="1" a="1"/>
  <c r="H21" i="14" s="1"/>
  <c r="L20" i="14" a="1"/>
  <c r="L20" i="14" s="1"/>
  <c r="A20" i="14"/>
  <c r="M20" i="14" s="1" a="1"/>
  <c r="M20" i="14" s="1"/>
  <c r="A19" i="14"/>
  <c r="B19" i="14" s="1" a="1"/>
  <c r="B19" i="14" s="1"/>
  <c r="C19" i="14" s="1" a="1"/>
  <c r="C19" i="14" s="1"/>
  <c r="A18" i="14"/>
  <c r="H18" i="14" s="1" a="1"/>
  <c r="H18" i="14" s="1"/>
  <c r="A17" i="14"/>
  <c r="E17" i="14" s="1" a="1"/>
  <c r="E17" i="14" s="1"/>
  <c r="A16" i="14"/>
  <c r="M16" i="14" s="1" a="1"/>
  <c r="M16" i="14" s="1"/>
  <c r="A15" i="14"/>
  <c r="M15" i="14" s="1" a="1"/>
  <c r="M15" i="14" s="1"/>
  <c r="A14" i="14"/>
  <c r="A13" i="14"/>
  <c r="A12" i="14"/>
  <c r="M12" i="14" s="1" a="1"/>
  <c r="M12" i="14" s="1"/>
  <c r="A11" i="14"/>
  <c r="A10" i="14"/>
  <c r="M10" i="14" s="1" a="1"/>
  <c r="M10" i="14" s="1"/>
  <c r="A9" i="14"/>
  <c r="H9" i="14" s="1" a="1"/>
  <c r="H9" i="14" s="1"/>
  <c r="A8" i="14"/>
  <c r="M8" i="14" s="1" a="1"/>
  <c r="M8" i="14" s="1"/>
  <c r="A7" i="14"/>
  <c r="L7" i="14" s="1" a="1"/>
  <c r="L7" i="14" s="1"/>
  <c r="A6" i="14"/>
  <c r="L6" i="14" s="1" a="1"/>
  <c r="L6" i="14" s="1"/>
  <c r="A5" i="14"/>
  <c r="K5" i="14" s="1" a="1"/>
  <c r="K5" i="14" s="1"/>
  <c r="A4" i="14"/>
  <c r="K4" i="14" s="1" a="1"/>
  <c r="K4" i="14" s="1"/>
  <c r="A3" i="14"/>
  <c r="A2" i="14"/>
  <c r="K2" i="14" s="1" a="1"/>
  <c r="K2" i="14" s="1"/>
  <c r="AC6" i="12"/>
  <c r="AC7" i="12"/>
  <c r="AC8" i="12"/>
  <c r="AC9" i="12"/>
  <c r="AC10" i="12"/>
  <c r="AC11" i="12"/>
  <c r="AC12" i="12"/>
  <c r="AC13" i="12"/>
  <c r="AC17" i="12"/>
  <c r="AC18" i="12"/>
  <c r="AC19" i="12"/>
  <c r="AC14" i="12"/>
  <c r="AC15" i="12"/>
  <c r="AC16" i="12"/>
  <c r="AC21" i="12"/>
  <c r="AC22" i="12"/>
  <c r="AC23" i="12"/>
  <c r="AC24" i="12"/>
  <c r="AC25" i="12"/>
  <c r="AC26" i="12"/>
  <c r="AC5" i="12"/>
  <c r="AC20" i="12"/>
  <c r="G5" i="12" a="1"/>
  <c r="G5" i="12" s="1"/>
  <c r="G6" i="12" a="1"/>
  <c r="G6" i="12" s="1"/>
  <c r="G8" i="12" a="1"/>
  <c r="G8" i="12" s="1"/>
  <c r="G9" i="12" a="1"/>
  <c r="G9" i="12" s="1"/>
  <c r="G11" i="12" a="1"/>
  <c r="G11" i="12" s="1"/>
  <c r="G12" i="12" a="1"/>
  <c r="G12" i="12" s="1"/>
  <c r="G14" i="12" a="1"/>
  <c r="G14" i="12" s="1"/>
  <c r="G15" i="12" a="1"/>
  <c r="G15" i="12" s="1"/>
  <c r="G17" i="12" a="1"/>
  <c r="G17" i="12" s="1"/>
  <c r="G18" i="12" a="1"/>
  <c r="G18" i="12" s="1"/>
  <c r="G20" i="12" a="1"/>
  <c r="G20" i="12" s="1"/>
  <c r="G21" i="12" a="1"/>
  <c r="G21" i="12" s="1"/>
  <c r="G23" i="12" a="1"/>
  <c r="G23" i="12" s="1"/>
  <c r="G27" i="12" a="1"/>
  <c r="G27" i="12" s="1"/>
  <c r="G29" i="12" a="1"/>
  <c r="G29" i="12" s="1"/>
  <c r="G33" i="12" a="1"/>
  <c r="G33" i="12" s="1"/>
  <c r="G35" i="12" a="1"/>
  <c r="G35" i="12" s="1"/>
  <c r="G39" i="12" a="1"/>
  <c r="G39" i="12" s="1"/>
  <c r="G41" i="12" a="1"/>
  <c r="G41" i="12" s="1"/>
  <c r="G45" i="12" a="1"/>
  <c r="G45" i="12" s="1"/>
  <c r="G47" i="12" a="1"/>
  <c r="G47" i="12" s="1"/>
  <c r="G51" i="12" a="1"/>
  <c r="G51" i="12" s="1"/>
  <c r="G53" i="12" a="1"/>
  <c r="G53" i="12" s="1"/>
  <c r="G57" i="12" a="1"/>
  <c r="G57" i="12" s="1"/>
  <c r="M39" i="14" l="1" a="1"/>
  <c r="M39" i="14" s="1"/>
  <c r="M36" i="14" a="1"/>
  <c r="M36" i="14" s="1"/>
  <c r="B45" i="14" a="1"/>
  <c r="B45" i="14" s="1"/>
  <c r="H32" i="14" a="1"/>
  <c r="H32" i="14" s="1"/>
  <c r="E46" i="14" a="1"/>
  <c r="E46" i="14" s="1"/>
  <c r="E38" i="14" a="1"/>
  <c r="E38" i="14" s="1"/>
  <c r="E26" i="14" a="1"/>
  <c r="E26" i="14" s="1"/>
  <c r="F26" i="14" s="1" a="1"/>
  <c r="F26" i="14" s="1"/>
  <c r="H34" i="14" a="1"/>
  <c r="H34" i="14" s="1"/>
  <c r="K27" i="14" a="1"/>
  <c r="K27" i="14" s="1"/>
  <c r="M11" i="14" a="1"/>
  <c r="M11" i="14" s="1"/>
  <c r="E20" i="14" a="1"/>
  <c r="E20" i="14" s="1"/>
  <c r="F20" i="14" s="1" a="1"/>
  <c r="F20" i="14" s="1"/>
  <c r="G20" i="14" s="1" a="1"/>
  <c r="G20" i="14" s="1"/>
  <c r="L27" i="14" a="1"/>
  <c r="L27" i="14" s="1"/>
  <c r="K36" i="14" a="1"/>
  <c r="K36" i="14" s="1"/>
  <c r="H43" i="14" a="1"/>
  <c r="H43" i="14" s="1"/>
  <c r="K17" i="14" a="1"/>
  <c r="K17" i="14" s="1"/>
  <c r="B16" i="14" a="1"/>
  <c r="B16" i="14" s="1"/>
  <c r="C16" i="14" s="1" a="1"/>
  <c r="C16" i="14" s="1"/>
  <c r="H20" i="14" a="1"/>
  <c r="H20" i="14" s="1"/>
  <c r="E7" i="14" a="1"/>
  <c r="E7" i="14" s="1"/>
  <c r="F7" i="14" s="1" a="1"/>
  <c r="F7" i="14" s="1"/>
  <c r="E12" i="14" a="1"/>
  <c r="E12" i="14" s="1"/>
  <c r="E32" i="14" a="1"/>
  <c r="E32" i="14" s="1"/>
  <c r="F32" i="14" s="1" a="1"/>
  <c r="F32" i="14" s="1"/>
  <c r="E36" i="14" a="1"/>
  <c r="E36" i="14" s="1"/>
  <c r="F36" i="14" s="1" a="1"/>
  <c r="F36" i="14" s="1"/>
  <c r="K45" i="14" a="1"/>
  <c r="K45" i="14" s="1"/>
  <c r="K32" i="14" a="1"/>
  <c r="K32" i="14" s="1"/>
  <c r="L32" i="14" a="1"/>
  <c r="L32" i="14" s="1"/>
  <c r="E5" i="14" a="1"/>
  <c r="E5" i="14" s="1"/>
  <c r="F5" i="14" s="1" a="1"/>
  <c r="F5" i="14" s="1"/>
  <c r="H13" i="14" a="1"/>
  <c r="H13" i="14" s="1"/>
  <c r="K22" i="14" a="1"/>
  <c r="K22" i="14" s="1"/>
  <c r="E28" i="14" a="1"/>
  <c r="E28" i="14" s="1"/>
  <c r="F28" i="14" s="1" a="1"/>
  <c r="F28" i="14" s="1"/>
  <c r="G28" i="14" s="1" a="1"/>
  <c r="G28" i="14" s="1"/>
  <c r="E37" i="14" a="1"/>
  <c r="E37" i="14" s="1"/>
  <c r="H46" i="14" a="1"/>
  <c r="H46" i="14" s="1"/>
  <c r="I46" i="14" s="1" a="1"/>
  <c r="I46" i="14" s="1"/>
  <c r="B13" i="14" a="1"/>
  <c r="B13" i="14" s="1"/>
  <c r="C13" i="14" s="1" a="1"/>
  <c r="C13" i="14" s="1"/>
  <c r="B11" i="14" a="1"/>
  <c r="B11" i="14" s="1"/>
  <c r="C11" i="14" s="1" a="1"/>
  <c r="C11" i="14" s="1"/>
  <c r="D11" i="14" s="1" a="1"/>
  <c r="D11" i="14" s="1"/>
  <c r="L43" i="14" a="1"/>
  <c r="L43" i="14" s="1"/>
  <c r="B47" i="14" a="1"/>
  <c r="B47" i="14" s="1"/>
  <c r="C47" i="14" s="1" a="1"/>
  <c r="C47" i="14" s="1"/>
  <c r="M9" i="14" a="1"/>
  <c r="M9" i="14" s="1"/>
  <c r="H33" i="14" a="1"/>
  <c r="H33" i="14" s="1"/>
  <c r="I33" i="14" s="1" a="1"/>
  <c r="I33" i="14" s="1"/>
  <c r="E47" i="14" a="1"/>
  <c r="E47" i="14" s="1"/>
  <c r="K28" i="14" a="1"/>
  <c r="K28" i="14" s="1"/>
  <c r="H11" i="14" a="1"/>
  <c r="H11" i="14" s="1"/>
  <c r="L13" i="14" a="1"/>
  <c r="L13" i="14" s="1"/>
  <c r="E6" i="14" a="1"/>
  <c r="E6" i="14" s="1"/>
  <c r="F6" i="14" s="1" a="1"/>
  <c r="F6" i="14" s="1"/>
  <c r="K11" i="14" a="1"/>
  <c r="K11" i="14" s="1"/>
  <c r="B20" i="14" a="1"/>
  <c r="B20" i="14" s="1"/>
  <c r="H30" i="14" a="1"/>
  <c r="H30" i="14" s="1"/>
  <c r="I30" i="14" s="1" a="1"/>
  <c r="I30" i="14" s="1"/>
  <c r="L38" i="14" a="1"/>
  <c r="L38" i="14" s="1"/>
  <c r="L47" i="14" a="1"/>
  <c r="L47" i="14" s="1"/>
  <c r="H6" i="14" a="1"/>
  <c r="H6" i="14" s="1"/>
  <c r="I6" i="14" s="1" a="1"/>
  <c r="I6" i="14" s="1"/>
  <c r="H44" i="14" a="1"/>
  <c r="H44" i="14" s="1"/>
  <c r="I44" i="14" s="1" a="1"/>
  <c r="I44" i="14" s="1"/>
  <c r="M47" i="14" a="1"/>
  <c r="M47" i="14" s="1"/>
  <c r="I36" i="14" a="1"/>
  <c r="I36" i="14" s="1"/>
  <c r="F34" i="14" a="1"/>
  <c r="F34" i="14" s="1"/>
  <c r="E16" i="14" a="1"/>
  <c r="E16" i="14" s="1"/>
  <c r="K18" i="14" a="1"/>
  <c r="K18" i="14" s="1"/>
  <c r="B21" i="14" a="1"/>
  <c r="B21" i="14" s="1"/>
  <c r="C21" i="14" s="1" a="1"/>
  <c r="C21" i="14" s="1"/>
  <c r="B25" i="14" a="1"/>
  <c r="B25" i="14" s="1"/>
  <c r="M30" i="14" a="1"/>
  <c r="M30" i="14" s="1"/>
  <c r="L36" i="14" a="1"/>
  <c r="L36" i="14" s="1"/>
  <c r="M37" i="14" a="1"/>
  <c r="M37" i="14" s="1"/>
  <c r="E40" i="14" a="1"/>
  <c r="E40" i="14" s="1"/>
  <c r="M45" i="14" a="1"/>
  <c r="M45" i="14" s="1"/>
  <c r="K46" i="14" a="1"/>
  <c r="K46" i="14" s="1"/>
  <c r="K52" i="14" a="1"/>
  <c r="K52" i="14" s="1"/>
  <c r="L2" i="14" a="1"/>
  <c r="L2" i="14" s="1"/>
  <c r="H5" i="14" a="1"/>
  <c r="H5" i="14" s="1"/>
  <c r="I5" i="14" s="1" a="1"/>
  <c r="I5" i="14" s="1"/>
  <c r="H10" i="14" a="1"/>
  <c r="H10" i="14" s="1"/>
  <c r="M2" i="14" a="1"/>
  <c r="M2" i="14" s="1"/>
  <c r="E8" i="14" a="1"/>
  <c r="E8" i="14" s="1"/>
  <c r="K12" i="14" a="1"/>
  <c r="K12" i="14" s="1"/>
  <c r="H16" i="14" a="1"/>
  <c r="H16" i="14" s="1"/>
  <c r="B22" i="14" a="1"/>
  <c r="B22" i="14" s="1"/>
  <c r="B24" i="14" a="1"/>
  <c r="B24" i="14" s="1"/>
  <c r="C24" i="14" s="1" a="1"/>
  <c r="C24" i="14" s="1"/>
  <c r="E51" i="14" a="1"/>
  <c r="E51" i="14" s="1"/>
  <c r="F51" i="14" s="1" a="1"/>
  <c r="F51" i="14" s="1"/>
  <c r="L52" i="14" a="1"/>
  <c r="L52" i="14" s="1"/>
  <c r="H8" i="14" a="1"/>
  <c r="H8" i="14" s="1"/>
  <c r="I8" i="14" s="1" a="1"/>
  <c r="I8" i="14" s="1"/>
  <c r="L12" i="14" a="1"/>
  <c r="L12" i="14" s="1"/>
  <c r="E15" i="14" a="1"/>
  <c r="E15" i="14" s="1"/>
  <c r="H19" i="14" a="1"/>
  <c r="H19" i="14" s="1"/>
  <c r="E21" i="14" a="1"/>
  <c r="E21" i="14" s="1"/>
  <c r="F21" i="14" s="1" a="1"/>
  <c r="F21" i="14" s="1"/>
  <c r="E24" i="14" a="1"/>
  <c r="E24" i="14" s="1"/>
  <c r="F24" i="14" s="1" a="1"/>
  <c r="F24" i="14" s="1"/>
  <c r="H28" i="14" a="1"/>
  <c r="H28" i="14" s="1"/>
  <c r="E33" i="14" a="1"/>
  <c r="E33" i="14" s="1"/>
  <c r="F33" i="14" s="1" a="1"/>
  <c r="F33" i="14" s="1"/>
  <c r="L46" i="14" a="1"/>
  <c r="L46" i="14" s="1"/>
  <c r="M52" i="14" a="1"/>
  <c r="M52" i="14" s="1"/>
  <c r="B8" i="14" a="1"/>
  <c r="B8" i="14" s="1"/>
  <c r="E22" i="14" a="1"/>
  <c r="E22" i="14" s="1"/>
  <c r="B12" i="14" a="1"/>
  <c r="B12" i="14" s="1"/>
  <c r="K15" i="14" a="1"/>
  <c r="K15" i="14" s="1"/>
  <c r="K16" i="14" a="1"/>
  <c r="K16" i="14" s="1"/>
  <c r="M19" i="14" a="1"/>
  <c r="M19" i="14" s="1"/>
  <c r="I21" i="14" a="1"/>
  <c r="I21" i="14" s="1"/>
  <c r="J21" i="14" s="1" a="1"/>
  <c r="J21" i="14" s="1"/>
  <c r="K8" i="14" a="1"/>
  <c r="K8" i="14" s="1"/>
  <c r="L16" i="14" a="1"/>
  <c r="L16" i="14" s="1"/>
  <c r="H24" i="14" a="1"/>
  <c r="H24" i="14" s="1"/>
  <c r="B28" i="14" a="1"/>
  <c r="B28" i="14" s="1"/>
  <c r="L28" i="14" a="1"/>
  <c r="L28" i="14" s="1"/>
  <c r="B32" i="14" a="1"/>
  <c r="B32" i="14" s="1"/>
  <c r="C32" i="14" s="1" a="1"/>
  <c r="C32" i="14" s="1"/>
  <c r="K33" i="14" a="1"/>
  <c r="K33" i="14" s="1"/>
  <c r="M25" i="14" a="1"/>
  <c r="M25" i="14" s="1"/>
  <c r="B36" i="14" a="1"/>
  <c r="B36" i="14" s="1"/>
  <c r="C36" i="14" s="1" a="1"/>
  <c r="C36" i="14" s="1"/>
  <c r="B6" i="14" a="1"/>
  <c r="B6" i="14" s="1"/>
  <c r="C6" i="14" s="1" a="1"/>
  <c r="C6" i="14" s="1"/>
  <c r="K7" i="14" a="1"/>
  <c r="K7" i="14" s="1"/>
  <c r="K20" i="14" a="1"/>
  <c r="K20" i="14" s="1"/>
  <c r="K21" i="14" a="1"/>
  <c r="K21" i="14" s="1"/>
  <c r="K24" i="14" a="1"/>
  <c r="K24" i="14" s="1"/>
  <c r="B37" i="14" a="1"/>
  <c r="B37" i="14" s="1"/>
  <c r="F38" i="14" a="1"/>
  <c r="F38" i="14" s="1"/>
  <c r="G38" i="14" s="1" a="1"/>
  <c r="G38" i="14" s="1"/>
  <c r="L44" i="14" a="1"/>
  <c r="L44" i="14" s="1"/>
  <c r="B46" i="14" a="1"/>
  <c r="B46" i="14" s="1"/>
  <c r="C46" i="14" s="1" a="1"/>
  <c r="C46" i="14" s="1"/>
  <c r="H53" i="14" a="1"/>
  <c r="H53" i="14" s="1"/>
  <c r="I53" i="14" s="1" a="1"/>
  <c r="I53" i="14" s="1"/>
  <c r="L21" i="14" a="1"/>
  <c r="L21" i="14" s="1"/>
  <c r="B52" i="14" a="1"/>
  <c r="B52" i="14" s="1"/>
  <c r="C52" i="14" s="1" a="1"/>
  <c r="C52" i="14" s="1"/>
  <c r="L8" i="14" a="1"/>
  <c r="L8" i="14" s="1"/>
  <c r="I11" i="14" a="1"/>
  <c r="I11" i="14" s="1"/>
  <c r="J11" i="14" s="1" a="1"/>
  <c r="J11" i="14" s="1"/>
  <c r="L22" i="14" a="1"/>
  <c r="L22" i="14" s="1"/>
  <c r="L24" i="14" a="1"/>
  <c r="L24" i="14" s="1"/>
  <c r="E52" i="14" a="1"/>
  <c r="E52" i="14" s="1"/>
  <c r="K9" i="14" a="1"/>
  <c r="K9" i="14" s="1"/>
  <c r="H12" i="14" a="1"/>
  <c r="H12" i="14" s="1"/>
  <c r="M21" i="14" a="1"/>
  <c r="M21" i="14" s="1"/>
  <c r="M22" i="14" a="1"/>
  <c r="M22" i="14" s="1"/>
  <c r="H37" i="14" a="1"/>
  <c r="H37" i="14" s="1"/>
  <c r="I37" i="14" s="1" a="1"/>
  <c r="I37" i="14" s="1"/>
  <c r="J37" i="14" s="1" a="1"/>
  <c r="J37" i="14" s="1"/>
  <c r="H45" i="14" a="1"/>
  <c r="H45" i="14" s="1"/>
  <c r="G7" i="14" a="1"/>
  <c r="G7" i="14" s="1"/>
  <c r="D19" i="14" a="1"/>
  <c r="D19" i="14" s="1"/>
  <c r="I18" i="14" a="1"/>
  <c r="I18" i="14" s="1"/>
  <c r="C26" i="14" a="1"/>
  <c r="C26" i="14" s="1"/>
  <c r="F12" i="14" a="1"/>
  <c r="F12" i="14" s="1"/>
  <c r="I9" i="14" a="1"/>
  <c r="I9" i="14" s="1"/>
  <c r="L3" i="14" a="1"/>
  <c r="L3" i="14" s="1"/>
  <c r="B3" i="14" a="1"/>
  <c r="B3" i="14" s="1"/>
  <c r="H3" i="14" a="1"/>
  <c r="H3" i="14" s="1"/>
  <c r="E3" i="14" a="1"/>
  <c r="E3" i="14" s="1"/>
  <c r="F17" i="14" a="1"/>
  <c r="F17" i="14" s="1"/>
  <c r="H14" i="14" a="1"/>
  <c r="H14" i="14" s="1"/>
  <c r="L14" i="14" a="1"/>
  <c r="L14" i="14" s="1"/>
  <c r="B14" i="14" a="1"/>
  <c r="B14" i="14" s="1"/>
  <c r="I20" i="14" a="1"/>
  <c r="I20" i="14" s="1"/>
  <c r="L31" i="14" a="1"/>
  <c r="L31" i="14" s="1"/>
  <c r="K31" i="14" a="1"/>
  <c r="K31" i="14" s="1"/>
  <c r="B31" i="14" a="1"/>
  <c r="B31" i="14" s="1"/>
  <c r="E31" i="14" a="1"/>
  <c r="E31" i="14" s="1"/>
  <c r="H31" i="14" a="1"/>
  <c r="H31" i="14" s="1"/>
  <c r="M31" i="14" a="1"/>
  <c r="M31" i="14" s="1"/>
  <c r="J36" i="14" a="1"/>
  <c r="J36" i="14" s="1"/>
  <c r="M14" i="14" a="1"/>
  <c r="M14" i="14" s="1"/>
  <c r="E10" i="14" a="1"/>
  <c r="E10" i="14" s="1"/>
  <c r="L10" i="14" a="1"/>
  <c r="L10" i="14" s="1"/>
  <c r="I27" i="14" a="1"/>
  <c r="I27" i="14" s="1"/>
  <c r="M3" i="14" a="1"/>
  <c r="M3" i="14" s="1"/>
  <c r="L4" i="14" a="1"/>
  <c r="L4" i="14" s="1"/>
  <c r="B4" i="14" a="1"/>
  <c r="B4" i="14" s="1"/>
  <c r="E4" i="14" a="1"/>
  <c r="E4" i="14" s="1"/>
  <c r="M4" i="14" a="1"/>
  <c r="M4" i="14" s="1"/>
  <c r="J8" i="14" a="1"/>
  <c r="J8" i="14" s="1"/>
  <c r="M18" i="14" a="1"/>
  <c r="M18" i="14" s="1"/>
  <c r="B18" i="14" a="1"/>
  <c r="B18" i="14" s="1"/>
  <c r="E18" i="14" a="1"/>
  <c r="E18" i="14" s="1"/>
  <c r="L18" i="14" a="1"/>
  <c r="L18" i="14" s="1"/>
  <c r="K14" i="14" a="1"/>
  <c r="K14" i="14" s="1"/>
  <c r="M7" i="14" a="1"/>
  <c r="M7" i="14" s="1"/>
  <c r="H7" i="14" a="1"/>
  <c r="H7" i="14" s="1"/>
  <c r="B7" i="14" a="1"/>
  <c r="B7" i="14" s="1"/>
  <c r="B10" i="14" a="1"/>
  <c r="B10" i="14" s="1"/>
  <c r="E14" i="14" a="1"/>
  <c r="E14" i="14" s="1"/>
  <c r="K10" i="14" a="1"/>
  <c r="K10" i="14" s="1"/>
  <c r="M23" i="14" a="1"/>
  <c r="M23" i="14" s="1"/>
  <c r="B23" i="14" a="1"/>
  <c r="B23" i="14" s="1"/>
  <c r="K23" i="14" a="1"/>
  <c r="K23" i="14" s="1"/>
  <c r="E23" i="14" a="1"/>
  <c r="E23" i="14" s="1"/>
  <c r="H23" i="14" a="1"/>
  <c r="H23" i="14" s="1"/>
  <c r="K3" i="14" a="1"/>
  <c r="K3" i="14" s="1"/>
  <c r="F30" i="14" a="1"/>
  <c r="F30" i="14" s="1"/>
  <c r="E35" i="14" a="1"/>
  <c r="E35" i="14" s="1"/>
  <c r="M35" i="14" a="1"/>
  <c r="M35" i="14" s="1"/>
  <c r="B35" i="14" a="1"/>
  <c r="B35" i="14" s="1"/>
  <c r="H35" i="14" a="1"/>
  <c r="H35" i="14" s="1"/>
  <c r="L35" i="14" a="1"/>
  <c r="L35" i="14" s="1"/>
  <c r="B5" i="14" a="1"/>
  <c r="B5" i="14" s="1"/>
  <c r="L5" i="14" a="1"/>
  <c r="L5" i="14" s="1"/>
  <c r="B9" i="14" a="1"/>
  <c r="B9" i="14" s="1"/>
  <c r="E9" i="14" a="1"/>
  <c r="E9" i="14" s="1"/>
  <c r="L9" i="14" a="1"/>
  <c r="L9" i="14" s="1"/>
  <c r="H4" i="14" a="1"/>
  <c r="H4" i="14" s="1"/>
  <c r="M5" i="14" a="1"/>
  <c r="M5" i="14" s="1"/>
  <c r="D38" i="14" a="1"/>
  <c r="D38" i="14" s="1"/>
  <c r="K6" i="14" a="1"/>
  <c r="K6" i="14" s="1"/>
  <c r="B15" i="14" a="1"/>
  <c r="B15" i="14" s="1"/>
  <c r="I22" i="14" a="1"/>
  <c r="I22" i="14" s="1"/>
  <c r="L17" i="14" a="1"/>
  <c r="L17" i="14" s="1"/>
  <c r="M17" i="14" a="1"/>
  <c r="M17" i="14" s="1"/>
  <c r="B17" i="14" a="1"/>
  <c r="B17" i="14" s="1"/>
  <c r="L29" i="14" a="1"/>
  <c r="L29" i="14" s="1"/>
  <c r="B29" i="14" a="1"/>
  <c r="B29" i="14" s="1"/>
  <c r="E29" i="14" a="1"/>
  <c r="E29" i="14" s="1"/>
  <c r="K29" i="14" a="1"/>
  <c r="K29" i="14" s="1"/>
  <c r="M29" i="14" a="1"/>
  <c r="M29" i="14" s="1"/>
  <c r="H29" i="14" a="1"/>
  <c r="H29" i="14" s="1"/>
  <c r="I32" i="14" a="1"/>
  <c r="I32" i="14" s="1"/>
  <c r="I43" i="14" a="1"/>
  <c r="I43" i="14" s="1"/>
  <c r="C20" i="14" a="1"/>
  <c r="C20" i="14" s="1"/>
  <c r="F41" i="14" a="1"/>
  <c r="F41" i="14" s="1"/>
  <c r="H2" i="14" a="1"/>
  <c r="H2" i="14" s="1"/>
  <c r="L30" i="14" a="1"/>
  <c r="L30" i="14" s="1"/>
  <c r="B30" i="14" a="1"/>
  <c r="B30" i="14" s="1"/>
  <c r="K30" i="14" a="1"/>
  <c r="K30" i="14" s="1"/>
  <c r="E11" i="14" a="1"/>
  <c r="E11" i="14" s="1"/>
  <c r="L11" i="14" a="1"/>
  <c r="L11" i="14" s="1"/>
  <c r="H15" i="14" a="1"/>
  <c r="H15" i="14" s="1"/>
  <c r="H17" i="14" a="1"/>
  <c r="H17" i="14" s="1"/>
  <c r="M34" i="14" a="1"/>
  <c r="M34" i="14" s="1"/>
  <c r="L34" i="14" a="1"/>
  <c r="L34" i="14" s="1"/>
  <c r="B34" i="14" a="1"/>
  <c r="B34" i="14" s="1"/>
  <c r="J46" i="14" a="1"/>
  <c r="J46" i="14" s="1"/>
  <c r="L15" i="14" a="1"/>
  <c r="L15" i="14" s="1"/>
  <c r="K19" i="14" a="1"/>
  <c r="K19" i="14" s="1"/>
  <c r="L19" i="14" a="1"/>
  <c r="L19" i="14" s="1"/>
  <c r="E19" i="14" a="1"/>
  <c r="E19" i="14" s="1"/>
  <c r="E2" i="14" a="1"/>
  <c r="E2" i="14" s="1"/>
  <c r="B2" i="14" a="1"/>
  <c r="B2" i="14" s="1"/>
  <c r="M6" i="14" a="1"/>
  <c r="M6" i="14" s="1"/>
  <c r="K13" i="14" a="1"/>
  <c r="K13" i="14" s="1"/>
  <c r="M13" i="14" a="1"/>
  <c r="M13" i="14" s="1"/>
  <c r="E13" i="14" a="1"/>
  <c r="E13" i="14" s="1"/>
  <c r="H26" i="14" a="1"/>
  <c r="H26" i="14" s="1"/>
  <c r="K26" i="14" a="1"/>
  <c r="K26" i="14" s="1"/>
  <c r="L26" i="14" a="1"/>
  <c r="L26" i="14" s="1"/>
  <c r="M26" i="14" a="1"/>
  <c r="M26" i="14" s="1"/>
  <c r="K34" i="14" a="1"/>
  <c r="K34" i="14" s="1"/>
  <c r="F55" i="14" a="1"/>
  <c r="F55" i="14" s="1"/>
  <c r="M42" i="14" a="1"/>
  <c r="M42" i="14" s="1"/>
  <c r="H42" i="14" a="1"/>
  <c r="H42" i="14" s="1"/>
  <c r="B42" i="14" a="1"/>
  <c r="B42" i="14" s="1"/>
  <c r="K42" i="14" a="1"/>
  <c r="K42" i="14" s="1"/>
  <c r="F46" i="14" a="1"/>
  <c r="F46" i="14" s="1"/>
  <c r="F37" i="14" a="1"/>
  <c r="F37" i="14" s="1"/>
  <c r="C45" i="14" a="1"/>
  <c r="C45" i="14" s="1"/>
  <c r="L49" i="14" a="1"/>
  <c r="L49" i="14" s="1"/>
  <c r="E49" i="14" a="1"/>
  <c r="E49" i="14" s="1"/>
  <c r="M49" i="14" a="1"/>
  <c r="M49" i="14" s="1"/>
  <c r="H49" i="14" a="1"/>
  <c r="H49" i="14" s="1"/>
  <c r="B49" i="14" a="1"/>
  <c r="B49" i="14" s="1"/>
  <c r="L42" i="14" a="1"/>
  <c r="L42" i="14" s="1"/>
  <c r="I52" i="14" a="1"/>
  <c r="I52" i="14" s="1"/>
  <c r="L41" i="14" a="1"/>
  <c r="L41" i="14" s="1"/>
  <c r="B41" i="14" a="1"/>
  <c r="B41" i="14" s="1"/>
  <c r="M41" i="14" a="1"/>
  <c r="M41" i="14" s="1"/>
  <c r="H41" i="14" a="1"/>
  <c r="H41" i="14" s="1"/>
  <c r="G43" i="14" a="1"/>
  <c r="G43" i="14" s="1"/>
  <c r="E42" i="14" a="1"/>
  <c r="E42" i="14" s="1"/>
  <c r="K54" i="14" a="1"/>
  <c r="K54" i="14" s="1"/>
  <c r="H54" i="14" a="1"/>
  <c r="H54" i="14" s="1"/>
  <c r="E54" i="14" a="1"/>
  <c r="E54" i="14" s="1"/>
  <c r="B54" i="14" a="1"/>
  <c r="B54" i="14" s="1"/>
  <c r="M54" i="14" a="1"/>
  <c r="M54" i="14" s="1"/>
  <c r="H25" i="14" a="1"/>
  <c r="H25" i="14" s="1"/>
  <c r="F47" i="14" a="1"/>
  <c r="F47" i="14" s="1"/>
  <c r="K41" i="14" a="1"/>
  <c r="K41" i="14" s="1"/>
  <c r="I40" i="14" a="1"/>
  <c r="I40" i="14" s="1"/>
  <c r="E25" i="14" a="1"/>
  <c r="E25" i="14" s="1"/>
  <c r="L25" i="14" a="1"/>
  <c r="L25" i="14" s="1"/>
  <c r="B27" i="14" a="1"/>
  <c r="B27" i="14" s="1"/>
  <c r="E27" i="14" a="1"/>
  <c r="E27" i="14" s="1"/>
  <c r="M27" i="14" a="1"/>
  <c r="M27" i="14" s="1"/>
  <c r="M33" i="14" a="1"/>
  <c r="M33" i="14" s="1"/>
  <c r="B33" i="14" a="1"/>
  <c r="B33" i="14" s="1"/>
  <c r="B39" i="14" a="1"/>
  <c r="B39" i="14" s="1"/>
  <c r="E39" i="14" a="1"/>
  <c r="E39" i="14" s="1"/>
  <c r="H39" i="14" a="1"/>
  <c r="H39" i="14" s="1"/>
  <c r="L39" i="14" a="1"/>
  <c r="L39" i="14" s="1"/>
  <c r="L40" i="14" a="1"/>
  <c r="L40" i="14" s="1"/>
  <c r="B40" i="14" a="1"/>
  <c r="B40" i="14" s="1"/>
  <c r="M40" i="14" a="1"/>
  <c r="M40" i="14" s="1"/>
  <c r="E45" i="14" a="1"/>
  <c r="E45" i="14" s="1"/>
  <c r="E44" i="14" a="1"/>
  <c r="E44" i="14" s="1"/>
  <c r="L48" i="14" a="1"/>
  <c r="L48" i="14" s="1"/>
  <c r="E48" i="14" a="1"/>
  <c r="E48" i="14" s="1"/>
  <c r="B48" i="14" a="1"/>
  <c r="B48" i="14" s="1"/>
  <c r="K48" i="14" a="1"/>
  <c r="K48" i="14" s="1"/>
  <c r="M51" i="14" a="1"/>
  <c r="M51" i="14" s="1"/>
  <c r="M43" i="14" a="1"/>
  <c r="M43" i="14" s="1"/>
  <c r="M55" i="14" a="1"/>
  <c r="M55" i="14" s="1"/>
  <c r="B55" i="14" a="1"/>
  <c r="B55" i="14" s="1"/>
  <c r="L55" i="14" a="1"/>
  <c r="L55" i="14" s="1"/>
  <c r="K55" i="14" a="1"/>
  <c r="K55" i="14" s="1"/>
  <c r="H55" i="14" a="1"/>
  <c r="H55" i="14" s="1"/>
  <c r="B51" i="14" a="1"/>
  <c r="B51" i="14" s="1"/>
  <c r="E53" i="14" a="1"/>
  <c r="E53" i="14" s="1"/>
  <c r="B44" i="14" a="1"/>
  <c r="B44" i="14" s="1"/>
  <c r="K44" i="14" a="1"/>
  <c r="K44" i="14" s="1"/>
  <c r="M48" i="14" a="1"/>
  <c r="M48" i="14" s="1"/>
  <c r="L51" i="14" a="1"/>
  <c r="L51" i="14" s="1"/>
  <c r="B43" i="14" a="1"/>
  <c r="B43" i="14" s="1"/>
  <c r="K43" i="14" a="1"/>
  <c r="K43" i="14" s="1"/>
  <c r="H51" i="14" a="1"/>
  <c r="H51" i="14" s="1"/>
  <c r="L53" i="14" a="1"/>
  <c r="L53" i="14" s="1"/>
  <c r="M53" i="14" a="1"/>
  <c r="M53" i="14" s="1"/>
  <c r="B53" i="14" a="1"/>
  <c r="B53" i="14" s="1"/>
  <c r="H38" i="14" a="1"/>
  <c r="H38" i="14" s="1"/>
  <c r="K38" i="14" a="1"/>
  <c r="K38" i="14" s="1"/>
  <c r="M38" i="14" a="1"/>
  <c r="M38" i="14" s="1"/>
  <c r="K40" i="14" a="1"/>
  <c r="K40" i="14" s="1"/>
  <c r="H48" i="14" a="1"/>
  <c r="H48" i="14" s="1"/>
  <c r="K47" i="14" a="1"/>
  <c r="K47" i="14" s="1"/>
  <c r="K50" i="14" a="1"/>
  <c r="K50" i="14" s="1"/>
  <c r="H50" i="14" a="1"/>
  <c r="H50" i="14" s="1"/>
  <c r="E50" i="14" a="1"/>
  <c r="E50" i="14" s="1"/>
  <c r="B50" i="14" a="1"/>
  <c r="B50" i="14" s="1"/>
  <c r="L50" i="14" a="1"/>
  <c r="L50" i="14" s="1"/>
  <c r="K37" i="14" a="1"/>
  <c r="K37" i="14" s="1"/>
  <c r="H47" i="14" a="1"/>
  <c r="H47" i="14" s="1"/>
  <c r="F8" i="14" l="1" a="1"/>
  <c r="F8" i="14" s="1"/>
  <c r="G6" i="14" a="1"/>
  <c r="G6" i="14" s="1"/>
  <c r="J5" i="14" a="1"/>
  <c r="J5" i="14" s="1"/>
  <c r="F15" i="14" a="1"/>
  <c r="F15" i="14" s="1"/>
  <c r="I10" i="14" a="1"/>
  <c r="I10" i="14" s="1"/>
  <c r="J6" i="14" a="1"/>
  <c r="J6" i="14" s="1"/>
  <c r="I34" i="14" a="1"/>
  <c r="I34" i="14" s="1"/>
  <c r="J34" i="14" s="1" a="1"/>
  <c r="J34" i="14" s="1"/>
  <c r="I19" i="14" a="1"/>
  <c r="I19" i="14" s="1"/>
  <c r="J19" i="14" s="1" a="1"/>
  <c r="J19" i="14" s="1"/>
  <c r="G34" i="14" a="1"/>
  <c r="G34" i="14" s="1"/>
  <c r="F22" i="14" a="1"/>
  <c r="F22" i="14" s="1"/>
  <c r="G22" i="14" s="1" a="1"/>
  <c r="G22" i="14" s="1"/>
  <c r="J44" i="14" a="1"/>
  <c r="J44" i="14" s="1"/>
  <c r="I13" i="14" a="1"/>
  <c r="I13" i="14" s="1"/>
  <c r="I16" i="14" a="1"/>
  <c r="I16" i="14" s="1"/>
  <c r="I12" i="14" a="1"/>
  <c r="I12" i="14" s="1"/>
  <c r="F40" i="14" a="1"/>
  <c r="F40" i="14" s="1"/>
  <c r="D46" i="14" a="1"/>
  <c r="D46" i="14" s="1"/>
  <c r="C28" i="14" a="1"/>
  <c r="C28" i="14" s="1"/>
  <c r="C25" i="14" a="1"/>
  <c r="C25" i="14" s="1"/>
  <c r="F52" i="14" a="1"/>
  <c r="F52" i="14" s="1"/>
  <c r="C12" i="14" a="1"/>
  <c r="C12" i="14" s="1"/>
  <c r="F16" i="14" a="1"/>
  <c r="F16" i="14" s="1"/>
  <c r="I28" i="14" a="1"/>
  <c r="I28" i="14" s="1"/>
  <c r="J28" i="14" s="1" a="1"/>
  <c r="J28" i="14" s="1"/>
  <c r="C37" i="14" a="1"/>
  <c r="C37" i="14" s="1"/>
  <c r="C22" i="14" a="1"/>
  <c r="C22" i="14" s="1"/>
  <c r="D22" i="14" s="1" a="1"/>
  <c r="D22" i="14" s="1"/>
  <c r="I24" i="14" a="1"/>
  <c r="I24" i="14" s="1"/>
  <c r="J24" i="14" s="1" a="1"/>
  <c r="J24" i="14" s="1"/>
  <c r="I45" i="14" a="1"/>
  <c r="I45" i="14" s="1"/>
  <c r="C8" i="14" a="1"/>
  <c r="C8" i="14" s="1"/>
  <c r="J20" i="14" a="1"/>
  <c r="J20" i="14" s="1"/>
  <c r="C44" i="14" a="1"/>
  <c r="C44" i="14" s="1"/>
  <c r="I49" i="14" a="1"/>
  <c r="I49" i="14" s="1"/>
  <c r="C4" i="14" a="1"/>
  <c r="C4" i="14" s="1"/>
  <c r="I4" i="14" a="1"/>
  <c r="I4" i="14" s="1"/>
  <c r="G8" i="14" a="1"/>
  <c r="G8" i="14" s="1"/>
  <c r="C53" i="14" a="1"/>
  <c r="C53" i="14" s="1"/>
  <c r="C51" i="14" a="1"/>
  <c r="C51" i="14" s="1"/>
  <c r="C48" i="14" a="1"/>
  <c r="C48" i="14" s="1"/>
  <c r="F25" i="14" a="1"/>
  <c r="F25" i="14" s="1"/>
  <c r="C54" i="14" a="1"/>
  <c r="C54" i="14" s="1"/>
  <c r="F49" i="14" a="1"/>
  <c r="F49" i="14" s="1"/>
  <c r="I42" i="14" a="1"/>
  <c r="I42" i="14" s="1"/>
  <c r="G41" i="14" a="1"/>
  <c r="G41" i="14" s="1"/>
  <c r="G26" i="14" a="1"/>
  <c r="G26" i="14" s="1"/>
  <c r="I29" i="14" a="1"/>
  <c r="I29" i="14" s="1"/>
  <c r="C15" i="14" a="1"/>
  <c r="C15" i="14" s="1"/>
  <c r="I35" i="14" a="1"/>
  <c r="I35" i="14" s="1"/>
  <c r="F23" i="14" a="1"/>
  <c r="F23" i="14" s="1"/>
  <c r="F14" i="14" a="1"/>
  <c r="F14" i="14" s="1"/>
  <c r="I7" i="14" a="1"/>
  <c r="I7" i="14" s="1"/>
  <c r="G24" i="14" a="1"/>
  <c r="G24" i="14" s="1"/>
  <c r="F3" i="14" a="1"/>
  <c r="F3" i="14" s="1"/>
  <c r="J53" i="14" a="1"/>
  <c r="J53" i="14" s="1"/>
  <c r="F18" i="14" a="1"/>
  <c r="F18" i="14" s="1"/>
  <c r="F10" i="14" a="1"/>
  <c r="F10" i="14" s="1"/>
  <c r="I38" i="14" a="1"/>
  <c r="I38" i="14" s="1"/>
  <c r="F13" i="14" a="1"/>
  <c r="F13" i="14" s="1"/>
  <c r="F11" i="14" a="1"/>
  <c r="F11" i="14" s="1"/>
  <c r="C14" i="14" a="1"/>
  <c r="C14" i="14" s="1"/>
  <c r="D26" i="14" a="1"/>
  <c r="D26" i="14" s="1"/>
  <c r="F27" i="14" a="1"/>
  <c r="F27" i="14" s="1"/>
  <c r="C27" i="14" a="1"/>
  <c r="C27" i="14" s="1"/>
  <c r="F54" i="14" a="1"/>
  <c r="F54" i="14" s="1"/>
  <c r="I54" i="14" a="1"/>
  <c r="I54" i="14" s="1"/>
  <c r="C41" i="14" a="1"/>
  <c r="C41" i="14" s="1"/>
  <c r="C34" i="14" a="1"/>
  <c r="C34" i="14" s="1"/>
  <c r="D36" i="14" a="1"/>
  <c r="D36" i="14" s="1"/>
  <c r="C35" i="14" a="1"/>
  <c r="C35" i="14" s="1"/>
  <c r="C23" i="14" a="1"/>
  <c r="C23" i="14" s="1"/>
  <c r="D13" i="14" a="1"/>
  <c r="D13" i="14" s="1"/>
  <c r="I31" i="14" a="1"/>
  <c r="I31" i="14" s="1"/>
  <c r="I3" i="14" a="1"/>
  <c r="I3" i="14" s="1"/>
  <c r="C49" i="14" a="1"/>
  <c r="C49" i="14" s="1"/>
  <c r="I23" i="14" a="1"/>
  <c r="I23" i="14" s="1"/>
  <c r="D16" i="14" a="1"/>
  <c r="D16" i="14" s="1"/>
  <c r="I41" i="14" a="1"/>
  <c r="I41" i="14" s="1"/>
  <c r="I55" i="14" a="1"/>
  <c r="I55" i="14" s="1"/>
  <c r="F50" i="14" a="1"/>
  <c r="F50" i="14" s="1"/>
  <c r="C2" i="14" a="1"/>
  <c r="C2" i="14" s="1"/>
  <c r="F31" i="14" a="1"/>
  <c r="F31" i="14" s="1"/>
  <c r="C3" i="14" a="1"/>
  <c r="C3" i="14" s="1"/>
  <c r="J18" i="14" a="1"/>
  <c r="J18" i="14" s="1"/>
  <c r="I47" i="14" a="1"/>
  <c r="I47" i="14" s="1"/>
  <c r="C50" i="14" a="1"/>
  <c r="C50" i="14" s="1"/>
  <c r="J40" i="14" a="1"/>
  <c r="J40" i="14" s="1"/>
  <c r="G55" i="14" a="1"/>
  <c r="G55" i="14" s="1"/>
  <c r="F2" i="14" a="1"/>
  <c r="F2" i="14" s="1"/>
  <c r="C30" i="14" a="1"/>
  <c r="C30" i="14" s="1"/>
  <c r="D20" i="14" a="1"/>
  <c r="D20" i="14" s="1"/>
  <c r="F29" i="14" a="1"/>
  <c r="F29" i="14" s="1"/>
  <c r="F9" i="14" a="1"/>
  <c r="F9" i="14" s="1"/>
  <c r="F35" i="14" a="1"/>
  <c r="F35" i="14" s="1"/>
  <c r="G15" i="14" a="1"/>
  <c r="G15" i="14" s="1"/>
  <c r="C31" i="14" a="1"/>
  <c r="C31" i="14" s="1"/>
  <c r="I14" i="14" a="1"/>
  <c r="I14" i="14" s="1"/>
  <c r="F4" i="14" a="1"/>
  <c r="F4" i="14" s="1"/>
  <c r="C40" i="14" a="1"/>
  <c r="C40" i="14" s="1"/>
  <c r="I39" i="14" a="1"/>
  <c r="I39" i="14" s="1"/>
  <c r="D47" i="14" a="1"/>
  <c r="D47" i="14" s="1"/>
  <c r="C43" i="14" a="1"/>
  <c r="C43" i="14" s="1"/>
  <c r="J32" i="14" a="1"/>
  <c r="J32" i="14" s="1"/>
  <c r="C29" i="14" a="1"/>
  <c r="C29" i="14" s="1"/>
  <c r="C9" i="14" a="1"/>
  <c r="C9" i="14" s="1"/>
  <c r="G36" i="14" a="1"/>
  <c r="G36" i="14" s="1"/>
  <c r="G21" i="14" a="1"/>
  <c r="G21" i="14" s="1"/>
  <c r="G47" i="14" a="1"/>
  <c r="G47" i="14" s="1"/>
  <c r="I25" i="14" a="1"/>
  <c r="I25" i="14" s="1"/>
  <c r="J43" i="14" a="1"/>
  <c r="J43" i="14" s="1"/>
  <c r="I50" i="14" a="1"/>
  <c r="I50" i="14" s="1"/>
  <c r="F48" i="14" a="1"/>
  <c r="F48" i="14" s="1"/>
  <c r="D52" i="14" a="1"/>
  <c r="D52" i="14" s="1"/>
  <c r="G32" i="14" a="1"/>
  <c r="G32" i="14" s="1"/>
  <c r="C10" i="14" a="1"/>
  <c r="C10" i="14" s="1"/>
  <c r="J27" i="14" a="1"/>
  <c r="J27" i="14" s="1"/>
  <c r="J33" i="14" a="1"/>
  <c r="J33" i="14" s="1"/>
  <c r="D6" i="14" a="1"/>
  <c r="D6" i="14" s="1"/>
  <c r="J9" i="14" a="1"/>
  <c r="J9" i="14" s="1"/>
  <c r="G46" i="14" a="1"/>
  <c r="G46" i="14" s="1"/>
  <c r="J10" i="14" a="1"/>
  <c r="J10" i="14" s="1"/>
  <c r="I26" i="14" a="1"/>
  <c r="I26" i="14" s="1"/>
  <c r="I17" i="14" a="1"/>
  <c r="I17" i="14" s="1"/>
  <c r="C7" i="14" a="1"/>
  <c r="C7" i="14" s="1"/>
  <c r="F53" i="14" a="1"/>
  <c r="F53" i="14" s="1"/>
  <c r="C42" i="14" a="1"/>
  <c r="C42" i="14" s="1"/>
  <c r="I15" i="14" a="1"/>
  <c r="I15" i="14" s="1"/>
  <c r="C55" i="14" a="1"/>
  <c r="C55" i="14" s="1"/>
  <c r="D45" i="14" a="1"/>
  <c r="D45" i="14" s="1"/>
  <c r="F42" i="14" a="1"/>
  <c r="F42" i="14" s="1"/>
  <c r="I2" i="14" a="1"/>
  <c r="I2" i="14" s="1"/>
  <c r="J30" i="14" a="1"/>
  <c r="J30" i="14" s="1"/>
  <c r="F44" i="14" a="1"/>
  <c r="F44" i="14" s="1"/>
  <c r="J52" i="14" a="1"/>
  <c r="J52" i="14" s="1"/>
  <c r="G37" i="14" a="1"/>
  <c r="G37" i="14" s="1"/>
  <c r="C17" i="14" a="1"/>
  <c r="C17" i="14" s="1"/>
  <c r="C5" i="14" a="1"/>
  <c r="C5" i="14" s="1"/>
  <c r="G30" i="14" a="1"/>
  <c r="G30" i="14" s="1"/>
  <c r="D24" i="14" a="1"/>
  <c r="D24" i="14" s="1"/>
  <c r="J22" i="14" a="1"/>
  <c r="J22" i="14" s="1"/>
  <c r="C18" i="14" a="1"/>
  <c r="C18" i="14" s="1"/>
  <c r="F39" i="14" a="1"/>
  <c r="F39" i="14" s="1"/>
  <c r="I51" i="14" a="1"/>
  <c r="I51" i="14" s="1"/>
  <c r="C39" i="14" a="1"/>
  <c r="C39" i="14" s="1"/>
  <c r="C33" i="14" a="1"/>
  <c r="C33" i="14" s="1"/>
  <c r="F19" i="14" a="1"/>
  <c r="F19" i="14" s="1"/>
  <c r="I48" i="14" a="1"/>
  <c r="I48" i="14" s="1"/>
  <c r="G51" i="14" a="1"/>
  <c r="G51" i="14" s="1"/>
  <c r="G33" i="14" a="1"/>
  <c r="G33" i="14" s="1"/>
  <c r="F45" i="14" a="1"/>
  <c r="F45" i="14" s="1"/>
  <c r="D32" i="14" a="1"/>
  <c r="D32" i="14" s="1"/>
  <c r="G5" i="14" a="1"/>
  <c r="G5" i="14" s="1"/>
  <c r="D21" i="14" a="1"/>
  <c r="D21" i="14" s="1"/>
  <c r="G17" i="14" a="1"/>
  <c r="G17" i="14" s="1"/>
  <c r="G12" i="14" a="1"/>
  <c r="G12" i="14" s="1"/>
  <c r="J16" i="14" l="1" a="1"/>
  <c r="J16" i="14" s="1"/>
  <c r="J13" i="14" a="1"/>
  <c r="J13" i="14" s="1"/>
  <c r="D8" i="14" a="1"/>
  <c r="D8" i="14" s="1"/>
  <c r="J45" i="14" a="1"/>
  <c r="J45" i="14" s="1"/>
  <c r="D12" i="14" a="1"/>
  <c r="D12" i="14" s="1"/>
  <c r="D28" i="14" a="1"/>
  <c r="D28" i="14" s="1"/>
  <c r="G16" i="14" a="1"/>
  <c r="G16" i="14" s="1"/>
  <c r="G52" i="14" a="1"/>
  <c r="G52" i="14" s="1"/>
  <c r="G40" i="14" a="1"/>
  <c r="G40" i="14" s="1"/>
  <c r="D25" i="14" a="1"/>
  <c r="D25" i="14" s="1"/>
  <c r="D37" i="14" a="1"/>
  <c r="D37" i="14" s="1"/>
  <c r="J12" i="14" a="1"/>
  <c r="J12" i="14" s="1"/>
  <c r="J50" i="14" a="1"/>
  <c r="J50" i="14" s="1"/>
  <c r="G54" i="14" a="1"/>
  <c r="G54" i="14" s="1"/>
  <c r="G11" i="14" a="1"/>
  <c r="G11" i="14" s="1"/>
  <c r="G3" i="14" a="1"/>
  <c r="G3" i="14" s="1"/>
  <c r="G45" i="14" a="1"/>
  <c r="G45" i="14" s="1"/>
  <c r="D33" i="14" a="1"/>
  <c r="D33" i="14" s="1"/>
  <c r="G44" i="14" a="1"/>
  <c r="G44" i="14" s="1"/>
  <c r="D9" i="14" a="1"/>
  <c r="D9" i="14" s="1"/>
  <c r="D40" i="14" a="1"/>
  <c r="D40" i="14" s="1"/>
  <c r="D2" i="14" a="1"/>
  <c r="D2" i="14" s="1"/>
  <c r="D49" i="14" a="1"/>
  <c r="D49" i="14" s="1"/>
  <c r="D35" i="14" a="1"/>
  <c r="D35" i="14" s="1"/>
  <c r="D15" i="14" a="1"/>
  <c r="D15" i="14" s="1"/>
  <c r="D54" i="14" a="1"/>
  <c r="D54" i="14" s="1"/>
  <c r="J4" i="14" a="1"/>
  <c r="J4" i="14" s="1"/>
  <c r="D55" i="14" a="1"/>
  <c r="D55" i="14" s="1"/>
  <c r="G35" i="14" a="1"/>
  <c r="G35" i="14" s="1"/>
  <c r="D10" i="14" a="1"/>
  <c r="D10" i="14" s="1"/>
  <c r="D29" i="14" a="1"/>
  <c r="D29" i="14" s="1"/>
  <c r="G29" i="14" a="1"/>
  <c r="G29" i="14" s="1"/>
  <c r="J3" i="14" a="1"/>
  <c r="J3" i="14" s="1"/>
  <c r="J29" i="14" a="1"/>
  <c r="J29" i="14" s="1"/>
  <c r="J39" i="14" a="1"/>
  <c r="J39" i="14" s="1"/>
  <c r="G49" i="14" a="1"/>
  <c r="G49" i="14" s="1"/>
  <c r="G4" i="14" a="1"/>
  <c r="G4" i="14" s="1"/>
  <c r="D50" i="14" a="1"/>
  <c r="D50" i="14" s="1"/>
  <c r="G50" i="14" a="1"/>
  <c r="G50" i="14" s="1"/>
  <c r="D27" i="14" a="1"/>
  <c r="D27" i="14" s="1"/>
  <c r="G13" i="14" a="1"/>
  <c r="G13" i="14" s="1"/>
  <c r="G25" i="14" a="1"/>
  <c r="G25" i="14" s="1"/>
  <c r="D4" i="14" a="1"/>
  <c r="D4" i="14" s="1"/>
  <c r="J15" i="14" a="1"/>
  <c r="J15" i="14" s="1"/>
  <c r="D42" i="14" a="1"/>
  <c r="D42" i="14" s="1"/>
  <c r="J25" i="14" a="1"/>
  <c r="J25" i="14" s="1"/>
  <c r="J14" i="14" a="1"/>
  <c r="J14" i="14" s="1"/>
  <c r="J47" i="14" a="1"/>
  <c r="J47" i="14" s="1"/>
  <c r="G27" i="14" a="1"/>
  <c r="G27" i="14" s="1"/>
  <c r="G19" i="14" a="1"/>
  <c r="G19" i="14" s="1"/>
  <c r="G9" i="14" a="1"/>
  <c r="G9" i="14" s="1"/>
  <c r="J55" i="14" a="1"/>
  <c r="J55" i="14" s="1"/>
  <c r="J31" i="14" a="1"/>
  <c r="J31" i="14" s="1"/>
  <c r="J38" i="14" a="1"/>
  <c r="J38" i="14" s="1"/>
  <c r="J7" i="14" a="1"/>
  <c r="J7" i="14" s="1"/>
  <c r="D48" i="14" a="1"/>
  <c r="D48" i="14" s="1"/>
  <c r="J49" i="14" a="1"/>
  <c r="J49" i="14" s="1"/>
  <c r="J23" i="14" a="1"/>
  <c r="J23" i="14" s="1"/>
  <c r="G53" i="14" a="1"/>
  <c r="G53" i="14" s="1"/>
  <c r="D30" i="14" a="1"/>
  <c r="D30" i="14" s="1"/>
  <c r="D34" i="14" a="1"/>
  <c r="D34" i="14" s="1"/>
  <c r="G10" i="14" a="1"/>
  <c r="G10" i="14" s="1"/>
  <c r="G14" i="14" a="1"/>
  <c r="G14" i="14" s="1"/>
  <c r="J54" i="14" a="1"/>
  <c r="J54" i="14" s="1"/>
  <c r="D39" i="14" a="1"/>
  <c r="D39" i="14" s="1"/>
  <c r="J2" i="14" a="1"/>
  <c r="J2" i="14" s="1"/>
  <c r="D51" i="14" a="1"/>
  <c r="D51" i="14" s="1"/>
  <c r="D44" i="14" a="1"/>
  <c r="D44" i="14" s="1"/>
  <c r="D23" i="14" a="1"/>
  <c r="D23" i="14" s="1"/>
  <c r="G31" i="14" a="1"/>
  <c r="G31" i="14" s="1"/>
  <c r="J35" i="14" a="1"/>
  <c r="J35" i="14" s="1"/>
  <c r="J51" i="14" a="1"/>
  <c r="J51" i="14" s="1"/>
  <c r="D5" i="14" a="1"/>
  <c r="D5" i="14" s="1"/>
  <c r="D17" i="14" a="1"/>
  <c r="D17" i="14" s="1"/>
  <c r="D43" i="14" a="1"/>
  <c r="D43" i="14" s="1"/>
  <c r="J41" i="14" a="1"/>
  <c r="J41" i="14" s="1"/>
  <c r="J48" i="14" a="1"/>
  <c r="J48" i="14" s="1"/>
  <c r="D18" i="14" a="1"/>
  <c r="D18" i="14" s="1"/>
  <c r="D3" i="14" a="1"/>
  <c r="D3" i="14" s="1"/>
  <c r="D14" i="14" a="1"/>
  <c r="D14" i="14" s="1"/>
  <c r="G18" i="14" a="1"/>
  <c r="G18" i="14" s="1"/>
  <c r="J26" i="14" a="1"/>
  <c r="J26" i="14" s="1"/>
  <c r="G39" i="14" a="1"/>
  <c r="G39" i="14" s="1"/>
  <c r="G42" i="14" a="1"/>
  <c r="G42" i="14" s="1"/>
  <c r="D7" i="14" a="1"/>
  <c r="D7" i="14" s="1"/>
  <c r="D31" i="14" a="1"/>
  <c r="D31" i="14" s="1"/>
  <c r="J17" i="14" a="1"/>
  <c r="J17" i="14" s="1"/>
  <c r="G48" i="14" a="1"/>
  <c r="G48" i="14" s="1"/>
  <c r="G2" i="14" a="1"/>
  <c r="G2" i="14" s="1"/>
  <c r="D41" i="14" a="1"/>
  <c r="D41" i="14" s="1"/>
  <c r="G23" i="14" a="1"/>
  <c r="G23" i="14" s="1"/>
  <c r="J42" i="14" a="1"/>
  <c r="J42" i="14" s="1"/>
  <c r="D53" i="14" a="1"/>
  <c r="D53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<sst xmlns="http://schemas.openxmlformats.org/spreadsheetml/2006/main" count="1771" uniqueCount="259">
  <si>
    <t>The lock password is "password"</t>
  </si>
  <si>
    <t xml:space="preserve"> </t>
  </si>
  <si>
    <t>X</t>
  </si>
  <si>
    <t>X'</t>
  </si>
  <si>
    <t>X2</t>
  </si>
  <si>
    <t>Y</t>
  </si>
  <si>
    <t>Y'</t>
  </si>
  <si>
    <t>Y2</t>
  </si>
  <si>
    <t>Z</t>
  </si>
  <si>
    <t>Z'</t>
  </si>
  <si>
    <t>Z2</t>
  </si>
  <si>
    <t>X2 Y</t>
  </si>
  <si>
    <t>X2 Y'</t>
  </si>
  <si>
    <t>Y2 Z</t>
  </si>
  <si>
    <t>Y2 Z'</t>
  </si>
  <si>
    <t>Z2 X</t>
  </si>
  <si>
    <t>Z2 X'</t>
  </si>
  <si>
    <t>T-reflection</t>
  </si>
  <si>
    <t>R</t>
  </si>
  <si>
    <t>L'</t>
  </si>
  <si>
    <t>R'</t>
  </si>
  <si>
    <t>L</t>
  </si>
  <si>
    <t>R2</t>
  </si>
  <si>
    <t>L2</t>
  </si>
  <si>
    <t>b</t>
  </si>
  <si>
    <t>d</t>
  </si>
  <si>
    <t>Group</t>
  </si>
  <si>
    <t>B</t>
  </si>
  <si>
    <t>D</t>
  </si>
  <si>
    <t>Still available for ascii chars: o, =, |</t>
  </si>
  <si>
    <t>orig</t>
  </si>
  <si>
    <t>char</t>
  </si>
  <si>
    <t>inverse</t>
  </si>
  <si>
    <t>Complement</t>
  </si>
  <si>
    <t>Rotation Direction</t>
  </si>
  <si>
    <t>(X)</t>
  </si>
  <si>
    <t>(Y)</t>
  </si>
  <si>
    <t>(Z)</t>
  </si>
  <si>
    <t>(T-reflection)</t>
  </si>
  <si>
    <t>(H-reflection)</t>
  </si>
  <si>
    <t>(S-reflection)</t>
  </si>
  <si>
    <t>H-reflection</t>
  </si>
  <si>
    <t>S-reflection</t>
  </si>
  <si>
    <t>l</t>
  </si>
  <si>
    <t>F</t>
  </si>
  <si>
    <t>r</t>
  </si>
  <si>
    <t>r'</t>
  </si>
  <si>
    <t>f</t>
  </si>
  <si>
    <t>l'</t>
  </si>
  <si>
    <t>T</t>
  </si>
  <si>
    <t>T'</t>
  </si>
  <si>
    <t>R'L</t>
  </si>
  <si>
    <t>S</t>
  </si>
  <si>
    <t>H'</t>
  </si>
  <si>
    <t>u</t>
  </si>
  <si>
    <t>U</t>
  </si>
  <si>
    <t>F'</t>
  </si>
  <si>
    <t>D'</t>
  </si>
  <si>
    <t>f'</t>
  </si>
  <si>
    <t>d'</t>
  </si>
  <si>
    <t>RL'</t>
  </si>
  <si>
    <t>S'</t>
  </si>
  <si>
    <t>H</t>
  </si>
  <si>
    <t>b'</t>
  </si>
  <si>
    <t>u'</t>
  </si>
  <si>
    <t>B'</t>
  </si>
  <si>
    <t>U'</t>
  </si>
  <si>
    <t>l2</t>
  </si>
  <si>
    <t>F2</t>
  </si>
  <si>
    <t>D2</t>
  </si>
  <si>
    <t>r2</t>
  </si>
  <si>
    <t>f2</t>
  </si>
  <si>
    <t>d2</t>
  </si>
  <si>
    <t>T2</t>
  </si>
  <si>
    <t>R2L2</t>
  </si>
  <si>
    <t>S2</t>
  </si>
  <si>
    <t>H2</t>
  </si>
  <si>
    <t>b2</t>
  </si>
  <si>
    <t>u2</t>
  </si>
  <si>
    <t>B2</t>
  </si>
  <si>
    <t>U2</t>
  </si>
  <si>
    <t>F'B</t>
  </si>
  <si>
    <t>FB'</t>
  </si>
  <si>
    <t>F2B2</t>
  </si>
  <si>
    <t>U'D</t>
  </si>
  <si>
    <t>UD'</t>
  </si>
  <si>
    <t>U2D2</t>
  </si>
  <si>
    <t>FR</t>
  </si>
  <si>
    <t>UR</t>
  </si>
  <si>
    <t>FL</t>
  </si>
  <si>
    <t>UB</t>
  </si>
  <si>
    <t>UL</t>
  </si>
  <si>
    <t>UF</t>
  </si>
  <si>
    <t>Both face turns whose complement has a given rotation</t>
  </si>
  <si>
    <t xml:space="preserve">  -</t>
  </si>
  <si>
    <t>SeekCodes</t>
  </si>
  <si>
    <t>All Coros (Core Rotations)</t>
  </si>
  <si>
    <t>DO6 - multiple methods of identification</t>
  </si>
  <si>
    <t>Mod 4 tracker</t>
  </si>
  <si>
    <t>Rotation</t>
  </si>
  <si>
    <t>Opposite Primary</t>
  </si>
  <si>
    <t>Opposite Secondary</t>
  </si>
  <si>
    <t>Face Turn Sought</t>
  </si>
  <si>
    <t>opp Rotation</t>
  </si>
  <si>
    <t>SeekCode</t>
  </si>
  <si>
    <t>Coro</t>
  </si>
  <si>
    <t>Type</t>
  </si>
  <si>
    <t>thumb pivot</t>
  </si>
  <si>
    <t>U-F center</t>
  </si>
  <si>
    <t>180 swap</t>
  </si>
  <si>
    <t>Types</t>
  </si>
  <si>
    <t>Groups</t>
  </si>
  <si>
    <t>Thumbs</t>
  </si>
  <si>
    <t>U-F centers</t>
  </si>
  <si>
    <t>180 swaps</t>
  </si>
  <si>
    <t>RotationNum</t>
  </si>
  <si>
    <t>CompRotationNum</t>
  </si>
  <si>
    <t>Group 1</t>
  </si>
  <si>
    <t>yellow-blue</t>
  </si>
  <si>
    <t>PAPER</t>
  </si>
  <si>
    <t>MyAlg</t>
  </si>
  <si>
    <t>Y' X2</t>
  </si>
  <si>
    <t>Group 2</t>
  </si>
  <si>
    <t>yellow-green</t>
  </si>
  <si>
    <t>Z2 Y'</t>
  </si>
  <si>
    <t>Group 3</t>
  </si>
  <si>
    <t>blue-orange</t>
  </si>
  <si>
    <t>FIRE</t>
  </si>
  <si>
    <t>Y Z2</t>
  </si>
  <si>
    <t>Group 4</t>
  </si>
  <si>
    <t>green-orange</t>
  </si>
  <si>
    <t>X X Y</t>
  </si>
  <si>
    <t>Group 5</t>
  </si>
  <si>
    <t>red-white</t>
  </si>
  <si>
    <t>WATER</t>
  </si>
  <si>
    <t>X' X' Y</t>
  </si>
  <si>
    <t>Group 6</t>
  </si>
  <si>
    <t>orange-yellow</t>
  </si>
  <si>
    <t>M'</t>
  </si>
  <si>
    <t>Y' X X</t>
  </si>
  <si>
    <t>Y' X' X'</t>
  </si>
  <si>
    <t>Z Z Y'</t>
  </si>
  <si>
    <t>Z' Z' Y'</t>
  </si>
  <si>
    <t>Y Z Z</t>
  </si>
  <si>
    <t>Y Z' Z'</t>
  </si>
  <si>
    <t>X Z X</t>
  </si>
  <si>
    <t>M2</t>
  </si>
  <si>
    <t>X' Z' X'</t>
  </si>
  <si>
    <t>Z X Z</t>
  </si>
  <si>
    <t>Z' X' Z'</t>
  </si>
  <si>
    <t>X Y Z</t>
  </si>
  <si>
    <t>Z' Y' X'</t>
  </si>
  <si>
    <t>X' Y Z'</t>
  </si>
  <si>
    <t>Z Y' X</t>
  </si>
  <si>
    <t>M</t>
  </si>
  <si>
    <t>Y X2</t>
  </si>
  <si>
    <t>Z2 Y</t>
  </si>
  <si>
    <t>Y' Z2</t>
  </si>
  <si>
    <t>X X Y'</t>
  </si>
  <si>
    <t>X' X' Y'</t>
  </si>
  <si>
    <t>Y X X</t>
  </si>
  <si>
    <t>Y X' X'</t>
  </si>
  <si>
    <t>Z Z Y</t>
  </si>
  <si>
    <t>Z' Z' Y</t>
  </si>
  <si>
    <t>Y' Z Z</t>
  </si>
  <si>
    <t>Y' Z' Z'</t>
  </si>
  <si>
    <t>X Z' X</t>
  </si>
  <si>
    <t>X' Z X'</t>
  </si>
  <si>
    <t>Z X' Z</t>
  </si>
  <si>
    <t>Z' X Z'</t>
  </si>
  <si>
    <t>X Y' Z'</t>
  </si>
  <si>
    <t>Z Y X'</t>
  </si>
  <si>
    <t>X' Y' Z</t>
  </si>
  <si>
    <t>Z' Y X</t>
  </si>
  <si>
    <t>Z' Y2</t>
  </si>
  <si>
    <t>X2 Z'</t>
  </si>
  <si>
    <t>Z X2</t>
  </si>
  <si>
    <t>Y Y Z</t>
  </si>
  <si>
    <t>Y' Y' Z</t>
  </si>
  <si>
    <t>Z' Y Y</t>
  </si>
  <si>
    <t>Z' Y' Y'</t>
  </si>
  <si>
    <t>X X Z'</t>
  </si>
  <si>
    <t>X' X' Z'</t>
  </si>
  <si>
    <t>Z X X</t>
  </si>
  <si>
    <t>Z X' X'</t>
  </si>
  <si>
    <t>Y X Y</t>
  </si>
  <si>
    <t>Y' X' Y'</t>
  </si>
  <si>
    <t>X Y X</t>
  </si>
  <si>
    <t>X' Y' X'</t>
  </si>
  <si>
    <t>Y Z X</t>
  </si>
  <si>
    <t>X' Z' Y'</t>
  </si>
  <si>
    <t>Y' Z X'</t>
  </si>
  <si>
    <t>X Z' Y</t>
  </si>
  <si>
    <t>Z Y2</t>
  </si>
  <si>
    <t>X2 Z</t>
  </si>
  <si>
    <t>Z' X2</t>
  </si>
  <si>
    <t>Y Y Z'</t>
  </si>
  <si>
    <t>Y' Y' Z'</t>
  </si>
  <si>
    <t>Z Y Y</t>
  </si>
  <si>
    <t>Z Y' Y'</t>
  </si>
  <si>
    <t>X X Z</t>
  </si>
  <si>
    <t>X' X' Z</t>
  </si>
  <si>
    <t>Z' X X</t>
  </si>
  <si>
    <t>Z' X' X'</t>
  </si>
  <si>
    <t>Y X' Y</t>
  </si>
  <si>
    <t>Y' X Y'</t>
  </si>
  <si>
    <t>X Y' X</t>
  </si>
  <si>
    <t>X' Y X'</t>
  </si>
  <si>
    <t>Y Z' X'</t>
  </si>
  <si>
    <t>X Z Y'</t>
  </si>
  <si>
    <t>Y' Z' X</t>
  </si>
  <si>
    <t>X' Z Y</t>
  </si>
  <si>
    <t>X' Z2</t>
  </si>
  <si>
    <t>Y2 X'</t>
  </si>
  <si>
    <t>X Y2</t>
  </si>
  <si>
    <t>Z Z X</t>
  </si>
  <si>
    <t>Z' Z' X</t>
  </si>
  <si>
    <t>X' Z Z</t>
  </si>
  <si>
    <t>X' Z' Z'</t>
  </si>
  <si>
    <t>Y Y X'</t>
  </si>
  <si>
    <t>Y' Y' X'</t>
  </si>
  <si>
    <t>X Y Y</t>
  </si>
  <si>
    <t>X Y' Y'</t>
  </si>
  <si>
    <t>Z Y Z</t>
  </si>
  <si>
    <t>Z' Y' Z'</t>
  </si>
  <si>
    <t>Y Z Y</t>
  </si>
  <si>
    <t>Y' Z' Y'</t>
  </si>
  <si>
    <t>Z X Y</t>
  </si>
  <si>
    <t>Y' X' Z'</t>
  </si>
  <si>
    <t>Z' X Y'</t>
  </si>
  <si>
    <t>Y X' Z</t>
  </si>
  <si>
    <t>X Z2</t>
  </si>
  <si>
    <t>Y2 X</t>
  </si>
  <si>
    <t>X' Y2</t>
  </si>
  <si>
    <t>Z Z X'</t>
  </si>
  <si>
    <t>Z' Z' X'</t>
  </si>
  <si>
    <t>X Z Z</t>
  </si>
  <si>
    <t>X Z' Z'</t>
  </si>
  <si>
    <t>Y Y X</t>
  </si>
  <si>
    <t>Y' Y' X</t>
  </si>
  <si>
    <t>X' Y Y</t>
  </si>
  <si>
    <t>X' Y' Y'</t>
  </si>
  <si>
    <t>Z Y' Z</t>
  </si>
  <si>
    <t>Z' Y Z'</t>
  </si>
  <si>
    <t>Y Z' Y</t>
  </si>
  <si>
    <t>Y' Z Y'</t>
  </si>
  <si>
    <t>Z X' Y'</t>
  </si>
  <si>
    <t>Y X Z'</t>
  </si>
  <si>
    <t>Z' X' Y</t>
  </si>
  <si>
    <t>Y' X Z</t>
  </si>
  <si>
    <t>AX--&gt;XB</t>
  </si>
  <si>
    <t>AX2--&gt;X2B</t>
  </si>
  <si>
    <t>AX'--&gt;X'B</t>
  </si>
  <si>
    <t>AY--&gt;YB</t>
  </si>
  <si>
    <t>AY2--&gt;Y2B</t>
  </si>
  <si>
    <t>AY'--&gt;Y'B</t>
  </si>
  <si>
    <t>AZ--&gt;ZB</t>
  </si>
  <si>
    <t>AZ2--&gt;Z2B</t>
  </si>
  <si>
    <t>AZ'--&gt;Z'B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</si>
</sst>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18"/>
    </font>
    <font>
      <sz val="6"/>
      <name val="Yu Gothic"/>
      <family val="2"/>
      <charset val="128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rgb="FF50505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3" fillId="0" borderId="0" xfId="0" applyFont="1" applyAlignment="1">
      <alignment wrapText="1" readingOrder="1"/>
    </xf>
    <xf numFmtId="0" fontId="0" fillId="2" borderId="0" xfId="0" applyFill="1"/>
    <xf numFmtId="0" fontId="0" fillId="0" borderId="0" xfId="0" quotePrefix="1"/>
    <xf numFmtId="0" fontId="3" fillId="0" borderId="3" xfId="0" applyFont="1" applyBorder="1" applyAlignment="1">
      <alignment wrapText="1" readingOrder="1"/>
    </xf>
    <xf numFmtId="0" fontId="0" fillId="0" borderId="3" xfId="0" applyBorder="1"/>
    <xf numFmtId="0" fontId="0" fillId="0" borderId="2" xfId="0" applyBorder="1"/>
    <xf numFmtId="0" fontId="3" fillId="0" borderId="4" xfId="0" applyFont="1" applyBorder="1" applyAlignment="1">
      <alignment wrapText="1" readingOrder="1"/>
    </xf>
    <xf numFmtId="0" fontId="0" fillId="0" borderId="4" xfId="0" applyBorder="1"/>
    <xf numFmtId="0" fontId="0" fillId="0" borderId="5" xfId="0" applyBorder="1"/>
    <xf numFmtId="0" fontId="5" fillId="0" borderId="3" xfId="0" applyFont="1" applyBorder="1" applyAlignment="1">
      <alignment wrapText="1" readingOrder="1"/>
    </xf>
  </cellXfs>
  <cellStyles count="1">
    <cellStyle name="Normal" xfId="0" builtinId="0"/>
  </cellStyles>
  <dxfs count="65">
    <dxf>
      <fill>
        <patternFill>
          <bgColor rgb="FF20E8ED"/>
        </patternFill>
      </fill>
    </dxf>
    <dxf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sz val="1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</dxfs>
  <tableStyles count="0" defaultTableStyle="TableStyleMedium2" defaultPivotStyle="PivotStyleMedium9"/>
  <colors>
    <mruColors>
      <color rgb="FF56E8C6"/>
      <color rgb="FFF36DE9"/>
      <color rgb="FF00D2C7"/>
      <color rgb="FF20E8ED"/>
      <color rgb="FFE85A6D"/>
      <color rgb="FFFF90C7"/>
      <color rgb="FF2B2B2B"/>
      <color rgb="FF7C4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C8717-F9C8-4F69-BEFA-7A9CFBE9E0FC}" name="Table1" displayName="Table1" ref="E4:F58" totalsRowShown="0" headerRowDxfId="64" dataDxfId="63">
  <autoFilter ref="E4:F58" xr:uid="{39DC8717-F9C8-4F69-BEFA-7A9CFBE9E0FC}"/>
  <tableColumns count="2">
    <tableColumn id="2" xr3:uid="{261FAE33-952B-4602-B772-C5B266CD69CD}" name="orig" dataDxfId="62"/>
    <tableColumn id="3" xr3:uid="{224443CF-22EE-4BA6-97C6-DBE87AE0E5AB}" name="(Y)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45DC8B-6C42-8A4F-A431-A22A6834EB22}" name="Table4" displayName="Table4" ref="B4:C58" totalsRowShown="0" headerRowDxfId="60" dataDxfId="59" tableBorderDxfId="58">
  <autoFilter ref="B4:C58" xr:uid="{FE45DC8B-6C42-8A4F-A431-A22A6834EB22}"/>
  <tableColumns count="2">
    <tableColumn id="1" xr3:uid="{C6340FD7-0F60-764E-B209-042F7E97B32C}" name="orig" dataDxfId="57"/>
    <tableColumn id="2" xr3:uid="{320E2130-696E-0041-A459-52DE6F924494}" name="(X)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810B22-54A4-6E4E-BF42-E89E63719305}" name="Table3" displayName="Table3" ref="H4:I58" totalsRowShown="0" headerRowDxfId="55" dataDxfId="54" tableBorderDxfId="53">
  <autoFilter ref="H4:I58" xr:uid="{3B810B22-54A4-6E4E-BF42-E89E63719305}"/>
  <tableColumns count="2">
    <tableColumn id="1" xr3:uid="{4640F449-0D6D-6040-93D0-F3F2CB213E57}" name="orig" dataDxfId="52"/>
    <tableColumn id="2" xr3:uid="{7ED22FEE-42CD-334B-A724-96967247B8AE}" name="(Z)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6F0EB8-6E4C-D946-B118-0E8E7E2AF251}" name="Table5" displayName="Table5" ref="K4:L58" totalsRowShown="0" headerRowDxfId="50" dataDxfId="49" tableBorderDxfId="48">
  <autoFilter ref="K4:L58" xr:uid="{6B6F0EB8-6E4C-D946-B118-0E8E7E2AF251}"/>
  <tableColumns count="2">
    <tableColumn id="1" xr3:uid="{6DFF3402-A2BB-AC45-A076-9A01D15F8D9E}" name="orig" dataDxfId="47"/>
    <tableColumn id="2" xr3:uid="{FCE8A85E-7009-AB4F-893B-20D1918F78B9}" name="(T-reflection)" dataDxfId="4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6D42E3-1540-6546-875D-AB4CBA9C4B78}" name="Table6" displayName="Table6" ref="N4:O58" totalsRowShown="0" headerRowDxfId="45" dataDxfId="44" tableBorderDxfId="43">
  <autoFilter ref="N4:O58" xr:uid="{FD6D42E3-1540-6546-875D-AB4CBA9C4B78}"/>
  <tableColumns count="2">
    <tableColumn id="1" xr3:uid="{331E1CFC-0112-E740-BEB9-D98CE358E25B}" name="orig" dataDxfId="42"/>
    <tableColumn id="2" xr3:uid="{FC0EE1FC-369D-BD4F-9F7C-4A4AF4365B84}" name="(H-reflection)" dataDxfId="4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AC9367-0D38-DE4F-A57E-AB17C0ADDD69}" name="Table7" displayName="Table7" ref="Q4:R58" totalsRowShown="0" headerRowDxfId="40" dataDxfId="39" tableBorderDxfId="38">
  <autoFilter ref="Q4:R58" xr:uid="{78AC9367-0D38-DE4F-A57E-AB17C0ADDD69}"/>
  <tableColumns count="2">
    <tableColumn id="1" xr3:uid="{7E4C4427-BE99-1644-AE98-125DA80C16DC}" name="orig" dataDxfId="37"/>
    <tableColumn id="2" xr3:uid="{AE305346-7FA8-E641-BEE8-F1D2A1D47C85}" name="(S-reflection)" dataDxfId="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F4FEEC-D297-E84C-B2DE-86C5D909A908}" name="Table11" displayName="Table11" ref="B4:D58" totalsRowShown="0" headerRowDxfId="35">
  <autoFilter ref="B4:D58" xr:uid="{E5F4FEEC-D297-E84C-B2DE-86C5D909A908}"/>
  <tableColumns count="3">
    <tableColumn id="1" xr3:uid="{D2E4CF96-ECE3-5F48-8B34-4043D6BE457A}" name="Rotation"/>
    <tableColumn id="2" xr3:uid="{C9D37F46-F070-EF45-B6C8-67D96BC84F43}" name="Opposite Primary"/>
    <tableColumn id="3" xr3:uid="{F12F6E4D-FE66-F347-ABA5-C111265D88B4}" name="Opposite Second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35F4C9-1C7D-BC4F-999F-5FD072560DD7}" name="Table12" displayName="Table12" ref="F4:I58" totalsRowShown="0" headerRowDxfId="34">
  <autoFilter ref="F4:I58" xr:uid="{7135F4C9-1C7D-BC4F-999F-5FD072560DD7}"/>
  <tableColumns count="4">
    <tableColumn id="1" xr3:uid="{D2650480-6F65-5248-A8A1-E74703193DD3}" name="Face Turn Sought"/>
    <tableColumn id="2" xr3:uid="{D0ADEAD9-B8D0-6C4A-8587-6EC254AF77E8}" name="char"/>
    <tableColumn id="3" xr3:uid="{0E5FC2C9-2EC5-A34B-B4B2-72404D142FF6}" name="opp Rotation"/>
    <tableColumn id="4" xr3:uid="{3DBA90ED-5910-2C40-9E5A-63B85EF85C46}" name="SeekCod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A058E9-C5D8-6840-99D0-CDAAF75936DA}" name="Table15" displayName="Table15" ref="L4:Q124" totalsRowShown="0">
  <autoFilter ref="L4:Q124" xr:uid="{7AA058E9-C5D8-6840-99D0-CDAAF75936DA}"/>
  <tableColumns count="6">
    <tableColumn id="1" xr3:uid="{7EF6168C-4CA7-6B42-9482-2160663272A1}" name="Coro"/>
    <tableColumn id="2" xr3:uid="{0AAAD174-C6B8-304E-8BC0-36C58B044819}" name="Type" dataDxfId="33"/>
    <tableColumn id="3" xr3:uid="{17196624-4AF9-6444-8BFD-B30CFB4A7099}" name="Group"/>
    <tableColumn id="4" xr3:uid="{31C7BA7B-0DB6-D64B-BEC0-F8C4B36F19ED}" name="thumb pivot"/>
    <tableColumn id="5" xr3:uid="{D74D199A-4D17-F949-85EB-043E9DC226B5}" name="U-F center"/>
    <tableColumn id="6" xr3:uid="{85157A08-DD55-BC49-BC65-A283730A03CF}" name="180 swa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5FBC010-C539-3A49-B472-CEB78074ED61}" name="Table17" displayName="Table17" ref="S4:W10" totalsRowShown="0" headerRowDxfId="32" dataDxfId="31" tableBorderDxfId="30">
  <autoFilter ref="S4:W10" xr:uid="{45FBC010-C539-3A49-B472-CEB78074ED61}"/>
  <tableColumns count="5">
    <tableColumn id="1" xr3:uid="{A1DEABE7-CEFF-E149-AE49-24DCA94B2423}" name="Types" dataDxfId="29"/>
    <tableColumn id="2" xr3:uid="{CFF53E1A-5317-E744-9C39-C222A1DD1142}" name="Groups" dataDxfId="28"/>
    <tableColumn id="3" xr3:uid="{371F35C8-1153-D447-B1EB-A989F413B950}" name="Thumbs" dataDxfId="27"/>
    <tableColumn id="4" xr3:uid="{1F12399E-46C3-B241-817A-EF4A9CBCB7ED}" name="U-F centers" dataDxfId="26"/>
    <tableColumn id="5" xr3:uid="{FE700833-8B7B-BA43-83A9-4E104B315659}" name="180 swaps" dataDxfId="2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591021-B267-E847-8C49-37383BCA8F0C}" name="Table14" displayName="Table14" ref="Y4:AC26" totalsRowShown="0">
  <autoFilter ref="Y4:AC26" xr:uid="{43591021-B267-E847-8C49-37383BCA8F0C}"/>
  <tableColumns count="5">
    <tableColumn id="1" xr3:uid="{136DC061-3058-114F-A1B9-EE9D4305145F}" name="X"/>
    <tableColumn id="2" xr3:uid="{CD94FC21-7443-0144-9A70-9365970941BA}" name="Y"/>
    <tableColumn id="3" xr3:uid="{171AF67D-A22B-A245-92FB-C5AADC4C7AE7}" name="Z"/>
    <tableColumn id="4" xr3:uid="{AF3D6317-92EA-0E42-8423-B81B14786204}" name="RotationNum"/>
    <tableColumn id="5" xr3:uid="{AD4E9410-2554-C14B-9833-BFD6234D044D}" name="CompRotationNum" dataDxfId="24">
      <calculatedColumnFormula>MOD(4-Table14[[#This Row],[RotationNum]],4)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755446-5EF2-8143-8C87-1A7ABBC21F39}" name="Table9" displayName="Table9" ref="A1:D55" totalsRowShown="0" headerRowDxfId="23" dataDxfId="22" tableBorderDxfId="21">
  <autoFilter ref="A1:D55" xr:uid="{C5755446-5EF2-8143-8C87-1A7ABBC21F39}"/>
  <tableColumns count="4">
    <tableColumn id="1" xr3:uid="{6D6CEE8D-9ABA-1D4C-80BC-0111D5EBDB36}" name="orig" dataDxfId="20"/>
    <tableColumn id="3" xr3:uid="{051D478E-0904-4B06-9033-9E911DE61016}" name="inverse" dataDxfId="19"/>
    <tableColumn id="11" xr3:uid="{B435DF90-3F4A-0D44-B7C7-981F4EA63919}" name="Complement" dataDxfId="18"/>
    <tableColumn id="10" xr3:uid="{1C37F64A-F270-DF44-B8D4-BC724CBAFEB0}" name="Rotation Direction" dataDxfId="1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2989BD-C98E-9A41-B671-F66D33543D5A}" name="Table2" displayName="Table2" ref="A1:M55" totalsRowShown="0" headerRowDxfId="16" dataDxfId="15">
  <autoFilter ref="A1:M55" xr:uid="{BD2989BD-C98E-9A41-B671-F66D33543D5A}"/>
  <tableColumns count="13">
    <tableColumn id="1" xr3:uid="{D84713D4-EBFB-F741-89E9-DF0DE975DCB4}" name="orig" dataDxfId="14">
      <calculatedColumnFormula>intermediate!E5</calculatedColumnFormula>
    </tableColumn>
    <tableColumn id="7" xr3:uid="{E90E5CA9-DCC9-A34E-862E-3A065DC3B0EB}" name="AX--&gt;XB" dataDxfId="13">
      <calculatedColumnFormula array="1">_xlfn.XLOOKUP(TRUE, EXACT(Table2[[#This Row],[orig]], Table4[orig]), Table4[(X)])</calculatedColumnFormula>
    </tableColumn>
    <tableColumn id="6" xr3:uid="{575DDDB4-7687-FC47-8C90-00126ED99A10}" name="AX2--&gt;X2B" dataDxfId="12">
      <calculatedColumnFormula array="1">_xlfn.XLOOKUP(TRUE, EXACT(B2, Table4[orig]), Table4[(X)])</calculatedColumnFormula>
    </tableColumn>
    <tableColumn id="5" xr3:uid="{5EF59DDD-4B53-DE42-B6BD-7FD3D37998AA}" name="AX'--&gt;X'B" dataDxfId="11">
      <calculatedColumnFormula array="1">_xlfn.XLOOKUP(TRUE, EXACT(C2, Table4[orig]), Table4[(X)])</calculatedColumnFormula>
    </tableColumn>
    <tableColumn id="2" xr3:uid="{2BDA21B0-DDFA-A943-9AE3-2002F487E936}" name="AY--&gt;YB" dataDxfId="10">
      <calculatedColumnFormula array="1">_xlfn.XLOOKUP(TRUE, EXACT(A2, Table1[orig]), Table1[(Y)])</calculatedColumnFormula>
    </tableColumn>
    <tableColumn id="3" xr3:uid="{6F2E5D26-C57A-C544-B6C7-D582616ADE53}" name="AY2--&gt;Y2B" dataDxfId="9">
      <calculatedColumnFormula array="1">_xlfn.XLOOKUP(TRUE, EXACT(E2, Table1[orig]), Table1[(Y)])</calculatedColumnFormula>
    </tableColumn>
    <tableColumn id="4" xr3:uid="{AF4715C6-E998-8347-9945-E4CECCAC0DF5}" name="AY'--&gt;Y'B" dataDxfId="8">
      <calculatedColumnFormula array="1">_xlfn.XLOOKUP(TRUE, EXACT(F2, Table1[orig]), Table1[(Y)])</calculatedColumnFormula>
    </tableColumn>
    <tableColumn id="13" xr3:uid="{B6211330-7C2D-6846-9131-5A50C0C80D28}" name="AZ--&gt;ZB" dataDxfId="7">
      <calculatedColumnFormula array="1">_xlfn.XLOOKUP(TRUE, EXACT(Table2[[#This Row],[orig]], Table3[orig]), Table3[(Z)])</calculatedColumnFormula>
    </tableColumn>
    <tableColumn id="12" xr3:uid="{5337B581-3138-E343-A346-D938E5793A56}" name="AZ2--&gt;Z2B" dataDxfId="6">
      <calculatedColumnFormula array="1">_xlfn.XLOOKUP(TRUE, EXACT(H2, Table3[orig]), Table3[(Z)])</calculatedColumnFormula>
    </tableColumn>
    <tableColumn id="11" xr3:uid="{7BB96A9A-0D83-DA47-BC99-B547A51EEB37}" name="AZ'--&gt;Z'B" dataDxfId="5">
      <calculatedColumnFormula array="1">_xlfn.XLOOKUP(TRUE, EXACT(I2, Table3[orig]), Table3[(Z)])</calculatedColumnFormula>
    </tableColumn>
    <tableColumn id="10" xr3:uid="{6E619BEB-3249-F647-8EA6-670CD967F369}" name="T-reflection" dataDxfId="4">
      <calculatedColumnFormula array="1">_xlfn.XLOOKUP(TRUE, EXACT(Table2[[#This Row],[orig]], Table5[orig]), Table5[(T-reflection)])</calculatedColumnFormula>
    </tableColumn>
    <tableColumn id="9" xr3:uid="{345D2781-29F7-BC49-B9CA-B635C564ED1D}" name="H-reflection" dataDxfId="3">
      <calculatedColumnFormula array="1">_xlfn.XLOOKUP(TRUE, EXACT(Table2[[#This Row],[orig]], Table6[orig]), Table6[(H-reflection)])</calculatedColumnFormula>
    </tableColumn>
    <tableColumn id="8" xr3:uid="{425EF2DE-6131-C243-9903-CE2FE2C7566D}" name="S-reflection" dataDxfId="2">
      <calculatedColumnFormula array="1">_xlfn.XLOOKUP(TRUE, EXACT(Table2[[#This Row],[orig]], Table7[orig]), Table7[(S-reflection)])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789F-1937-4698-9481-F1740E941C05}">
  <sheetPr>
    <tabColor theme="8"/>
  </sheetPr>
  <dimension ref="A2:AE58"/>
  <sheetViews>
    <sheetView topLeftCell="A2" workbookViewId="0">
      <selection activeCell="V22" sqref="V22"/>
    </sheetView>
  </sheetViews>
  <sheetFormatPr baseColWidth="10" defaultColWidth="9.1640625" defaultRowHeight="15" x14ac:dyDescent="0.2"/>
  <cols>
    <col min="1" max="1" width="3.33203125" customWidth="1"/>
    <col min="2" max="3" width="7.1640625" customWidth="1"/>
    <col min="4" max="5" width="8" customWidth="1"/>
    <col min="6" max="6" width="6.1640625" customWidth="1"/>
    <col min="7" max="7" width="8" customWidth="1"/>
    <col min="9" max="10" width="7.1640625" customWidth="1"/>
    <col min="11" max="11" width="11.33203125" customWidth="1"/>
    <col min="12" max="12" width="7" customWidth="1"/>
    <col min="14" max="14" width="6.6640625" customWidth="1"/>
    <col min="15" max="15" width="4.5" customWidth="1"/>
    <col min="16" max="16" width="7.1640625" customWidth="1"/>
    <col min="17" max="17" width="7.33203125" customWidth="1"/>
    <col min="18" max="18" width="4.33203125" customWidth="1"/>
    <col min="19" max="19" width="7.1640625" customWidth="1"/>
    <col min="20" max="20" width="8.33203125" customWidth="1"/>
    <col min="21" max="21" width="4" customWidth="1"/>
    <col min="22" max="22" width="7.1640625" customWidth="1"/>
    <col min="23" max="23" width="7.83203125" customWidth="1"/>
    <col min="24" max="24" width="4" customWidth="1"/>
    <col min="25" max="25" width="7.1640625" customWidth="1"/>
    <col min="26" max="26" width="7" customWidth="1"/>
    <col min="27" max="27" width="7.6640625" customWidth="1"/>
    <col min="28" max="30" width="7.1640625" customWidth="1"/>
    <col min="31" max="31" width="6.1640625" customWidth="1"/>
  </cols>
  <sheetData>
    <row r="2" spans="1:31" x14ac:dyDescent="0.2">
      <c r="B2" t="s">
        <v>0</v>
      </c>
      <c r="F2" t="s">
        <v>29</v>
      </c>
    </row>
    <row r="4" spans="1:31" s="2" customFormat="1" x14ac:dyDescent="0.2">
      <c r="B4" s="2" t="s">
        <v>30</v>
      </c>
      <c r="C4" s="2" t="s">
        <v>35</v>
      </c>
      <c r="E4" s="2" t="s">
        <v>30</v>
      </c>
      <c r="F4" s="2" t="s">
        <v>36</v>
      </c>
      <c r="H4" s="2" t="s">
        <v>30</v>
      </c>
      <c r="I4" s="2" t="s">
        <v>37</v>
      </c>
      <c r="K4" s="2" t="s">
        <v>30</v>
      </c>
      <c r="L4" s="2" t="s">
        <v>38</v>
      </c>
      <c r="N4" s="2" t="s">
        <v>30</v>
      </c>
      <c r="O4" s="2" t="s">
        <v>39</v>
      </c>
      <c r="Q4" s="2" t="s">
        <v>30</v>
      </c>
      <c r="R4" s="2" t="s">
        <v>40</v>
      </c>
    </row>
    <row r="5" spans="1:31" x14ac:dyDescent="0.2">
      <c r="B5" t="s">
        <v>18</v>
      </c>
      <c r="C5" t="s">
        <v>18</v>
      </c>
      <c r="E5" t="s">
        <v>18</v>
      </c>
      <c r="F5" t="s">
        <v>44</v>
      </c>
      <c r="H5" t="s">
        <v>18</v>
      </c>
      <c r="I5" t="s">
        <v>28</v>
      </c>
      <c r="K5" t="s">
        <v>18</v>
      </c>
      <c r="L5" t="s">
        <v>19</v>
      </c>
      <c r="N5" t="s">
        <v>18</v>
      </c>
      <c r="O5" t="s">
        <v>20</v>
      </c>
      <c r="Q5" t="s">
        <v>18</v>
      </c>
      <c r="R5" t="s">
        <v>20</v>
      </c>
    </row>
    <row r="6" spans="1:31" x14ac:dyDescent="0.2">
      <c r="B6" t="s">
        <v>45</v>
      </c>
      <c r="C6" t="s">
        <v>45</v>
      </c>
      <c r="E6" s="6" t="s">
        <v>45</v>
      </c>
      <c r="F6" t="s">
        <v>47</v>
      </c>
      <c r="H6" t="s">
        <v>45</v>
      </c>
      <c r="I6" t="s">
        <v>25</v>
      </c>
      <c r="K6" t="s">
        <v>45</v>
      </c>
      <c r="L6" t="s">
        <v>48</v>
      </c>
      <c r="N6" t="s">
        <v>45</v>
      </c>
      <c r="O6" t="s">
        <v>46</v>
      </c>
      <c r="Q6" t="s">
        <v>45</v>
      </c>
      <c r="R6" t="s">
        <v>46</v>
      </c>
    </row>
    <row r="7" spans="1:31" x14ac:dyDescent="0.2">
      <c r="B7" t="s">
        <v>49</v>
      </c>
      <c r="C7" t="s">
        <v>49</v>
      </c>
      <c r="E7" t="s">
        <v>49</v>
      </c>
      <c r="F7" t="s">
        <v>52</v>
      </c>
      <c r="H7" t="s">
        <v>49</v>
      </c>
      <c r="I7" t="s">
        <v>53</v>
      </c>
      <c r="K7" t="s">
        <v>49</v>
      </c>
      <c r="L7" t="s">
        <v>49</v>
      </c>
      <c r="N7" t="s">
        <v>49</v>
      </c>
      <c r="O7" t="s">
        <v>50</v>
      </c>
      <c r="Q7" t="s">
        <v>49</v>
      </c>
      <c r="R7" t="s">
        <v>50</v>
      </c>
    </row>
    <row r="8" spans="1:31" x14ac:dyDescent="0.2">
      <c r="B8" t="s">
        <v>43</v>
      </c>
      <c r="C8" t="s">
        <v>43</v>
      </c>
      <c r="E8" t="s">
        <v>43</v>
      </c>
      <c r="F8" t="s">
        <v>24</v>
      </c>
      <c r="H8" t="s">
        <v>43</v>
      </c>
      <c r="I8" t="s">
        <v>54</v>
      </c>
      <c r="K8" t="s">
        <v>43</v>
      </c>
      <c r="L8" t="s">
        <v>46</v>
      </c>
      <c r="N8" t="s">
        <v>43</v>
      </c>
      <c r="O8" t="s">
        <v>48</v>
      </c>
      <c r="Q8" t="s">
        <v>43</v>
      </c>
      <c r="R8" t="s">
        <v>48</v>
      </c>
    </row>
    <row r="9" spans="1:31" x14ac:dyDescent="0.2">
      <c r="B9" t="s">
        <v>21</v>
      </c>
      <c r="C9" t="s">
        <v>21</v>
      </c>
      <c r="E9" t="s">
        <v>21</v>
      </c>
      <c r="F9" t="s">
        <v>27</v>
      </c>
      <c r="H9" t="s">
        <v>21</v>
      </c>
      <c r="I9" t="s">
        <v>55</v>
      </c>
      <c r="K9" t="s">
        <v>21</v>
      </c>
      <c r="L9" t="s">
        <v>20</v>
      </c>
      <c r="N9" t="s">
        <v>21</v>
      </c>
      <c r="O9" t="s">
        <v>19</v>
      </c>
      <c r="Q9" t="s">
        <v>21</v>
      </c>
      <c r="R9" t="s">
        <v>19</v>
      </c>
    </row>
    <row r="10" spans="1:31" s="3" customFormat="1" x14ac:dyDescent="0.2">
      <c r="A10"/>
      <c r="B10" s="3" t="s">
        <v>2</v>
      </c>
      <c r="C10" s="3" t="s">
        <v>2</v>
      </c>
      <c r="D10"/>
      <c r="E10" s="3" t="s">
        <v>2</v>
      </c>
      <c r="F10" s="3" t="s">
        <v>8</v>
      </c>
      <c r="G10"/>
      <c r="H10" s="3" t="s">
        <v>2</v>
      </c>
      <c r="I10" s="3" t="s">
        <v>6</v>
      </c>
      <c r="J10"/>
      <c r="K10" s="3" t="s">
        <v>2</v>
      </c>
      <c r="L10" s="3" t="s">
        <v>2</v>
      </c>
      <c r="M10"/>
      <c r="N10" s="3" t="s">
        <v>2</v>
      </c>
      <c r="O10" s="3" t="s">
        <v>3</v>
      </c>
      <c r="P10"/>
      <c r="Q10" s="3" t="s">
        <v>2</v>
      </c>
      <c r="R10" s="3" t="s">
        <v>3</v>
      </c>
      <c r="AE10"/>
    </row>
    <row r="11" spans="1:31" x14ac:dyDescent="0.2">
      <c r="B11" t="s">
        <v>20</v>
      </c>
      <c r="C11" t="s">
        <v>20</v>
      </c>
      <c r="E11" t="s">
        <v>20</v>
      </c>
      <c r="F11" t="s">
        <v>56</v>
      </c>
      <c r="H11" t="s">
        <v>20</v>
      </c>
      <c r="I11" t="s">
        <v>57</v>
      </c>
      <c r="K11" t="s">
        <v>20</v>
      </c>
      <c r="L11" t="s">
        <v>21</v>
      </c>
      <c r="N11" t="s">
        <v>20</v>
      </c>
      <c r="O11" t="s">
        <v>18</v>
      </c>
      <c r="Q11" t="s">
        <v>20</v>
      </c>
      <c r="R11" t="s">
        <v>18</v>
      </c>
    </row>
    <row r="12" spans="1:31" x14ac:dyDescent="0.2">
      <c r="B12" t="s">
        <v>46</v>
      </c>
      <c r="C12" t="s">
        <v>46</v>
      </c>
      <c r="E12" t="s">
        <v>46</v>
      </c>
      <c r="F12" t="s">
        <v>58</v>
      </c>
      <c r="H12" t="s">
        <v>46</v>
      </c>
      <c r="I12" t="s">
        <v>59</v>
      </c>
      <c r="K12" t="s">
        <v>46</v>
      </c>
      <c r="L12" t="s">
        <v>43</v>
      </c>
      <c r="N12" t="s">
        <v>46</v>
      </c>
      <c r="O12" t="s">
        <v>45</v>
      </c>
      <c r="Q12" t="s">
        <v>46</v>
      </c>
      <c r="R12" t="s">
        <v>45</v>
      </c>
    </row>
    <row r="13" spans="1:31" x14ac:dyDescent="0.2">
      <c r="B13" t="s">
        <v>50</v>
      </c>
      <c r="C13" t="s">
        <v>50</v>
      </c>
      <c r="E13" t="s">
        <v>50</v>
      </c>
      <c r="F13" t="s">
        <v>61</v>
      </c>
      <c r="H13" t="s">
        <v>50</v>
      </c>
      <c r="I13" t="s">
        <v>62</v>
      </c>
      <c r="K13" t="s">
        <v>50</v>
      </c>
      <c r="L13" t="s">
        <v>50</v>
      </c>
      <c r="N13" t="s">
        <v>50</v>
      </c>
      <c r="O13" t="s">
        <v>49</v>
      </c>
      <c r="Q13" t="s">
        <v>50</v>
      </c>
      <c r="R13" t="s">
        <v>49</v>
      </c>
    </row>
    <row r="14" spans="1:31" x14ac:dyDescent="0.2">
      <c r="B14" t="s">
        <v>48</v>
      </c>
      <c r="C14" t="s">
        <v>48</v>
      </c>
      <c r="E14" t="s">
        <v>48</v>
      </c>
      <c r="F14" t="s">
        <v>63</v>
      </c>
      <c r="H14" t="s">
        <v>48</v>
      </c>
      <c r="I14" t="s">
        <v>64</v>
      </c>
      <c r="K14" t="s">
        <v>48</v>
      </c>
      <c r="L14" t="s">
        <v>45</v>
      </c>
      <c r="N14" t="s">
        <v>48</v>
      </c>
      <c r="O14" t="s">
        <v>43</v>
      </c>
      <c r="Q14" t="s">
        <v>48</v>
      </c>
      <c r="R14" t="s">
        <v>43</v>
      </c>
    </row>
    <row r="15" spans="1:31" x14ac:dyDescent="0.2">
      <c r="B15" t="s">
        <v>19</v>
      </c>
      <c r="C15" t="s">
        <v>19</v>
      </c>
      <c r="E15" t="s">
        <v>19</v>
      </c>
      <c r="F15" t="s">
        <v>65</v>
      </c>
      <c r="H15" t="s">
        <v>19</v>
      </c>
      <c r="I15" t="s">
        <v>66</v>
      </c>
      <c r="K15" t="s">
        <v>19</v>
      </c>
      <c r="L15" t="s">
        <v>18</v>
      </c>
      <c r="N15" t="s">
        <v>19</v>
      </c>
      <c r="O15" t="s">
        <v>21</v>
      </c>
      <c r="Q15" t="s">
        <v>19</v>
      </c>
      <c r="R15" t="s">
        <v>21</v>
      </c>
    </row>
    <row r="16" spans="1:31" s="3" customFormat="1" x14ac:dyDescent="0.2">
      <c r="A16"/>
      <c r="B16" s="3" t="s">
        <v>3</v>
      </c>
      <c r="C16" s="3" t="s">
        <v>3</v>
      </c>
      <c r="D16"/>
      <c r="E16" s="3" t="s">
        <v>3</v>
      </c>
      <c r="F16" s="3" t="s">
        <v>9</v>
      </c>
      <c r="G16"/>
      <c r="H16" s="3" t="s">
        <v>3</v>
      </c>
      <c r="I16" s="3" t="s">
        <v>5</v>
      </c>
      <c r="J16"/>
      <c r="K16" s="3" t="s">
        <v>3</v>
      </c>
      <c r="L16" s="3" t="s">
        <v>3</v>
      </c>
      <c r="M16"/>
      <c r="N16" s="3" t="s">
        <v>3</v>
      </c>
      <c r="O16" s="3" t="s">
        <v>2</v>
      </c>
      <c r="P16"/>
      <c r="Q16" s="3" t="s">
        <v>3</v>
      </c>
      <c r="R16" s="3" t="s">
        <v>2</v>
      </c>
      <c r="AE16"/>
    </row>
    <row r="17" spans="1:31" x14ac:dyDescent="0.2">
      <c r="B17" t="s">
        <v>22</v>
      </c>
      <c r="C17" t="s">
        <v>22</v>
      </c>
      <c r="E17" t="s">
        <v>22</v>
      </c>
      <c r="F17" t="s">
        <v>68</v>
      </c>
      <c r="H17" t="s">
        <v>22</v>
      </c>
      <c r="I17" t="s">
        <v>69</v>
      </c>
      <c r="K17" t="s">
        <v>22</v>
      </c>
      <c r="L17" t="s">
        <v>23</v>
      </c>
      <c r="N17" t="s">
        <v>22</v>
      </c>
      <c r="O17" t="s">
        <v>22</v>
      </c>
      <c r="Q17" t="s">
        <v>22</v>
      </c>
      <c r="R17" t="s">
        <v>22</v>
      </c>
    </row>
    <row r="18" spans="1:31" x14ac:dyDescent="0.2">
      <c r="B18" t="s">
        <v>70</v>
      </c>
      <c r="C18" t="s">
        <v>70</v>
      </c>
      <c r="E18" t="s">
        <v>70</v>
      </c>
      <c r="F18" t="s">
        <v>71</v>
      </c>
      <c r="H18" t="s">
        <v>70</v>
      </c>
      <c r="I18" t="s">
        <v>72</v>
      </c>
      <c r="K18" t="s">
        <v>70</v>
      </c>
      <c r="L18" t="s">
        <v>67</v>
      </c>
      <c r="N18" t="s">
        <v>70</v>
      </c>
      <c r="O18" t="s">
        <v>70</v>
      </c>
      <c r="Q18" t="s">
        <v>70</v>
      </c>
      <c r="R18" t="s">
        <v>70</v>
      </c>
    </row>
    <row r="19" spans="1:31" x14ac:dyDescent="0.2">
      <c r="B19" t="s">
        <v>73</v>
      </c>
      <c r="C19" t="s">
        <v>73</v>
      </c>
      <c r="E19" t="s">
        <v>73</v>
      </c>
      <c r="F19" t="s">
        <v>75</v>
      </c>
      <c r="H19" t="s">
        <v>73</v>
      </c>
      <c r="I19" t="s">
        <v>76</v>
      </c>
      <c r="K19" t="s">
        <v>73</v>
      </c>
      <c r="L19" t="s">
        <v>73</v>
      </c>
      <c r="N19" t="s">
        <v>73</v>
      </c>
      <c r="O19" t="s">
        <v>73</v>
      </c>
      <c r="Q19" t="s">
        <v>73</v>
      </c>
      <c r="R19" t="s">
        <v>73</v>
      </c>
    </row>
    <row r="20" spans="1:31" x14ac:dyDescent="0.2">
      <c r="B20" t="s">
        <v>67</v>
      </c>
      <c r="C20" t="s">
        <v>67</v>
      </c>
      <c r="E20" t="s">
        <v>67</v>
      </c>
      <c r="F20" t="s">
        <v>77</v>
      </c>
      <c r="H20" t="s">
        <v>67</v>
      </c>
      <c r="I20" t="s">
        <v>78</v>
      </c>
      <c r="K20" t="s">
        <v>67</v>
      </c>
      <c r="L20" t="s">
        <v>70</v>
      </c>
      <c r="N20" t="s">
        <v>67</v>
      </c>
      <c r="O20" t="s">
        <v>67</v>
      </c>
      <c r="Q20" t="s">
        <v>67</v>
      </c>
      <c r="R20" t="s">
        <v>67</v>
      </c>
    </row>
    <row r="21" spans="1:31" x14ac:dyDescent="0.2">
      <c r="B21" t="s">
        <v>23</v>
      </c>
      <c r="C21" t="s">
        <v>23</v>
      </c>
      <c r="E21" t="s">
        <v>23</v>
      </c>
      <c r="F21" t="s">
        <v>79</v>
      </c>
      <c r="H21" t="s">
        <v>23</v>
      </c>
      <c r="I21" t="s">
        <v>80</v>
      </c>
      <c r="K21" t="s">
        <v>23</v>
      </c>
      <c r="L21" t="s">
        <v>22</v>
      </c>
      <c r="N21" t="s">
        <v>23</v>
      </c>
      <c r="O21" t="s">
        <v>23</v>
      </c>
      <c r="Q21" t="s">
        <v>23</v>
      </c>
      <c r="R21" t="s">
        <v>23</v>
      </c>
    </row>
    <row r="22" spans="1:31" s="3" customFormat="1" x14ac:dyDescent="0.2">
      <c r="A22"/>
      <c r="B22" s="3" t="s">
        <v>4</v>
      </c>
      <c r="C22" s="3" t="s">
        <v>4</v>
      </c>
      <c r="D22"/>
      <c r="E22" s="3" t="s">
        <v>4</v>
      </c>
      <c r="F22" s="3" t="s">
        <v>10</v>
      </c>
      <c r="G22"/>
      <c r="H22" s="3" t="s">
        <v>4</v>
      </c>
      <c r="I22" s="3" t="s">
        <v>7</v>
      </c>
      <c r="J22"/>
      <c r="K22" s="3" t="s">
        <v>4</v>
      </c>
      <c r="L22" s="3" t="s">
        <v>4</v>
      </c>
      <c r="M22"/>
      <c r="N22" s="3" t="s">
        <v>4</v>
      </c>
      <c r="O22" s="3" t="s">
        <v>4</v>
      </c>
      <c r="P22"/>
      <c r="Q22" s="3" t="s">
        <v>4</v>
      </c>
      <c r="R22" s="3" t="s">
        <v>4</v>
      </c>
      <c r="AE22"/>
    </row>
    <row r="23" spans="1:31" x14ac:dyDescent="0.2">
      <c r="B23" t="s">
        <v>44</v>
      </c>
      <c r="C23" t="s">
        <v>55</v>
      </c>
      <c r="E23" t="s">
        <v>44</v>
      </c>
      <c r="F23" t="s">
        <v>21</v>
      </c>
      <c r="H23" t="s">
        <v>44</v>
      </c>
      <c r="I23" t="s">
        <v>44</v>
      </c>
      <c r="K23" t="s">
        <v>44</v>
      </c>
      <c r="L23" t="s">
        <v>56</v>
      </c>
      <c r="N23" t="s">
        <v>44</v>
      </c>
      <c r="O23" t="s">
        <v>56</v>
      </c>
      <c r="Q23" t="s">
        <v>44</v>
      </c>
      <c r="R23" t="s">
        <v>65</v>
      </c>
    </row>
    <row r="24" spans="1:31" x14ac:dyDescent="0.2">
      <c r="B24" t="s">
        <v>47</v>
      </c>
      <c r="C24" t="s">
        <v>54</v>
      </c>
      <c r="E24" t="s">
        <v>47</v>
      </c>
      <c r="F24" t="s">
        <v>43</v>
      </c>
      <c r="H24" t="s">
        <v>47</v>
      </c>
      <c r="I24" t="s">
        <v>47</v>
      </c>
      <c r="K24" t="s">
        <v>47</v>
      </c>
      <c r="L24" t="s">
        <v>58</v>
      </c>
      <c r="N24" t="s">
        <v>47</v>
      </c>
      <c r="O24" t="s">
        <v>58</v>
      </c>
      <c r="Q24" t="s">
        <v>47</v>
      </c>
      <c r="R24" t="s">
        <v>63</v>
      </c>
    </row>
    <row r="25" spans="1:31" x14ac:dyDescent="0.2">
      <c r="B25" t="s">
        <v>52</v>
      </c>
      <c r="C25" t="s">
        <v>62</v>
      </c>
      <c r="E25" t="s">
        <v>52</v>
      </c>
      <c r="F25" t="s">
        <v>50</v>
      </c>
      <c r="H25" t="s">
        <v>52</v>
      </c>
      <c r="I25" t="s">
        <v>52</v>
      </c>
      <c r="K25" t="s">
        <v>52</v>
      </c>
      <c r="L25" t="s">
        <v>61</v>
      </c>
      <c r="N25" t="s">
        <v>52</v>
      </c>
      <c r="O25" t="s">
        <v>61</v>
      </c>
      <c r="Q25" t="s">
        <v>52</v>
      </c>
      <c r="R25" t="s">
        <v>52</v>
      </c>
    </row>
    <row r="26" spans="1:31" x14ac:dyDescent="0.2">
      <c r="B26" t="s">
        <v>24</v>
      </c>
      <c r="C26" s="1" t="s">
        <v>25</v>
      </c>
      <c r="E26" t="s">
        <v>24</v>
      </c>
      <c r="F26" t="s">
        <v>45</v>
      </c>
      <c r="H26" t="s">
        <v>24</v>
      </c>
      <c r="I26" t="s">
        <v>24</v>
      </c>
      <c r="K26" t="s">
        <v>24</v>
      </c>
      <c r="L26" t="s">
        <v>63</v>
      </c>
      <c r="N26" t="s">
        <v>24</v>
      </c>
      <c r="O26" t="s">
        <v>63</v>
      </c>
      <c r="Q26" t="s">
        <v>24</v>
      </c>
      <c r="R26" t="s">
        <v>58</v>
      </c>
    </row>
    <row r="27" spans="1:31" x14ac:dyDescent="0.2">
      <c r="B27" t="s">
        <v>27</v>
      </c>
      <c r="C27" t="s">
        <v>28</v>
      </c>
      <c r="E27" t="s">
        <v>27</v>
      </c>
      <c r="F27" t="s">
        <v>18</v>
      </c>
      <c r="H27" t="s">
        <v>27</v>
      </c>
      <c r="I27" t="s">
        <v>27</v>
      </c>
      <c r="K27" t="s">
        <v>27</v>
      </c>
      <c r="L27" t="s">
        <v>65</v>
      </c>
      <c r="N27" t="s">
        <v>27</v>
      </c>
      <c r="O27" t="s">
        <v>65</v>
      </c>
      <c r="Q27" t="s">
        <v>27</v>
      </c>
      <c r="R27" t="s">
        <v>56</v>
      </c>
    </row>
    <row r="28" spans="1:31" s="3" customFormat="1" x14ac:dyDescent="0.2">
      <c r="A28"/>
      <c r="B28" s="3" t="s">
        <v>8</v>
      </c>
      <c r="C28" s="3" t="s">
        <v>5</v>
      </c>
      <c r="D28"/>
      <c r="E28" s="3" t="s">
        <v>8</v>
      </c>
      <c r="F28" s="3" t="s">
        <v>3</v>
      </c>
      <c r="G28"/>
      <c r="H28" s="3" t="s">
        <v>8</v>
      </c>
      <c r="I28" s="3" t="s">
        <v>8</v>
      </c>
      <c r="J28"/>
      <c r="K28" s="3" t="s">
        <v>8</v>
      </c>
      <c r="L28" s="3" t="s">
        <v>9</v>
      </c>
      <c r="M28"/>
      <c r="N28" s="3" t="s">
        <v>8</v>
      </c>
      <c r="O28" s="3" t="s">
        <v>9</v>
      </c>
      <c r="P28"/>
      <c r="Q28" s="3" t="s">
        <v>8</v>
      </c>
      <c r="R28" s="3" t="s">
        <v>8</v>
      </c>
      <c r="AE28"/>
    </row>
    <row r="29" spans="1:31" x14ac:dyDescent="0.2">
      <c r="B29" t="s">
        <v>56</v>
      </c>
      <c r="C29" t="s">
        <v>66</v>
      </c>
      <c r="E29" t="s">
        <v>56</v>
      </c>
      <c r="F29" t="s">
        <v>19</v>
      </c>
      <c r="H29" t="s">
        <v>56</v>
      </c>
      <c r="I29" t="s">
        <v>56</v>
      </c>
      <c r="K29" t="s">
        <v>56</v>
      </c>
      <c r="L29" t="s">
        <v>44</v>
      </c>
      <c r="N29" t="s">
        <v>56</v>
      </c>
      <c r="O29" t="s">
        <v>44</v>
      </c>
      <c r="Q29" t="s">
        <v>56</v>
      </c>
      <c r="R29" t="s">
        <v>27</v>
      </c>
    </row>
    <row r="30" spans="1:31" x14ac:dyDescent="0.2">
      <c r="B30" t="s">
        <v>58</v>
      </c>
      <c r="C30" t="s">
        <v>64</v>
      </c>
      <c r="E30" t="s">
        <v>58</v>
      </c>
      <c r="F30" t="s">
        <v>48</v>
      </c>
      <c r="H30" t="s">
        <v>58</v>
      </c>
      <c r="I30" t="s">
        <v>58</v>
      </c>
      <c r="K30" t="s">
        <v>58</v>
      </c>
      <c r="L30" t="s">
        <v>47</v>
      </c>
      <c r="N30" t="s">
        <v>58</v>
      </c>
      <c r="O30" t="s">
        <v>47</v>
      </c>
      <c r="Q30" t="s">
        <v>58</v>
      </c>
      <c r="R30" t="s">
        <v>24</v>
      </c>
    </row>
    <row r="31" spans="1:31" x14ac:dyDescent="0.2">
      <c r="B31" t="s">
        <v>61</v>
      </c>
      <c r="C31" t="s">
        <v>53</v>
      </c>
      <c r="E31" t="s">
        <v>61</v>
      </c>
      <c r="F31" t="s">
        <v>49</v>
      </c>
      <c r="H31" t="s">
        <v>61</v>
      </c>
      <c r="I31" t="s">
        <v>61</v>
      </c>
      <c r="K31" t="s">
        <v>61</v>
      </c>
      <c r="L31" t="s">
        <v>52</v>
      </c>
      <c r="N31" t="s">
        <v>61</v>
      </c>
      <c r="O31" t="s">
        <v>52</v>
      </c>
      <c r="Q31" t="s">
        <v>61</v>
      </c>
      <c r="R31" t="s">
        <v>61</v>
      </c>
    </row>
    <row r="32" spans="1:31" x14ac:dyDescent="0.2">
      <c r="A32" s="1"/>
      <c r="B32" t="s">
        <v>63</v>
      </c>
      <c r="C32" s="1" t="s">
        <v>59</v>
      </c>
      <c r="E32" t="s">
        <v>63</v>
      </c>
      <c r="F32" t="s">
        <v>46</v>
      </c>
      <c r="H32" t="s">
        <v>63</v>
      </c>
      <c r="I32" t="s">
        <v>63</v>
      </c>
      <c r="K32" t="s">
        <v>63</v>
      </c>
      <c r="L32" t="s">
        <v>24</v>
      </c>
      <c r="N32" t="s">
        <v>63</v>
      </c>
      <c r="O32" t="s">
        <v>24</v>
      </c>
      <c r="Q32" t="s">
        <v>63</v>
      </c>
      <c r="R32" t="s">
        <v>47</v>
      </c>
    </row>
    <row r="33" spans="1:31" x14ac:dyDescent="0.2">
      <c r="B33" t="s">
        <v>65</v>
      </c>
      <c r="C33" t="s">
        <v>57</v>
      </c>
      <c r="E33" t="s">
        <v>65</v>
      </c>
      <c r="F33" t="s">
        <v>20</v>
      </c>
      <c r="H33" t="s">
        <v>65</v>
      </c>
      <c r="I33" t="s">
        <v>65</v>
      </c>
      <c r="K33" t="s">
        <v>65</v>
      </c>
      <c r="L33" t="s">
        <v>27</v>
      </c>
      <c r="N33" t="s">
        <v>65</v>
      </c>
      <c r="O33" t="s">
        <v>27</v>
      </c>
      <c r="Q33" t="s">
        <v>65</v>
      </c>
      <c r="R33" t="s">
        <v>44</v>
      </c>
    </row>
    <row r="34" spans="1:31" s="3" customFormat="1" x14ac:dyDescent="0.2">
      <c r="A34"/>
      <c r="B34" s="3" t="s">
        <v>9</v>
      </c>
      <c r="C34" s="3" t="s">
        <v>6</v>
      </c>
      <c r="D34"/>
      <c r="E34" s="3" t="s">
        <v>9</v>
      </c>
      <c r="F34" s="3" t="s">
        <v>2</v>
      </c>
      <c r="G34"/>
      <c r="H34" s="3" t="s">
        <v>9</v>
      </c>
      <c r="I34" s="3" t="s">
        <v>9</v>
      </c>
      <c r="J34"/>
      <c r="K34" s="3" t="s">
        <v>9</v>
      </c>
      <c r="L34" s="3" t="s">
        <v>8</v>
      </c>
      <c r="M34"/>
      <c r="N34" s="3" t="s">
        <v>9</v>
      </c>
      <c r="O34" s="3" t="s">
        <v>8</v>
      </c>
      <c r="P34"/>
      <c r="Q34" s="3" t="s">
        <v>9</v>
      </c>
      <c r="R34" s="3" t="s">
        <v>9</v>
      </c>
      <c r="AE34"/>
    </row>
    <row r="35" spans="1:31" x14ac:dyDescent="0.2">
      <c r="B35" t="s">
        <v>68</v>
      </c>
      <c r="C35" t="s">
        <v>80</v>
      </c>
      <c r="E35" t="s">
        <v>68</v>
      </c>
      <c r="F35" t="s">
        <v>23</v>
      </c>
      <c r="H35" t="s">
        <v>68</v>
      </c>
      <c r="I35" t="s">
        <v>68</v>
      </c>
      <c r="K35" t="s">
        <v>68</v>
      </c>
      <c r="L35" t="s">
        <v>68</v>
      </c>
      <c r="N35" t="s">
        <v>68</v>
      </c>
      <c r="O35" t="s">
        <v>68</v>
      </c>
      <c r="Q35" t="s">
        <v>68</v>
      </c>
      <c r="R35" t="s">
        <v>79</v>
      </c>
    </row>
    <row r="36" spans="1:31" x14ac:dyDescent="0.2">
      <c r="B36" t="s">
        <v>71</v>
      </c>
      <c r="C36" t="s">
        <v>78</v>
      </c>
      <c r="E36" t="s">
        <v>71</v>
      </c>
      <c r="F36" t="s">
        <v>67</v>
      </c>
      <c r="H36" t="s">
        <v>71</v>
      </c>
      <c r="I36" t="s">
        <v>71</v>
      </c>
      <c r="K36" t="s">
        <v>71</v>
      </c>
      <c r="L36" t="s">
        <v>71</v>
      </c>
      <c r="N36" t="s">
        <v>71</v>
      </c>
      <c r="O36" t="s">
        <v>71</v>
      </c>
      <c r="Q36" t="s">
        <v>71</v>
      </c>
      <c r="R36" t="s">
        <v>77</v>
      </c>
    </row>
    <row r="37" spans="1:31" x14ac:dyDescent="0.2">
      <c r="B37" t="s">
        <v>75</v>
      </c>
      <c r="C37" t="s">
        <v>76</v>
      </c>
      <c r="E37" t="s">
        <v>75</v>
      </c>
      <c r="F37" t="s">
        <v>73</v>
      </c>
      <c r="H37" t="s">
        <v>75</v>
      </c>
      <c r="I37" t="s">
        <v>75</v>
      </c>
      <c r="K37" t="s">
        <v>75</v>
      </c>
      <c r="L37" t="s">
        <v>75</v>
      </c>
      <c r="N37" t="s">
        <v>75</v>
      </c>
      <c r="O37" t="s">
        <v>75</v>
      </c>
      <c r="Q37" t="s">
        <v>75</v>
      </c>
      <c r="R37" t="s">
        <v>75</v>
      </c>
    </row>
    <row r="38" spans="1:31" x14ac:dyDescent="0.2">
      <c r="A38" s="1"/>
      <c r="B38" t="s">
        <v>77</v>
      </c>
      <c r="C38" s="1" t="s">
        <v>72</v>
      </c>
      <c r="E38" t="s">
        <v>77</v>
      </c>
      <c r="F38" t="s">
        <v>70</v>
      </c>
      <c r="H38" t="s">
        <v>77</v>
      </c>
      <c r="I38" t="s">
        <v>77</v>
      </c>
      <c r="K38" t="s">
        <v>77</v>
      </c>
      <c r="L38" t="s">
        <v>77</v>
      </c>
      <c r="N38" t="s">
        <v>77</v>
      </c>
      <c r="O38" t="s">
        <v>77</v>
      </c>
      <c r="Q38" t="s">
        <v>77</v>
      </c>
      <c r="R38" t="s">
        <v>71</v>
      </c>
    </row>
    <row r="39" spans="1:31" x14ac:dyDescent="0.2">
      <c r="B39" t="s">
        <v>79</v>
      </c>
      <c r="C39" t="s">
        <v>69</v>
      </c>
      <c r="E39" t="s">
        <v>79</v>
      </c>
      <c r="F39" t="s">
        <v>22</v>
      </c>
      <c r="H39" t="s">
        <v>79</v>
      </c>
      <c r="I39" t="s">
        <v>79</v>
      </c>
      <c r="K39" t="s">
        <v>79</v>
      </c>
      <c r="L39" t="s">
        <v>79</v>
      </c>
      <c r="N39" t="s">
        <v>79</v>
      </c>
      <c r="O39" t="s">
        <v>79</v>
      </c>
      <c r="Q39" t="s">
        <v>79</v>
      </c>
      <c r="R39" t="s">
        <v>68</v>
      </c>
    </row>
    <row r="40" spans="1:31" s="3" customFormat="1" x14ac:dyDescent="0.2">
      <c r="A40"/>
      <c r="B40" s="3" t="s">
        <v>10</v>
      </c>
      <c r="C40" s="3" t="s">
        <v>7</v>
      </c>
      <c r="D40"/>
      <c r="E40" s="3" t="s">
        <v>10</v>
      </c>
      <c r="F40" s="3" t="s">
        <v>4</v>
      </c>
      <c r="G40"/>
      <c r="H40" s="3" t="s">
        <v>10</v>
      </c>
      <c r="I40" s="3" t="s">
        <v>10</v>
      </c>
      <c r="J40"/>
      <c r="K40" s="3" t="s">
        <v>10</v>
      </c>
      <c r="L40" s="3" t="s">
        <v>10</v>
      </c>
      <c r="M40"/>
      <c r="N40" s="3" t="s">
        <v>10</v>
      </c>
      <c r="O40" s="3" t="s">
        <v>10</v>
      </c>
      <c r="P40"/>
      <c r="Q40" s="3" t="s">
        <v>10</v>
      </c>
      <c r="R40" s="3" t="s">
        <v>10</v>
      </c>
      <c r="AE40"/>
    </row>
    <row r="41" spans="1:31" x14ac:dyDescent="0.2">
      <c r="B41" t="s">
        <v>55</v>
      </c>
      <c r="C41" t="s">
        <v>27</v>
      </c>
      <c r="E41" t="s">
        <v>55</v>
      </c>
      <c r="F41" t="s">
        <v>55</v>
      </c>
      <c r="H41" t="s">
        <v>55</v>
      </c>
      <c r="I41" t="s">
        <v>18</v>
      </c>
      <c r="K41" t="s">
        <v>55</v>
      </c>
      <c r="L41" t="s">
        <v>66</v>
      </c>
      <c r="N41" t="s">
        <v>55</v>
      </c>
      <c r="O41" t="s">
        <v>57</v>
      </c>
      <c r="Q41" t="s">
        <v>55</v>
      </c>
      <c r="R41" t="s">
        <v>66</v>
      </c>
    </row>
    <row r="42" spans="1:31" x14ac:dyDescent="0.2">
      <c r="B42" t="s">
        <v>54</v>
      </c>
      <c r="C42" t="s">
        <v>24</v>
      </c>
      <c r="E42" t="s">
        <v>54</v>
      </c>
      <c r="F42" t="s">
        <v>54</v>
      </c>
      <c r="H42" t="s">
        <v>54</v>
      </c>
      <c r="I42" t="s">
        <v>45</v>
      </c>
      <c r="K42" t="s">
        <v>54</v>
      </c>
      <c r="L42" t="s">
        <v>64</v>
      </c>
      <c r="N42" t="s">
        <v>54</v>
      </c>
      <c r="O42" t="s">
        <v>59</v>
      </c>
      <c r="Q42" t="s">
        <v>54</v>
      </c>
      <c r="R42" t="s">
        <v>64</v>
      </c>
    </row>
    <row r="43" spans="1:31" x14ac:dyDescent="0.2">
      <c r="B43" t="s">
        <v>62</v>
      </c>
      <c r="C43" t="s">
        <v>61</v>
      </c>
      <c r="E43" t="s">
        <v>62</v>
      </c>
      <c r="F43" t="s">
        <v>62</v>
      </c>
      <c r="H43" t="s">
        <v>62</v>
      </c>
      <c r="I43" t="s">
        <v>49</v>
      </c>
      <c r="K43" t="s">
        <v>62</v>
      </c>
      <c r="L43" t="s">
        <v>53</v>
      </c>
      <c r="N43" t="s">
        <v>62</v>
      </c>
      <c r="O43" t="s">
        <v>62</v>
      </c>
      <c r="Q43" t="s">
        <v>62</v>
      </c>
      <c r="R43" t="s">
        <v>53</v>
      </c>
    </row>
    <row r="44" spans="1:31" x14ac:dyDescent="0.2">
      <c r="B44" t="s">
        <v>25</v>
      </c>
      <c r="C44" t="s">
        <v>47</v>
      </c>
      <c r="E44" t="s">
        <v>25</v>
      </c>
      <c r="F44" t="s">
        <v>25</v>
      </c>
      <c r="H44" t="s">
        <v>25</v>
      </c>
      <c r="I44" t="s">
        <v>43</v>
      </c>
      <c r="K44" t="s">
        <v>25</v>
      </c>
      <c r="L44" t="s">
        <v>59</v>
      </c>
      <c r="N44" t="s">
        <v>25</v>
      </c>
      <c r="O44" t="s">
        <v>64</v>
      </c>
      <c r="Q44" t="s">
        <v>25</v>
      </c>
      <c r="R44" t="s">
        <v>59</v>
      </c>
    </row>
    <row r="45" spans="1:31" x14ac:dyDescent="0.2">
      <c r="B45" t="s">
        <v>28</v>
      </c>
      <c r="C45" t="s">
        <v>44</v>
      </c>
      <c r="E45" t="s">
        <v>28</v>
      </c>
      <c r="F45" t="s">
        <v>28</v>
      </c>
      <c r="H45" t="s">
        <v>28</v>
      </c>
      <c r="I45" t="s">
        <v>21</v>
      </c>
      <c r="K45" t="s">
        <v>28</v>
      </c>
      <c r="L45" t="s">
        <v>57</v>
      </c>
      <c r="N45" t="s">
        <v>28</v>
      </c>
      <c r="O45" t="s">
        <v>66</v>
      </c>
      <c r="Q45" t="s">
        <v>28</v>
      </c>
      <c r="R45" t="s">
        <v>57</v>
      </c>
    </row>
    <row r="46" spans="1:31" s="3" customFormat="1" x14ac:dyDescent="0.2">
      <c r="A46"/>
      <c r="B46" s="3" t="s">
        <v>5</v>
      </c>
      <c r="C46" s="3" t="s">
        <v>9</v>
      </c>
      <c r="D46"/>
      <c r="E46" s="3" t="s">
        <v>5</v>
      </c>
      <c r="F46" s="3" t="s">
        <v>5</v>
      </c>
      <c r="G46"/>
      <c r="H46" s="3" t="s">
        <v>5</v>
      </c>
      <c r="I46" s="3" t="s">
        <v>2</v>
      </c>
      <c r="J46"/>
      <c r="K46" s="3" t="s">
        <v>5</v>
      </c>
      <c r="L46" s="3" t="s">
        <v>6</v>
      </c>
      <c r="M46"/>
      <c r="N46" s="3" t="s">
        <v>5</v>
      </c>
      <c r="O46" s="3" t="s">
        <v>5</v>
      </c>
      <c r="P46"/>
      <c r="Q46" s="3" t="s">
        <v>5</v>
      </c>
      <c r="R46" s="3" t="s">
        <v>6</v>
      </c>
      <c r="AE46"/>
    </row>
    <row r="47" spans="1:31" x14ac:dyDescent="0.2">
      <c r="B47" t="s">
        <v>66</v>
      </c>
      <c r="C47" t="s">
        <v>65</v>
      </c>
      <c r="E47" t="s">
        <v>66</v>
      </c>
      <c r="F47" t="s">
        <v>66</v>
      </c>
      <c r="H47" t="s">
        <v>66</v>
      </c>
      <c r="I47" t="s">
        <v>20</v>
      </c>
      <c r="K47" t="s">
        <v>66</v>
      </c>
      <c r="L47" t="s">
        <v>55</v>
      </c>
      <c r="N47" t="s">
        <v>66</v>
      </c>
      <c r="O47" t="s">
        <v>28</v>
      </c>
      <c r="Q47" t="s">
        <v>66</v>
      </c>
      <c r="R47" t="s">
        <v>55</v>
      </c>
    </row>
    <row r="48" spans="1:31" x14ac:dyDescent="0.2">
      <c r="B48" t="s">
        <v>64</v>
      </c>
      <c r="C48" t="s">
        <v>63</v>
      </c>
      <c r="E48" t="s">
        <v>64</v>
      </c>
      <c r="F48" t="s">
        <v>64</v>
      </c>
      <c r="H48" t="s">
        <v>64</v>
      </c>
      <c r="I48" t="s">
        <v>46</v>
      </c>
      <c r="K48" t="s">
        <v>64</v>
      </c>
      <c r="L48" t="s">
        <v>54</v>
      </c>
      <c r="N48" t="s">
        <v>64</v>
      </c>
      <c r="O48" t="s">
        <v>25</v>
      </c>
      <c r="Q48" t="s">
        <v>64</v>
      </c>
      <c r="R48" t="s">
        <v>54</v>
      </c>
    </row>
    <row r="49" spans="1:31" x14ac:dyDescent="0.2">
      <c r="B49" t="s">
        <v>53</v>
      </c>
      <c r="C49" t="s">
        <v>52</v>
      </c>
      <c r="E49" t="s">
        <v>53</v>
      </c>
      <c r="F49" t="s">
        <v>53</v>
      </c>
      <c r="H49" t="s">
        <v>53</v>
      </c>
      <c r="I49" t="s">
        <v>50</v>
      </c>
      <c r="K49" t="s">
        <v>53</v>
      </c>
      <c r="L49" t="s">
        <v>62</v>
      </c>
      <c r="N49" t="s">
        <v>53</v>
      </c>
      <c r="O49" t="s">
        <v>53</v>
      </c>
      <c r="Q49" t="s">
        <v>53</v>
      </c>
      <c r="R49" t="s">
        <v>62</v>
      </c>
    </row>
    <row r="50" spans="1:31" x14ac:dyDescent="0.2">
      <c r="B50" t="s">
        <v>59</v>
      </c>
      <c r="C50" t="s">
        <v>58</v>
      </c>
      <c r="E50" t="s">
        <v>59</v>
      </c>
      <c r="F50" t="s">
        <v>59</v>
      </c>
      <c r="H50" t="s">
        <v>59</v>
      </c>
      <c r="I50" t="s">
        <v>48</v>
      </c>
      <c r="K50" t="s">
        <v>59</v>
      </c>
      <c r="L50" t="s">
        <v>25</v>
      </c>
      <c r="N50" t="s">
        <v>59</v>
      </c>
      <c r="O50" t="s">
        <v>54</v>
      </c>
      <c r="Q50" t="s">
        <v>59</v>
      </c>
      <c r="R50" t="s">
        <v>25</v>
      </c>
    </row>
    <row r="51" spans="1:31" x14ac:dyDescent="0.2">
      <c r="B51" t="s">
        <v>57</v>
      </c>
      <c r="C51" t="s">
        <v>56</v>
      </c>
      <c r="E51" t="s">
        <v>57</v>
      </c>
      <c r="F51" t="s">
        <v>57</v>
      </c>
      <c r="H51" t="s">
        <v>57</v>
      </c>
      <c r="I51" t="s">
        <v>19</v>
      </c>
      <c r="K51" t="s">
        <v>57</v>
      </c>
      <c r="L51" t="s">
        <v>28</v>
      </c>
      <c r="N51" t="s">
        <v>57</v>
      </c>
      <c r="O51" t="s">
        <v>55</v>
      </c>
      <c r="Q51" t="s">
        <v>57</v>
      </c>
      <c r="R51" t="s">
        <v>28</v>
      </c>
    </row>
    <row r="52" spans="1:31" s="3" customFormat="1" x14ac:dyDescent="0.2">
      <c r="A52"/>
      <c r="B52" s="3" t="s">
        <v>6</v>
      </c>
      <c r="C52" s="3" t="s">
        <v>8</v>
      </c>
      <c r="D52"/>
      <c r="E52" s="3" t="s">
        <v>6</v>
      </c>
      <c r="F52" s="3" t="s">
        <v>6</v>
      </c>
      <c r="G52"/>
      <c r="H52" s="3" t="s">
        <v>6</v>
      </c>
      <c r="I52" s="3" t="s">
        <v>3</v>
      </c>
      <c r="J52"/>
      <c r="K52" s="3" t="s">
        <v>6</v>
      </c>
      <c r="L52" s="3" t="s">
        <v>5</v>
      </c>
      <c r="M52"/>
      <c r="N52" s="3" t="s">
        <v>6</v>
      </c>
      <c r="O52" s="3" t="s">
        <v>6</v>
      </c>
      <c r="P52"/>
      <c r="Q52" s="3" t="s">
        <v>6</v>
      </c>
      <c r="R52" s="3" t="s">
        <v>5</v>
      </c>
      <c r="AE52"/>
    </row>
    <row r="53" spans="1:31" x14ac:dyDescent="0.2">
      <c r="B53" t="s">
        <v>80</v>
      </c>
      <c r="C53" t="s">
        <v>79</v>
      </c>
      <c r="E53" t="s">
        <v>80</v>
      </c>
      <c r="F53" t="s">
        <v>80</v>
      </c>
      <c r="H53" t="s">
        <v>80</v>
      </c>
      <c r="I53" t="s">
        <v>22</v>
      </c>
      <c r="K53" t="s">
        <v>80</v>
      </c>
      <c r="L53" t="s">
        <v>80</v>
      </c>
      <c r="N53" t="s">
        <v>80</v>
      </c>
      <c r="O53" t="s">
        <v>69</v>
      </c>
      <c r="Q53" t="s">
        <v>80</v>
      </c>
      <c r="R53" t="s">
        <v>80</v>
      </c>
    </row>
    <row r="54" spans="1:31" x14ac:dyDescent="0.2">
      <c r="B54" t="s">
        <v>78</v>
      </c>
      <c r="C54" t="s">
        <v>77</v>
      </c>
      <c r="E54" t="s">
        <v>78</v>
      </c>
      <c r="F54" t="s">
        <v>78</v>
      </c>
      <c r="H54" t="s">
        <v>78</v>
      </c>
      <c r="I54" t="s">
        <v>70</v>
      </c>
      <c r="K54" t="s">
        <v>78</v>
      </c>
      <c r="L54" t="s">
        <v>78</v>
      </c>
      <c r="N54" t="s">
        <v>78</v>
      </c>
      <c r="O54" t="s">
        <v>72</v>
      </c>
      <c r="Q54" t="s">
        <v>78</v>
      </c>
      <c r="R54" t="s">
        <v>78</v>
      </c>
    </row>
    <row r="55" spans="1:31" x14ac:dyDescent="0.2">
      <c r="B55" t="s">
        <v>76</v>
      </c>
      <c r="C55" t="s">
        <v>75</v>
      </c>
      <c r="E55" t="s">
        <v>76</v>
      </c>
      <c r="F55" t="s">
        <v>76</v>
      </c>
      <c r="H55" t="s">
        <v>76</v>
      </c>
      <c r="I55" t="s">
        <v>73</v>
      </c>
      <c r="K55" t="s">
        <v>76</v>
      </c>
      <c r="L55" t="s">
        <v>76</v>
      </c>
      <c r="N55" t="s">
        <v>76</v>
      </c>
      <c r="O55" t="s">
        <v>76</v>
      </c>
      <c r="Q55" t="s">
        <v>76</v>
      </c>
      <c r="R55" t="s">
        <v>76</v>
      </c>
    </row>
    <row r="56" spans="1:31" x14ac:dyDescent="0.2">
      <c r="B56" t="s">
        <v>72</v>
      </c>
      <c r="C56" t="s">
        <v>71</v>
      </c>
      <c r="E56" t="s">
        <v>72</v>
      </c>
      <c r="F56" t="s">
        <v>72</v>
      </c>
      <c r="H56" t="s">
        <v>72</v>
      </c>
      <c r="I56" t="s">
        <v>67</v>
      </c>
      <c r="K56" t="s">
        <v>72</v>
      </c>
      <c r="L56" t="s">
        <v>72</v>
      </c>
      <c r="N56" t="s">
        <v>72</v>
      </c>
      <c r="O56" t="s">
        <v>78</v>
      </c>
      <c r="Q56" t="s">
        <v>72</v>
      </c>
      <c r="R56" t="s">
        <v>72</v>
      </c>
    </row>
    <row r="57" spans="1:31" x14ac:dyDescent="0.2">
      <c r="B57" t="s">
        <v>69</v>
      </c>
      <c r="C57" t="s">
        <v>68</v>
      </c>
      <c r="E57" t="s">
        <v>69</v>
      </c>
      <c r="F57" t="s">
        <v>69</v>
      </c>
      <c r="H57" t="s">
        <v>69</v>
      </c>
      <c r="I57" t="s">
        <v>23</v>
      </c>
      <c r="K57" t="s">
        <v>69</v>
      </c>
      <c r="L57" t="s">
        <v>69</v>
      </c>
      <c r="N57" t="s">
        <v>69</v>
      </c>
      <c r="O57" t="s">
        <v>80</v>
      </c>
      <c r="Q57" t="s">
        <v>69</v>
      </c>
      <c r="R57" t="s">
        <v>69</v>
      </c>
    </row>
    <row r="58" spans="1:31" s="3" customFormat="1" x14ac:dyDescent="0.2">
      <c r="A58"/>
      <c r="B58" s="3" t="s">
        <v>7</v>
      </c>
      <c r="C58" s="3" t="s">
        <v>10</v>
      </c>
      <c r="D58"/>
      <c r="E58" s="3" t="s">
        <v>7</v>
      </c>
      <c r="F58" s="3" t="s">
        <v>7</v>
      </c>
      <c r="G58"/>
      <c r="H58" s="3" t="s">
        <v>7</v>
      </c>
      <c r="I58" s="3" t="s">
        <v>4</v>
      </c>
      <c r="J58"/>
      <c r="K58" s="3" t="s">
        <v>7</v>
      </c>
      <c r="L58" s="3" t="s">
        <v>7</v>
      </c>
      <c r="M58"/>
      <c r="N58" s="3" t="s">
        <v>7</v>
      </c>
      <c r="O58" s="3" t="s">
        <v>7</v>
      </c>
      <c r="P58"/>
      <c r="Q58" s="3" t="s">
        <v>7</v>
      </c>
      <c r="R58" s="3" t="s">
        <v>7</v>
      </c>
      <c r="AE58"/>
    </row>
  </sheetData>
  <phoneticPr fontId="4" alignment="center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9DEF-6420-EF45-A3E8-F8171443374E}">
  <sheetPr>
    <tabColor theme="8"/>
  </sheetPr>
  <dimension ref="B3:AC124"/>
  <sheetViews>
    <sheetView workbookViewId="0">
      <selection activeCell="J16" sqref="J16"/>
    </sheetView>
  </sheetViews>
  <sheetFormatPr baseColWidth="10" defaultColWidth="10.33203125" defaultRowHeight="15" x14ac:dyDescent="0.2"/>
  <cols>
    <col min="2" max="3" width="6.6640625" customWidth="1"/>
    <col min="4" max="4" width="5.1640625" customWidth="1"/>
    <col min="5" max="5" width="7.33203125" customWidth="1"/>
    <col min="6" max="6" width="6.6640625" customWidth="1"/>
    <col min="7" max="7" width="8.5" customWidth="1"/>
    <col min="8" max="8" width="5.1640625" customWidth="1"/>
    <col min="9" max="9" width="4.83203125" customWidth="1"/>
    <col min="10" max="10" width="8" customWidth="1"/>
    <col min="12" max="12" width="8.83203125" customWidth="1"/>
    <col min="13" max="13" width="9.33203125" customWidth="1"/>
    <col min="15" max="15" width="8.83203125" customWidth="1"/>
    <col min="16" max="16" width="13.6640625" customWidth="1"/>
    <col min="17" max="17" width="11.33203125" customWidth="1"/>
    <col min="20" max="20" width="13.6640625" customWidth="1"/>
    <col min="22" max="22" width="15" customWidth="1"/>
    <col min="23" max="23" width="12.6640625" bestFit="1" customWidth="1"/>
    <col min="25" max="25" width="8" customWidth="1"/>
    <col min="26" max="26" width="7.6640625" customWidth="1"/>
    <col min="27" max="27" width="7.83203125" customWidth="1"/>
    <col min="28" max="28" width="15" customWidth="1"/>
    <col min="29" max="29" width="20.5" customWidth="1"/>
    <col min="30" max="30" width="11.6640625" customWidth="1"/>
    <col min="31" max="31" width="11.83203125" customWidth="1"/>
    <col min="36" max="36" width="14.83203125" customWidth="1"/>
    <col min="37" max="37" width="18.1640625" customWidth="1"/>
  </cols>
  <sheetData>
    <row r="3" spans="2:29" x14ac:dyDescent="0.2">
      <c r="B3" t="s">
        <v>93</v>
      </c>
      <c r="E3" t="s">
        <v>94</v>
      </c>
      <c r="F3" t="s">
        <v>95</v>
      </c>
      <c r="H3" t="s">
        <v>1</v>
      </c>
      <c r="L3" t="s">
        <v>96</v>
      </c>
      <c r="S3" t="s">
        <v>97</v>
      </c>
      <c r="Y3" t="s">
        <v>98</v>
      </c>
    </row>
    <row r="4" spans="2:29" ht="16" x14ac:dyDescent="0.2">
      <c r="B4" s="2" t="s">
        <v>99</v>
      </c>
      <c r="C4" s="2" t="s">
        <v>100</v>
      </c>
      <c r="D4" s="2" t="s">
        <v>101</v>
      </c>
      <c r="E4" s="2"/>
      <c r="F4" s="2" t="s">
        <v>102</v>
      </c>
      <c r="G4" s="2" t="s">
        <v>31</v>
      </c>
      <c r="H4" s="2" t="s">
        <v>103</v>
      </c>
      <c r="I4" s="2" t="s">
        <v>104</v>
      </c>
      <c r="J4" s="2"/>
      <c r="L4" t="s">
        <v>105</v>
      </c>
      <c r="M4" t="s">
        <v>106</v>
      </c>
      <c r="N4" t="s">
        <v>26</v>
      </c>
      <c r="O4" t="s">
        <v>107</v>
      </c>
      <c r="P4" t="s">
        <v>108</v>
      </c>
      <c r="Q4" t="s">
        <v>109</v>
      </c>
      <c r="S4" s="4" t="s">
        <v>110</v>
      </c>
      <c r="T4" s="4" t="s">
        <v>111</v>
      </c>
      <c r="U4" t="s">
        <v>112</v>
      </c>
      <c r="V4" s="4" t="s">
        <v>113</v>
      </c>
      <c r="W4" t="s">
        <v>114</v>
      </c>
      <c r="Y4" t="s">
        <v>2</v>
      </c>
      <c r="Z4" t="s">
        <v>5</v>
      </c>
      <c r="AA4" t="s">
        <v>8</v>
      </c>
      <c r="AB4" t="s">
        <v>115</v>
      </c>
      <c r="AC4" t="s">
        <v>116</v>
      </c>
    </row>
    <row r="5" spans="2:29" ht="16" x14ac:dyDescent="0.2">
      <c r="B5" t="s">
        <v>2</v>
      </c>
      <c r="C5" t="s">
        <v>20</v>
      </c>
      <c r="D5" t="s">
        <v>21</v>
      </c>
      <c r="F5" t="s">
        <v>18</v>
      </c>
      <c r="G5" t="e" cm="1">
        <f t="array" ref="G5">_xlfn.XLOOKUP(TRUE, EXACT(Table12[[#This Row],[Face Turn Sought]], Table9[orig]), #REF!)</f>
        <v>#REF!</v>
      </c>
      <c r="H5" t="s">
        <v>3</v>
      </c>
      <c r="I5">
        <v>2</v>
      </c>
      <c r="L5" t="s">
        <v>11</v>
      </c>
      <c r="M5" s="4" t="s">
        <v>11</v>
      </c>
      <c r="N5" t="s">
        <v>117</v>
      </c>
      <c r="O5" s="4" t="s">
        <v>87</v>
      </c>
      <c r="P5" t="s">
        <v>118</v>
      </c>
      <c r="Q5" t="s">
        <v>119</v>
      </c>
      <c r="S5" s="7" t="s">
        <v>11</v>
      </c>
      <c r="T5" s="8" t="s">
        <v>117</v>
      </c>
      <c r="U5" s="13" t="s">
        <v>87</v>
      </c>
      <c r="V5" s="8" t="s">
        <v>118</v>
      </c>
      <c r="W5" s="9" t="s">
        <v>119</v>
      </c>
      <c r="Y5" t="s">
        <v>120</v>
      </c>
      <c r="Z5" t="s">
        <v>120</v>
      </c>
      <c r="AA5" t="s">
        <v>120</v>
      </c>
      <c r="AB5">
        <v>0</v>
      </c>
      <c r="AC5">
        <f>MOD(4-Table14[[#This Row],[RotationNum]],4)</f>
        <v>0</v>
      </c>
    </row>
    <row r="6" spans="2:29" ht="16" x14ac:dyDescent="0.2">
      <c r="F6" t="s">
        <v>45</v>
      </c>
      <c r="G6" t="e" cm="1">
        <f t="array" ref="G6">_xlfn.XLOOKUP(TRUE, EXACT(Table12[[#This Row],[Face Turn Sought]], Table9[orig]), #REF!)</f>
        <v>#REF!</v>
      </c>
      <c r="H6" t="s">
        <v>3</v>
      </c>
      <c r="L6" t="s">
        <v>121</v>
      </c>
      <c r="M6" s="4" t="s">
        <v>11</v>
      </c>
      <c r="N6" t="s">
        <v>117</v>
      </c>
      <c r="O6" s="4" t="s">
        <v>87</v>
      </c>
      <c r="P6" t="s">
        <v>118</v>
      </c>
      <c r="Q6" t="s">
        <v>119</v>
      </c>
      <c r="S6" s="7" t="s">
        <v>12</v>
      </c>
      <c r="T6" s="8" t="s">
        <v>122</v>
      </c>
      <c r="U6" s="13" t="s">
        <v>89</v>
      </c>
      <c r="V6" s="13" t="s">
        <v>123</v>
      </c>
      <c r="W6" s="9" t="s">
        <v>119</v>
      </c>
      <c r="X6" s="4"/>
      <c r="Y6" t="s">
        <v>2</v>
      </c>
      <c r="Z6" t="s">
        <v>5</v>
      </c>
      <c r="AA6" t="s">
        <v>8</v>
      </c>
      <c r="AB6">
        <v>1</v>
      </c>
      <c r="AC6">
        <f>MOD(4-Table14[[#This Row],[RotationNum]],4)</f>
        <v>3</v>
      </c>
    </row>
    <row r="7" spans="2:29" ht="16" x14ac:dyDescent="0.2">
      <c r="L7" t="s">
        <v>124</v>
      </c>
      <c r="M7" s="4" t="s">
        <v>11</v>
      </c>
      <c r="N7" t="s">
        <v>117</v>
      </c>
      <c r="O7" s="4" t="s">
        <v>87</v>
      </c>
      <c r="P7" t="s">
        <v>118</v>
      </c>
      <c r="Q7" t="s">
        <v>119</v>
      </c>
      <c r="S7" s="7" t="s">
        <v>13</v>
      </c>
      <c r="T7" s="8" t="s">
        <v>125</v>
      </c>
      <c r="U7" s="8" t="s">
        <v>88</v>
      </c>
      <c r="V7" s="13" t="s">
        <v>126</v>
      </c>
      <c r="W7" s="9" t="s">
        <v>127</v>
      </c>
      <c r="Y7" t="s">
        <v>18</v>
      </c>
      <c r="AB7">
        <v>1</v>
      </c>
      <c r="AC7">
        <f>MOD(4-Table14[[#This Row],[RotationNum]],4)</f>
        <v>3</v>
      </c>
    </row>
    <row r="8" spans="2:29" ht="16" x14ac:dyDescent="0.2">
      <c r="F8" t="s">
        <v>43</v>
      </c>
      <c r="G8" t="e" cm="1">
        <f t="array" ref="G8">_xlfn.XLOOKUP(TRUE, EXACT(Table12[[#This Row],[Face Turn Sought]], Table9[orig]), #REF!)</f>
        <v>#REF!</v>
      </c>
      <c r="H8" t="s">
        <v>2</v>
      </c>
      <c r="L8" t="s">
        <v>128</v>
      </c>
      <c r="M8" s="4" t="s">
        <v>11</v>
      </c>
      <c r="N8" t="s">
        <v>117</v>
      </c>
      <c r="O8" s="4" t="s">
        <v>87</v>
      </c>
      <c r="P8" t="s">
        <v>118</v>
      </c>
      <c r="Q8" t="s">
        <v>119</v>
      </c>
      <c r="S8" s="7" t="s">
        <v>14</v>
      </c>
      <c r="T8" s="8" t="s">
        <v>129</v>
      </c>
      <c r="U8" s="13" t="s">
        <v>91</v>
      </c>
      <c r="V8" s="13" t="s">
        <v>130</v>
      </c>
      <c r="W8" s="9" t="s">
        <v>127</v>
      </c>
      <c r="Y8" t="s">
        <v>45</v>
      </c>
      <c r="AB8">
        <v>1</v>
      </c>
      <c r="AC8">
        <f>MOD(4-Table14[[#This Row],[RotationNum]],4)</f>
        <v>3</v>
      </c>
    </row>
    <row r="9" spans="2:29" ht="16" x14ac:dyDescent="0.2">
      <c r="F9" t="s">
        <v>21</v>
      </c>
      <c r="G9" t="e" cm="1">
        <f t="array" ref="G9">_xlfn.XLOOKUP(TRUE, EXACT(Table12[[#This Row],[Face Turn Sought]], Table9[orig]), #REF!)</f>
        <v>#REF!</v>
      </c>
      <c r="H9" t="s">
        <v>2</v>
      </c>
      <c r="I9">
        <v>1</v>
      </c>
      <c r="L9" t="s">
        <v>131</v>
      </c>
      <c r="M9" s="4" t="s">
        <v>11</v>
      </c>
      <c r="N9" t="s">
        <v>117</v>
      </c>
      <c r="O9" s="4" t="s">
        <v>87</v>
      </c>
      <c r="P9" t="s">
        <v>118</v>
      </c>
      <c r="Q9" t="s">
        <v>119</v>
      </c>
      <c r="S9" s="7" t="s">
        <v>15</v>
      </c>
      <c r="T9" s="8" t="s">
        <v>132</v>
      </c>
      <c r="U9" s="8" t="s">
        <v>92</v>
      </c>
      <c r="V9" s="13" t="s">
        <v>133</v>
      </c>
      <c r="W9" s="9" t="s">
        <v>134</v>
      </c>
      <c r="Y9" t="s">
        <v>49</v>
      </c>
      <c r="AB9">
        <v>1</v>
      </c>
      <c r="AC9">
        <f>MOD(4-Table14[[#This Row],[RotationNum]],4)</f>
        <v>3</v>
      </c>
    </row>
    <row r="10" spans="2:29" ht="16" x14ac:dyDescent="0.2">
      <c r="B10" s="3"/>
      <c r="C10" s="3"/>
      <c r="D10" s="3"/>
      <c r="F10" s="3"/>
      <c r="G10" s="3"/>
      <c r="H10" s="3"/>
      <c r="I10" s="3"/>
      <c r="L10" t="s">
        <v>135</v>
      </c>
      <c r="M10" s="4" t="s">
        <v>11</v>
      </c>
      <c r="N10" t="s">
        <v>117</v>
      </c>
      <c r="O10" s="4" t="s">
        <v>87</v>
      </c>
      <c r="P10" t="s">
        <v>118</v>
      </c>
      <c r="Q10" t="s">
        <v>119</v>
      </c>
      <c r="S10" s="10" t="s">
        <v>16</v>
      </c>
      <c r="T10" s="11" t="s">
        <v>136</v>
      </c>
      <c r="U10" s="11" t="s">
        <v>90</v>
      </c>
      <c r="V10" s="11" t="s">
        <v>137</v>
      </c>
      <c r="W10" s="12" t="s">
        <v>134</v>
      </c>
      <c r="Y10" t="s">
        <v>138</v>
      </c>
      <c r="AB10">
        <v>1</v>
      </c>
      <c r="AC10">
        <f>MOD(4-Table14[[#This Row],[RotationNum]],4)</f>
        <v>3</v>
      </c>
    </row>
    <row r="11" spans="2:29" ht="16" x14ac:dyDescent="0.2">
      <c r="B11" t="s">
        <v>3</v>
      </c>
      <c r="C11" t="s">
        <v>18</v>
      </c>
      <c r="D11" t="s">
        <v>19</v>
      </c>
      <c r="F11" t="s">
        <v>20</v>
      </c>
      <c r="G11" t="e" cm="1">
        <f t="array" ref="G11">_xlfn.XLOOKUP(TRUE, EXACT(Table12[[#This Row],[Face Turn Sought]], Table9[orig]), #REF!)</f>
        <v>#REF!</v>
      </c>
      <c r="H11" t="s">
        <v>2</v>
      </c>
      <c r="I11">
        <v>1</v>
      </c>
      <c r="L11" t="s">
        <v>139</v>
      </c>
      <c r="M11" s="4" t="s">
        <v>11</v>
      </c>
      <c r="N11" t="s">
        <v>117</v>
      </c>
      <c r="O11" s="4" t="s">
        <v>87</v>
      </c>
      <c r="P11" t="s">
        <v>118</v>
      </c>
      <c r="Q11" t="s">
        <v>119</v>
      </c>
      <c r="Y11" t="s">
        <v>48</v>
      </c>
      <c r="AB11">
        <v>1</v>
      </c>
      <c r="AC11">
        <f>MOD(4-Table14[[#This Row],[RotationNum]],4)</f>
        <v>3</v>
      </c>
    </row>
    <row r="12" spans="2:29" ht="16" x14ac:dyDescent="0.2">
      <c r="F12" t="s">
        <v>46</v>
      </c>
      <c r="G12" t="e" cm="1">
        <f t="array" ref="G12">_xlfn.XLOOKUP(TRUE, EXACT(Table12[[#This Row],[Face Turn Sought]], Table9[orig]), #REF!)</f>
        <v>#REF!</v>
      </c>
      <c r="H12" t="s">
        <v>2</v>
      </c>
      <c r="L12" t="s">
        <v>140</v>
      </c>
      <c r="M12" s="4" t="s">
        <v>11</v>
      </c>
      <c r="N12" t="s">
        <v>117</v>
      </c>
      <c r="O12" s="4" t="s">
        <v>87</v>
      </c>
      <c r="P12" t="s">
        <v>118</v>
      </c>
      <c r="Q12" t="s">
        <v>119</v>
      </c>
      <c r="Y12" t="s">
        <v>19</v>
      </c>
      <c r="AB12">
        <v>1</v>
      </c>
      <c r="AC12">
        <f>MOD(4-Table14[[#This Row],[RotationNum]],4)</f>
        <v>3</v>
      </c>
    </row>
    <row r="13" spans="2:29" ht="16" x14ac:dyDescent="0.2">
      <c r="L13" t="s">
        <v>141</v>
      </c>
      <c r="M13" s="4" t="s">
        <v>11</v>
      </c>
      <c r="N13" t="s">
        <v>117</v>
      </c>
      <c r="O13" s="4" t="s">
        <v>87</v>
      </c>
      <c r="P13" t="s">
        <v>118</v>
      </c>
      <c r="Q13" t="s">
        <v>119</v>
      </c>
      <c r="Y13" t="s">
        <v>4</v>
      </c>
      <c r="Z13" t="s">
        <v>7</v>
      </c>
      <c r="AA13" t="s">
        <v>10</v>
      </c>
      <c r="AB13">
        <v>2</v>
      </c>
      <c r="AC13">
        <f>MOD(4-Table14[[#This Row],[RotationNum]],4)</f>
        <v>2</v>
      </c>
    </row>
    <row r="14" spans="2:29" ht="16" x14ac:dyDescent="0.2">
      <c r="F14" t="s">
        <v>48</v>
      </c>
      <c r="G14" t="e" cm="1">
        <f t="array" ref="G14">_xlfn.XLOOKUP(TRUE, EXACT(Table12[[#This Row],[Face Turn Sought]], Table9[orig]), #REF!)</f>
        <v>#REF!</v>
      </c>
      <c r="H14" t="s">
        <v>3</v>
      </c>
      <c r="L14" t="s">
        <v>142</v>
      </c>
      <c r="M14" s="4" t="s">
        <v>11</v>
      </c>
      <c r="N14" t="s">
        <v>117</v>
      </c>
      <c r="O14" s="4" t="s">
        <v>87</v>
      </c>
      <c r="P14" t="s">
        <v>118</v>
      </c>
      <c r="Q14" t="s">
        <v>119</v>
      </c>
      <c r="Y14" t="s">
        <v>22</v>
      </c>
      <c r="AB14">
        <v>2</v>
      </c>
      <c r="AC14">
        <f>MOD(4-Table14[[#This Row],[RotationNum]],4)</f>
        <v>2</v>
      </c>
    </row>
    <row r="15" spans="2:29" ht="16" x14ac:dyDescent="0.2">
      <c r="F15" t="s">
        <v>19</v>
      </c>
      <c r="G15" t="e" cm="1">
        <f t="array" ref="G15">_xlfn.XLOOKUP(TRUE, EXACT(Table12[[#This Row],[Face Turn Sought]], Table9[orig]), #REF!)</f>
        <v>#REF!</v>
      </c>
      <c r="H15" t="s">
        <v>3</v>
      </c>
      <c r="I15">
        <v>2</v>
      </c>
      <c r="L15" t="s">
        <v>143</v>
      </c>
      <c r="M15" s="4" t="s">
        <v>11</v>
      </c>
      <c r="N15" t="s">
        <v>117</v>
      </c>
      <c r="O15" s="4" t="s">
        <v>87</v>
      </c>
      <c r="P15" t="s">
        <v>118</v>
      </c>
      <c r="Q15" t="s">
        <v>119</v>
      </c>
      <c r="Y15" t="s">
        <v>70</v>
      </c>
      <c r="AB15">
        <v>2</v>
      </c>
      <c r="AC15">
        <f>MOD(4-Table14[[#This Row],[RotationNum]],4)</f>
        <v>2</v>
      </c>
    </row>
    <row r="16" spans="2:29" ht="16" x14ac:dyDescent="0.2">
      <c r="B16" s="3"/>
      <c r="C16" s="3"/>
      <c r="D16" s="3"/>
      <c r="F16" s="3"/>
      <c r="G16" s="3"/>
      <c r="H16" s="3"/>
      <c r="I16" s="3"/>
      <c r="L16" t="s">
        <v>144</v>
      </c>
      <c r="M16" s="4" t="s">
        <v>11</v>
      </c>
      <c r="N16" t="s">
        <v>117</v>
      </c>
      <c r="O16" s="4" t="s">
        <v>87</v>
      </c>
      <c r="P16" t="s">
        <v>118</v>
      </c>
      <c r="Q16" t="s">
        <v>119</v>
      </c>
      <c r="Y16" t="s">
        <v>73</v>
      </c>
      <c r="AB16">
        <v>2</v>
      </c>
      <c r="AC16">
        <f>MOD(4-Table14[[#This Row],[RotationNum]],4)</f>
        <v>2</v>
      </c>
    </row>
    <row r="17" spans="2:29" ht="16" x14ac:dyDescent="0.2">
      <c r="B17" t="s">
        <v>4</v>
      </c>
      <c r="C17" t="s">
        <v>22</v>
      </c>
      <c r="D17" t="s">
        <v>23</v>
      </c>
      <c r="F17" t="s">
        <v>22</v>
      </c>
      <c r="G17" t="e" cm="1">
        <f t="array" ref="G17">_xlfn.XLOOKUP(TRUE, EXACT(Table12[[#This Row],[Face Turn Sought]], Table9[orig]), #REF!)</f>
        <v>#REF!</v>
      </c>
      <c r="H17" t="s">
        <v>4</v>
      </c>
      <c r="I17">
        <v>3</v>
      </c>
      <c r="L17" t="s">
        <v>145</v>
      </c>
      <c r="M17" s="4" t="s">
        <v>11</v>
      </c>
      <c r="N17" t="s">
        <v>117</v>
      </c>
      <c r="O17" s="4" t="s">
        <v>87</v>
      </c>
      <c r="P17" t="s">
        <v>118</v>
      </c>
      <c r="Q17" t="s">
        <v>119</v>
      </c>
      <c r="Y17" t="s">
        <v>146</v>
      </c>
      <c r="AB17">
        <v>2</v>
      </c>
      <c r="AC17">
        <f>MOD(4-Table14[[#This Row],[RotationNum]],4)</f>
        <v>2</v>
      </c>
    </row>
    <row r="18" spans="2:29" ht="16" x14ac:dyDescent="0.2">
      <c r="F18" t="s">
        <v>70</v>
      </c>
      <c r="G18" t="e" cm="1">
        <f t="array" ref="G18">_xlfn.XLOOKUP(TRUE, EXACT(Table12[[#This Row],[Face Turn Sought]], Table9[orig]), #REF!)</f>
        <v>#REF!</v>
      </c>
      <c r="H18" t="s">
        <v>4</v>
      </c>
      <c r="L18" t="s">
        <v>147</v>
      </c>
      <c r="M18" s="4" t="s">
        <v>11</v>
      </c>
      <c r="N18" t="s">
        <v>117</v>
      </c>
      <c r="O18" s="4" t="s">
        <v>87</v>
      </c>
      <c r="P18" t="s">
        <v>118</v>
      </c>
      <c r="Q18" t="s">
        <v>119</v>
      </c>
      <c r="Y18" t="s">
        <v>67</v>
      </c>
      <c r="AB18">
        <v>2</v>
      </c>
      <c r="AC18">
        <f>MOD(4-Table14[[#This Row],[RotationNum]],4)</f>
        <v>2</v>
      </c>
    </row>
    <row r="19" spans="2:29" ht="16" x14ac:dyDescent="0.2">
      <c r="L19" t="s">
        <v>148</v>
      </c>
      <c r="M19" s="4" t="s">
        <v>11</v>
      </c>
      <c r="N19" t="s">
        <v>117</v>
      </c>
      <c r="O19" s="4" t="s">
        <v>87</v>
      </c>
      <c r="P19" t="s">
        <v>118</v>
      </c>
      <c r="Q19" t="s">
        <v>119</v>
      </c>
      <c r="Y19" t="s">
        <v>23</v>
      </c>
      <c r="AB19">
        <v>2</v>
      </c>
      <c r="AC19">
        <f>MOD(4-Table14[[#This Row],[RotationNum]],4)</f>
        <v>2</v>
      </c>
    </row>
    <row r="20" spans="2:29" ht="16" x14ac:dyDescent="0.2">
      <c r="F20" t="s">
        <v>67</v>
      </c>
      <c r="G20" t="e" cm="1">
        <f t="array" ref="G20">_xlfn.XLOOKUP(TRUE, EXACT(Table12[[#This Row],[Face Turn Sought]], Table9[orig]), #REF!)</f>
        <v>#REF!</v>
      </c>
      <c r="H20" t="s">
        <v>4</v>
      </c>
      <c r="L20" t="s">
        <v>149</v>
      </c>
      <c r="M20" s="4" t="s">
        <v>11</v>
      </c>
      <c r="N20" t="s">
        <v>117</v>
      </c>
      <c r="O20" s="4" t="s">
        <v>87</v>
      </c>
      <c r="P20" t="s">
        <v>118</v>
      </c>
      <c r="Q20" t="s">
        <v>119</v>
      </c>
      <c r="Y20" t="s">
        <v>3</v>
      </c>
      <c r="Z20" t="s">
        <v>6</v>
      </c>
      <c r="AA20" t="s">
        <v>9</v>
      </c>
      <c r="AB20">
        <v>3</v>
      </c>
      <c r="AC20">
        <f>MOD(4-Table14[[#This Row],[RotationNum]],4)</f>
        <v>1</v>
      </c>
    </row>
    <row r="21" spans="2:29" ht="16" x14ac:dyDescent="0.2">
      <c r="F21" t="s">
        <v>23</v>
      </c>
      <c r="G21" t="e" cm="1">
        <f t="array" ref="G21">_xlfn.XLOOKUP(TRUE, EXACT(Table12[[#This Row],[Face Turn Sought]], Table9[orig]), #REF!)</f>
        <v>#REF!</v>
      </c>
      <c r="H21" t="s">
        <v>4</v>
      </c>
      <c r="I21">
        <v>3</v>
      </c>
      <c r="L21" t="s">
        <v>150</v>
      </c>
      <c r="M21" s="4" t="s">
        <v>11</v>
      </c>
      <c r="N21" t="s">
        <v>117</v>
      </c>
      <c r="O21" s="4" t="s">
        <v>87</v>
      </c>
      <c r="P21" t="s">
        <v>118</v>
      </c>
      <c r="Q21" t="s">
        <v>119</v>
      </c>
      <c r="Y21" t="s">
        <v>20</v>
      </c>
      <c r="AB21">
        <v>3</v>
      </c>
      <c r="AC21">
        <f>MOD(4-Table14[[#This Row],[RotationNum]],4)</f>
        <v>1</v>
      </c>
    </row>
    <row r="22" spans="2:29" ht="16" x14ac:dyDescent="0.2">
      <c r="B22" s="3"/>
      <c r="C22" s="3"/>
      <c r="D22" s="3"/>
      <c r="F22" s="3"/>
      <c r="G22" s="3"/>
      <c r="H22" s="3"/>
      <c r="I22" s="3"/>
      <c r="L22" t="s">
        <v>151</v>
      </c>
      <c r="M22" s="4" t="s">
        <v>11</v>
      </c>
      <c r="N22" t="s">
        <v>117</v>
      </c>
      <c r="O22" s="4" t="s">
        <v>87</v>
      </c>
      <c r="P22" t="s">
        <v>118</v>
      </c>
      <c r="Q22" t="s">
        <v>119</v>
      </c>
      <c r="Y22" t="s">
        <v>46</v>
      </c>
      <c r="AB22">
        <v>3</v>
      </c>
      <c r="AC22">
        <f>MOD(4-Table14[[#This Row],[RotationNum]],4)</f>
        <v>1</v>
      </c>
    </row>
    <row r="23" spans="2:29" ht="16" x14ac:dyDescent="0.2">
      <c r="B23" t="s">
        <v>8</v>
      </c>
      <c r="C23" t="s">
        <v>56</v>
      </c>
      <c r="D23" t="s">
        <v>27</v>
      </c>
      <c r="F23" t="s">
        <v>44</v>
      </c>
      <c r="G23" t="e" cm="1">
        <f t="array" ref="G23">_xlfn.XLOOKUP(TRUE, EXACT(Table12[[#This Row],[Face Turn Sought]], Table9[orig]), #REF!)</f>
        <v>#REF!</v>
      </c>
      <c r="H23" t="s">
        <v>9</v>
      </c>
      <c r="I23">
        <v>8</v>
      </c>
      <c r="L23" t="s">
        <v>152</v>
      </c>
      <c r="M23" s="4" t="s">
        <v>11</v>
      </c>
      <c r="N23" t="s">
        <v>117</v>
      </c>
      <c r="O23" s="4" t="s">
        <v>87</v>
      </c>
      <c r="P23" t="s">
        <v>118</v>
      </c>
      <c r="Q23" t="s">
        <v>119</v>
      </c>
      <c r="Y23" t="s">
        <v>50</v>
      </c>
      <c r="AB23">
        <v>3</v>
      </c>
      <c r="AC23">
        <f>MOD(4-Table14[[#This Row],[RotationNum]],4)</f>
        <v>1</v>
      </c>
    </row>
    <row r="24" spans="2:29" ht="16" x14ac:dyDescent="0.2">
      <c r="L24" t="s">
        <v>153</v>
      </c>
      <c r="M24" s="4" t="s">
        <v>11</v>
      </c>
      <c r="N24" t="s">
        <v>117</v>
      </c>
      <c r="O24" s="4" t="s">
        <v>87</v>
      </c>
      <c r="P24" t="s">
        <v>118</v>
      </c>
      <c r="Q24" t="s">
        <v>119</v>
      </c>
      <c r="Y24" t="s">
        <v>154</v>
      </c>
      <c r="AB24">
        <v>3</v>
      </c>
      <c r="AC24">
        <f>MOD(4-Table14[[#This Row],[RotationNum]],4)</f>
        <v>1</v>
      </c>
    </row>
    <row r="25" spans="2:29" ht="16" x14ac:dyDescent="0.2">
      <c r="L25" t="s">
        <v>12</v>
      </c>
      <c r="M25" s="4" t="s">
        <v>12</v>
      </c>
      <c r="N25" t="s">
        <v>122</v>
      </c>
      <c r="O25" s="4" t="s">
        <v>89</v>
      </c>
      <c r="P25" s="4" t="s">
        <v>123</v>
      </c>
      <c r="Q25" t="s">
        <v>119</v>
      </c>
      <c r="Y25" t="s">
        <v>43</v>
      </c>
      <c r="AB25">
        <v>3</v>
      </c>
      <c r="AC25">
        <f>MOD(4-Table14[[#This Row],[RotationNum]],4)</f>
        <v>1</v>
      </c>
    </row>
    <row r="26" spans="2:29" ht="16" x14ac:dyDescent="0.2">
      <c r="L26" t="s">
        <v>155</v>
      </c>
      <c r="M26" s="4" t="s">
        <v>12</v>
      </c>
      <c r="N26" t="s">
        <v>122</v>
      </c>
      <c r="O26" s="4" t="s">
        <v>89</v>
      </c>
      <c r="P26" s="4" t="s">
        <v>123</v>
      </c>
      <c r="Q26" t="s">
        <v>119</v>
      </c>
      <c r="Y26" t="s">
        <v>21</v>
      </c>
      <c r="AB26">
        <v>3</v>
      </c>
      <c r="AC26">
        <f>MOD(4-Table14[[#This Row],[RotationNum]],4)</f>
        <v>1</v>
      </c>
    </row>
    <row r="27" spans="2:29" ht="16" x14ac:dyDescent="0.2">
      <c r="F27" t="s">
        <v>27</v>
      </c>
      <c r="G27" t="e" cm="1">
        <f t="array" ref="G27">_xlfn.XLOOKUP(TRUE, EXACT(Table12[[#This Row],[Face Turn Sought]], Table9[orig]), #REF!)</f>
        <v>#REF!</v>
      </c>
      <c r="H27" t="s">
        <v>8</v>
      </c>
      <c r="I27">
        <v>7</v>
      </c>
      <c r="L27" t="s">
        <v>156</v>
      </c>
      <c r="M27" s="4" t="s">
        <v>12</v>
      </c>
      <c r="N27" t="s">
        <v>122</v>
      </c>
      <c r="O27" s="4" t="s">
        <v>89</v>
      </c>
      <c r="P27" s="4" t="s">
        <v>123</v>
      </c>
      <c r="Q27" t="s">
        <v>119</v>
      </c>
    </row>
    <row r="28" spans="2:29" ht="16" x14ac:dyDescent="0.2">
      <c r="B28" s="3"/>
      <c r="C28" s="3"/>
      <c r="D28" s="3"/>
      <c r="F28" s="3"/>
      <c r="G28" s="3"/>
      <c r="H28" s="3"/>
      <c r="I28" s="3"/>
      <c r="L28" t="s">
        <v>157</v>
      </c>
      <c r="M28" s="4" t="s">
        <v>12</v>
      </c>
      <c r="N28" t="s">
        <v>122</v>
      </c>
      <c r="O28" s="4" t="s">
        <v>89</v>
      </c>
      <c r="P28" s="4" t="s">
        <v>123</v>
      </c>
      <c r="Q28" t="s">
        <v>119</v>
      </c>
    </row>
    <row r="29" spans="2:29" ht="16" x14ac:dyDescent="0.2">
      <c r="B29" t="s">
        <v>9</v>
      </c>
      <c r="C29" t="s">
        <v>44</v>
      </c>
      <c r="D29" t="s">
        <v>65</v>
      </c>
      <c r="F29" t="s">
        <v>56</v>
      </c>
      <c r="G29" t="e" cm="1">
        <f t="array" ref="G29">_xlfn.XLOOKUP(TRUE, EXACT(Table12[[#This Row],[Face Turn Sought]], Table9[orig]), #REF!)</f>
        <v>#REF!</v>
      </c>
      <c r="H29" t="s">
        <v>8</v>
      </c>
      <c r="I29">
        <v>7</v>
      </c>
      <c r="L29" t="s">
        <v>158</v>
      </c>
      <c r="M29" s="4" t="s">
        <v>12</v>
      </c>
      <c r="N29" t="s">
        <v>122</v>
      </c>
      <c r="O29" s="4" t="s">
        <v>89</v>
      </c>
      <c r="P29" s="4" t="s">
        <v>123</v>
      </c>
      <c r="Q29" t="s">
        <v>119</v>
      </c>
    </row>
    <row r="30" spans="2:29" ht="16" x14ac:dyDescent="0.2">
      <c r="L30" t="s">
        <v>159</v>
      </c>
      <c r="M30" s="4" t="s">
        <v>12</v>
      </c>
      <c r="N30" t="s">
        <v>122</v>
      </c>
      <c r="O30" s="4" t="s">
        <v>89</v>
      </c>
      <c r="P30" s="4" t="s">
        <v>123</v>
      </c>
      <c r="Q30" t="s">
        <v>119</v>
      </c>
    </row>
    <row r="31" spans="2:29" ht="16" x14ac:dyDescent="0.2">
      <c r="L31" t="s">
        <v>160</v>
      </c>
      <c r="M31" s="4" t="s">
        <v>12</v>
      </c>
      <c r="N31" t="s">
        <v>122</v>
      </c>
      <c r="O31" s="4" t="s">
        <v>89</v>
      </c>
      <c r="P31" s="4" t="s">
        <v>123</v>
      </c>
      <c r="Q31" t="s">
        <v>119</v>
      </c>
    </row>
    <row r="32" spans="2:29" ht="16" x14ac:dyDescent="0.2">
      <c r="L32" t="s">
        <v>161</v>
      </c>
      <c r="M32" s="4" t="s">
        <v>12</v>
      </c>
      <c r="N32" t="s">
        <v>122</v>
      </c>
      <c r="O32" s="4" t="s">
        <v>89</v>
      </c>
      <c r="P32" s="4" t="s">
        <v>123</v>
      </c>
      <c r="Q32" t="s">
        <v>119</v>
      </c>
    </row>
    <row r="33" spans="2:17" ht="16" x14ac:dyDescent="0.2">
      <c r="F33" t="s">
        <v>65</v>
      </c>
      <c r="G33" t="e" cm="1">
        <f t="array" ref="G33">_xlfn.XLOOKUP(TRUE, EXACT(Table12[[#This Row],[Face Turn Sought]], Table9[orig]), #REF!)</f>
        <v>#REF!</v>
      </c>
      <c r="H33" t="s">
        <v>9</v>
      </c>
      <c r="I33">
        <v>8</v>
      </c>
      <c r="L33" t="s">
        <v>162</v>
      </c>
      <c r="M33" s="4" t="s">
        <v>12</v>
      </c>
      <c r="N33" t="s">
        <v>122</v>
      </c>
      <c r="O33" s="4" t="s">
        <v>89</v>
      </c>
      <c r="P33" s="4" t="s">
        <v>123</v>
      </c>
      <c r="Q33" t="s">
        <v>119</v>
      </c>
    </row>
    <row r="34" spans="2:17" ht="16" x14ac:dyDescent="0.2">
      <c r="B34" s="3"/>
      <c r="C34" s="3"/>
      <c r="D34" s="3"/>
      <c r="F34" s="3"/>
      <c r="G34" s="3"/>
      <c r="H34" s="3"/>
      <c r="I34" s="3"/>
      <c r="L34" t="s">
        <v>163</v>
      </c>
      <c r="M34" s="4" t="s">
        <v>12</v>
      </c>
      <c r="N34" t="s">
        <v>122</v>
      </c>
      <c r="O34" s="4" t="s">
        <v>89</v>
      </c>
      <c r="P34" s="4" t="s">
        <v>123</v>
      </c>
      <c r="Q34" t="s">
        <v>119</v>
      </c>
    </row>
    <row r="35" spans="2:17" ht="16" x14ac:dyDescent="0.2">
      <c r="B35" t="s">
        <v>10</v>
      </c>
      <c r="C35" t="s">
        <v>68</v>
      </c>
      <c r="D35" t="s">
        <v>79</v>
      </c>
      <c r="F35" t="s">
        <v>68</v>
      </c>
      <c r="G35" t="e" cm="1">
        <f t="array" ref="G35">_xlfn.XLOOKUP(TRUE, EXACT(Table12[[#This Row],[Face Turn Sought]], Table9[orig]), #REF!)</f>
        <v>#REF!</v>
      </c>
      <c r="H35" t="s">
        <v>10</v>
      </c>
      <c r="I35">
        <v>9</v>
      </c>
      <c r="L35" t="s">
        <v>164</v>
      </c>
      <c r="M35" s="4" t="s">
        <v>12</v>
      </c>
      <c r="N35" t="s">
        <v>122</v>
      </c>
      <c r="O35" s="4" t="s">
        <v>89</v>
      </c>
      <c r="P35" s="4" t="s">
        <v>123</v>
      </c>
      <c r="Q35" t="s">
        <v>119</v>
      </c>
    </row>
    <row r="36" spans="2:17" ht="16" x14ac:dyDescent="0.2">
      <c r="L36" t="s">
        <v>165</v>
      </c>
      <c r="M36" s="4" t="s">
        <v>12</v>
      </c>
      <c r="N36" t="s">
        <v>122</v>
      </c>
      <c r="O36" s="4" t="s">
        <v>89</v>
      </c>
      <c r="P36" s="4" t="s">
        <v>123</v>
      </c>
      <c r="Q36" t="s">
        <v>119</v>
      </c>
    </row>
    <row r="37" spans="2:17" ht="16" x14ac:dyDescent="0.2">
      <c r="L37" t="s">
        <v>166</v>
      </c>
      <c r="M37" s="4" t="s">
        <v>12</v>
      </c>
      <c r="N37" t="s">
        <v>122</v>
      </c>
      <c r="O37" s="4" t="s">
        <v>89</v>
      </c>
      <c r="P37" s="4" t="s">
        <v>123</v>
      </c>
      <c r="Q37" t="s">
        <v>119</v>
      </c>
    </row>
    <row r="38" spans="2:17" ht="16" x14ac:dyDescent="0.2">
      <c r="L38" t="s">
        <v>167</v>
      </c>
      <c r="M38" s="4" t="s">
        <v>12</v>
      </c>
      <c r="N38" t="s">
        <v>122</v>
      </c>
      <c r="O38" s="4" t="s">
        <v>89</v>
      </c>
      <c r="P38" s="4" t="s">
        <v>123</v>
      </c>
      <c r="Q38" t="s">
        <v>119</v>
      </c>
    </row>
    <row r="39" spans="2:17" ht="16" x14ac:dyDescent="0.2">
      <c r="F39" t="s">
        <v>79</v>
      </c>
      <c r="G39" t="e" cm="1">
        <f t="array" ref="G39">_xlfn.XLOOKUP(TRUE, EXACT(Table12[[#This Row],[Face Turn Sought]], Table9[orig]), #REF!)</f>
        <v>#REF!</v>
      </c>
      <c r="H39" t="s">
        <v>10</v>
      </c>
      <c r="I39">
        <v>9</v>
      </c>
      <c r="L39" t="s">
        <v>168</v>
      </c>
      <c r="M39" s="4" t="s">
        <v>12</v>
      </c>
      <c r="N39" t="s">
        <v>122</v>
      </c>
      <c r="O39" s="4" t="s">
        <v>89</v>
      </c>
      <c r="P39" s="4" t="s">
        <v>123</v>
      </c>
      <c r="Q39" t="s">
        <v>119</v>
      </c>
    </row>
    <row r="40" spans="2:17" ht="16" x14ac:dyDescent="0.2">
      <c r="B40" s="3"/>
      <c r="C40" s="3"/>
      <c r="D40" s="3"/>
      <c r="F40" s="3"/>
      <c r="G40" s="3"/>
      <c r="H40" s="3"/>
      <c r="I40" s="3"/>
      <c r="L40" t="s">
        <v>169</v>
      </c>
      <c r="M40" s="4" t="s">
        <v>12</v>
      </c>
      <c r="N40" t="s">
        <v>122</v>
      </c>
      <c r="O40" s="4" t="s">
        <v>89</v>
      </c>
      <c r="P40" s="4" t="s">
        <v>123</v>
      </c>
      <c r="Q40" t="s">
        <v>119</v>
      </c>
    </row>
    <row r="41" spans="2:17" ht="16" x14ac:dyDescent="0.2">
      <c r="B41" t="s">
        <v>5</v>
      </c>
      <c r="C41" t="s">
        <v>66</v>
      </c>
      <c r="D41" t="s">
        <v>28</v>
      </c>
      <c r="F41" t="s">
        <v>55</v>
      </c>
      <c r="G41" t="e" cm="1">
        <f t="array" ref="G41">_xlfn.XLOOKUP(TRUE, EXACT(Table12[[#This Row],[Face Turn Sought]], Table9[orig]), #REF!)</f>
        <v>#REF!</v>
      </c>
      <c r="H41" t="s">
        <v>6</v>
      </c>
      <c r="I41">
        <v>5</v>
      </c>
      <c r="L41" t="s">
        <v>170</v>
      </c>
      <c r="M41" s="4" t="s">
        <v>12</v>
      </c>
      <c r="N41" t="s">
        <v>122</v>
      </c>
      <c r="O41" s="4" t="s">
        <v>89</v>
      </c>
      <c r="P41" s="4" t="s">
        <v>123</v>
      </c>
      <c r="Q41" t="s">
        <v>119</v>
      </c>
    </row>
    <row r="42" spans="2:17" ht="16" x14ac:dyDescent="0.2">
      <c r="L42" t="s">
        <v>171</v>
      </c>
      <c r="M42" s="4" t="s">
        <v>12</v>
      </c>
      <c r="N42" t="s">
        <v>122</v>
      </c>
      <c r="O42" s="4" t="s">
        <v>89</v>
      </c>
      <c r="P42" s="4" t="s">
        <v>123</v>
      </c>
      <c r="Q42" t="s">
        <v>119</v>
      </c>
    </row>
    <row r="43" spans="2:17" ht="16" x14ac:dyDescent="0.2">
      <c r="L43" t="s">
        <v>172</v>
      </c>
      <c r="M43" s="4" t="s">
        <v>12</v>
      </c>
      <c r="N43" t="s">
        <v>122</v>
      </c>
      <c r="O43" s="4" t="s">
        <v>89</v>
      </c>
      <c r="P43" s="4" t="s">
        <v>123</v>
      </c>
      <c r="Q43" t="s">
        <v>119</v>
      </c>
    </row>
    <row r="44" spans="2:17" ht="16" x14ac:dyDescent="0.2">
      <c r="L44" t="s">
        <v>173</v>
      </c>
      <c r="M44" s="4" t="s">
        <v>12</v>
      </c>
      <c r="N44" t="s">
        <v>122</v>
      </c>
      <c r="O44" s="4" t="s">
        <v>89</v>
      </c>
      <c r="P44" s="4" t="s">
        <v>123</v>
      </c>
      <c r="Q44" t="s">
        <v>119</v>
      </c>
    </row>
    <row r="45" spans="2:17" ht="16" x14ac:dyDescent="0.2">
      <c r="F45" t="s">
        <v>28</v>
      </c>
      <c r="G45" t="e" cm="1">
        <f t="array" ref="G45">_xlfn.XLOOKUP(TRUE, EXACT(Table12[[#This Row],[Face Turn Sought]], Table9[orig]), #REF!)</f>
        <v>#REF!</v>
      </c>
      <c r="H45" t="s">
        <v>5</v>
      </c>
      <c r="I45">
        <v>4</v>
      </c>
      <c r="L45" t="s">
        <v>13</v>
      </c>
      <c r="M45" s="4" t="s">
        <v>13</v>
      </c>
      <c r="N45" t="s">
        <v>125</v>
      </c>
      <c r="O45" t="s">
        <v>88</v>
      </c>
      <c r="P45" s="4" t="s">
        <v>126</v>
      </c>
      <c r="Q45" t="s">
        <v>127</v>
      </c>
    </row>
    <row r="46" spans="2:17" ht="16" x14ac:dyDescent="0.2">
      <c r="B46" s="3"/>
      <c r="C46" s="3"/>
      <c r="D46" s="3"/>
      <c r="F46" s="3"/>
      <c r="G46" s="3"/>
      <c r="H46" s="3"/>
      <c r="I46" s="3"/>
      <c r="L46" t="s">
        <v>174</v>
      </c>
      <c r="M46" s="4" t="s">
        <v>13</v>
      </c>
      <c r="N46" t="s">
        <v>125</v>
      </c>
      <c r="O46" t="s">
        <v>88</v>
      </c>
      <c r="P46" s="4" t="s">
        <v>126</v>
      </c>
      <c r="Q46" t="s">
        <v>127</v>
      </c>
    </row>
    <row r="47" spans="2:17" ht="16" x14ac:dyDescent="0.2">
      <c r="B47" t="s">
        <v>6</v>
      </c>
      <c r="C47" t="s">
        <v>55</v>
      </c>
      <c r="D47" t="s">
        <v>57</v>
      </c>
      <c r="F47" t="s">
        <v>66</v>
      </c>
      <c r="G47" t="e" cm="1">
        <f t="array" ref="G47">_xlfn.XLOOKUP(TRUE, EXACT(Table12[[#This Row],[Face Turn Sought]], Table9[orig]), #REF!)</f>
        <v>#REF!</v>
      </c>
      <c r="H47" t="s">
        <v>5</v>
      </c>
      <c r="I47">
        <v>4</v>
      </c>
      <c r="L47" t="s">
        <v>175</v>
      </c>
      <c r="M47" s="4" t="s">
        <v>13</v>
      </c>
      <c r="N47" t="s">
        <v>125</v>
      </c>
      <c r="O47" t="s">
        <v>88</v>
      </c>
      <c r="P47" s="4" t="s">
        <v>126</v>
      </c>
      <c r="Q47" t="s">
        <v>127</v>
      </c>
    </row>
    <row r="48" spans="2:17" ht="16" x14ac:dyDescent="0.2">
      <c r="L48" t="s">
        <v>176</v>
      </c>
      <c r="M48" s="4" t="s">
        <v>13</v>
      </c>
      <c r="N48" t="s">
        <v>125</v>
      </c>
      <c r="O48" t="s">
        <v>88</v>
      </c>
      <c r="P48" s="4" t="s">
        <v>126</v>
      </c>
      <c r="Q48" t="s">
        <v>127</v>
      </c>
    </row>
    <row r="49" spans="2:17" ht="16" x14ac:dyDescent="0.2">
      <c r="L49" t="s">
        <v>177</v>
      </c>
      <c r="M49" s="4" t="s">
        <v>13</v>
      </c>
      <c r="N49" t="s">
        <v>125</v>
      </c>
      <c r="O49" t="s">
        <v>88</v>
      </c>
      <c r="P49" s="4" t="s">
        <v>126</v>
      </c>
      <c r="Q49" t="s">
        <v>127</v>
      </c>
    </row>
    <row r="50" spans="2:17" ht="16" x14ac:dyDescent="0.2">
      <c r="L50" t="s">
        <v>178</v>
      </c>
      <c r="M50" s="4" t="s">
        <v>13</v>
      </c>
      <c r="N50" t="s">
        <v>125</v>
      </c>
      <c r="O50" t="s">
        <v>88</v>
      </c>
      <c r="P50" s="4" t="s">
        <v>126</v>
      </c>
      <c r="Q50" t="s">
        <v>127</v>
      </c>
    </row>
    <row r="51" spans="2:17" ht="16" x14ac:dyDescent="0.2">
      <c r="F51" t="s">
        <v>57</v>
      </c>
      <c r="G51" t="e" cm="1">
        <f t="array" ref="G51">_xlfn.XLOOKUP(TRUE, EXACT(Table12[[#This Row],[Face Turn Sought]], Table9[orig]), #REF!)</f>
        <v>#REF!</v>
      </c>
      <c r="H51" t="s">
        <v>6</v>
      </c>
      <c r="I51">
        <v>5</v>
      </c>
      <c r="L51" t="s">
        <v>179</v>
      </c>
      <c r="M51" s="4" t="s">
        <v>13</v>
      </c>
      <c r="N51" t="s">
        <v>125</v>
      </c>
      <c r="O51" t="s">
        <v>88</v>
      </c>
      <c r="P51" s="4" t="s">
        <v>126</v>
      </c>
      <c r="Q51" t="s">
        <v>127</v>
      </c>
    </row>
    <row r="52" spans="2:17" ht="16" x14ac:dyDescent="0.2">
      <c r="B52" s="3"/>
      <c r="C52" s="3"/>
      <c r="D52" s="3"/>
      <c r="F52" s="3"/>
      <c r="G52" s="3"/>
      <c r="H52" s="3"/>
      <c r="I52" s="3"/>
      <c r="L52" t="s">
        <v>180</v>
      </c>
      <c r="M52" s="4" t="s">
        <v>13</v>
      </c>
      <c r="N52" t="s">
        <v>125</v>
      </c>
      <c r="O52" t="s">
        <v>88</v>
      </c>
      <c r="P52" s="4" t="s">
        <v>126</v>
      </c>
      <c r="Q52" t="s">
        <v>127</v>
      </c>
    </row>
    <row r="53" spans="2:17" ht="16" x14ac:dyDescent="0.2">
      <c r="B53" t="s">
        <v>7</v>
      </c>
      <c r="C53" t="s">
        <v>80</v>
      </c>
      <c r="D53" t="s">
        <v>69</v>
      </c>
      <c r="F53" t="s">
        <v>80</v>
      </c>
      <c r="G53" t="e" cm="1">
        <f t="array" ref="G53">_xlfn.XLOOKUP(TRUE, EXACT(Table12[[#This Row],[Face Turn Sought]], Table9[orig]), #REF!)</f>
        <v>#REF!</v>
      </c>
      <c r="H53" t="s">
        <v>7</v>
      </c>
      <c r="I53">
        <v>6</v>
      </c>
      <c r="L53" t="s">
        <v>181</v>
      </c>
      <c r="M53" s="4" t="s">
        <v>13</v>
      </c>
      <c r="N53" t="s">
        <v>125</v>
      </c>
      <c r="O53" t="s">
        <v>88</v>
      </c>
      <c r="P53" s="4" t="s">
        <v>126</v>
      </c>
      <c r="Q53" t="s">
        <v>127</v>
      </c>
    </row>
    <row r="54" spans="2:17" ht="16" x14ac:dyDescent="0.2">
      <c r="L54" t="s">
        <v>182</v>
      </c>
      <c r="M54" s="4" t="s">
        <v>13</v>
      </c>
      <c r="N54" t="s">
        <v>125</v>
      </c>
      <c r="O54" t="s">
        <v>88</v>
      </c>
      <c r="P54" s="4" t="s">
        <v>126</v>
      </c>
      <c r="Q54" t="s">
        <v>127</v>
      </c>
    </row>
    <row r="55" spans="2:17" ht="16" x14ac:dyDescent="0.2">
      <c r="L55" t="s">
        <v>183</v>
      </c>
      <c r="M55" s="4" t="s">
        <v>13</v>
      </c>
      <c r="N55" t="s">
        <v>125</v>
      </c>
      <c r="O55" t="s">
        <v>88</v>
      </c>
      <c r="P55" s="4" t="s">
        <v>126</v>
      </c>
      <c r="Q55" t="s">
        <v>127</v>
      </c>
    </row>
    <row r="56" spans="2:17" ht="16" x14ac:dyDescent="0.2">
      <c r="L56" t="s">
        <v>184</v>
      </c>
      <c r="M56" s="4" t="s">
        <v>13</v>
      </c>
      <c r="N56" t="s">
        <v>125</v>
      </c>
      <c r="O56" t="s">
        <v>88</v>
      </c>
      <c r="P56" s="4" t="s">
        <v>126</v>
      </c>
      <c r="Q56" t="s">
        <v>127</v>
      </c>
    </row>
    <row r="57" spans="2:17" ht="16" x14ac:dyDescent="0.2">
      <c r="F57" t="s">
        <v>69</v>
      </c>
      <c r="G57" t="e" cm="1">
        <f t="array" ref="G57">_xlfn.XLOOKUP(TRUE, EXACT(Table12[[#This Row],[Face Turn Sought]], Table9[orig]), #REF!)</f>
        <v>#REF!</v>
      </c>
      <c r="H57" t="s">
        <v>7</v>
      </c>
      <c r="I57">
        <v>6</v>
      </c>
      <c r="L57" t="s">
        <v>185</v>
      </c>
      <c r="M57" s="4" t="s">
        <v>13</v>
      </c>
      <c r="N57" t="s">
        <v>125</v>
      </c>
      <c r="O57" t="s">
        <v>88</v>
      </c>
      <c r="P57" s="4" t="s">
        <v>126</v>
      </c>
      <c r="Q57" t="s">
        <v>127</v>
      </c>
    </row>
    <row r="58" spans="2:17" ht="16" x14ac:dyDescent="0.2">
      <c r="B58" s="3"/>
      <c r="C58" s="3"/>
      <c r="D58" s="3"/>
      <c r="F58" s="3"/>
      <c r="G58" s="3"/>
      <c r="H58" s="3"/>
      <c r="I58" s="3"/>
      <c r="L58" t="s">
        <v>186</v>
      </c>
      <c r="M58" s="4" t="s">
        <v>13</v>
      </c>
      <c r="N58" t="s">
        <v>125</v>
      </c>
      <c r="O58" t="s">
        <v>88</v>
      </c>
      <c r="P58" s="4" t="s">
        <v>126</v>
      </c>
      <c r="Q58" t="s">
        <v>127</v>
      </c>
    </row>
    <row r="59" spans="2:17" ht="16" x14ac:dyDescent="0.2">
      <c r="L59" t="s">
        <v>187</v>
      </c>
      <c r="M59" s="4" t="s">
        <v>13</v>
      </c>
      <c r="N59" t="s">
        <v>125</v>
      </c>
      <c r="O59" t="s">
        <v>88</v>
      </c>
      <c r="P59" s="4" t="s">
        <v>126</v>
      </c>
      <c r="Q59" t="s">
        <v>127</v>
      </c>
    </row>
    <row r="60" spans="2:17" ht="16" x14ac:dyDescent="0.2">
      <c r="L60" t="s">
        <v>188</v>
      </c>
      <c r="M60" s="4" t="s">
        <v>13</v>
      </c>
      <c r="N60" t="s">
        <v>125</v>
      </c>
      <c r="O60" t="s">
        <v>88</v>
      </c>
      <c r="P60" s="4" t="s">
        <v>126</v>
      </c>
      <c r="Q60" t="s">
        <v>127</v>
      </c>
    </row>
    <row r="61" spans="2:17" ht="16" x14ac:dyDescent="0.2">
      <c r="L61" t="s">
        <v>189</v>
      </c>
      <c r="M61" s="4" t="s">
        <v>13</v>
      </c>
      <c r="N61" t="s">
        <v>125</v>
      </c>
      <c r="O61" t="s">
        <v>88</v>
      </c>
      <c r="P61" s="4" t="s">
        <v>126</v>
      </c>
      <c r="Q61" t="s">
        <v>127</v>
      </c>
    </row>
    <row r="62" spans="2:17" ht="16" x14ac:dyDescent="0.2">
      <c r="L62" t="s">
        <v>190</v>
      </c>
      <c r="M62" s="4" t="s">
        <v>13</v>
      </c>
      <c r="N62" t="s">
        <v>125</v>
      </c>
      <c r="O62" t="s">
        <v>88</v>
      </c>
      <c r="P62" s="4" t="s">
        <v>126</v>
      </c>
      <c r="Q62" t="s">
        <v>127</v>
      </c>
    </row>
    <row r="63" spans="2:17" ht="16" x14ac:dyDescent="0.2">
      <c r="L63" t="s">
        <v>191</v>
      </c>
      <c r="M63" s="4" t="s">
        <v>13</v>
      </c>
      <c r="N63" t="s">
        <v>125</v>
      </c>
      <c r="O63" t="s">
        <v>88</v>
      </c>
      <c r="P63" s="4" t="s">
        <v>126</v>
      </c>
      <c r="Q63" t="s">
        <v>127</v>
      </c>
    </row>
    <row r="64" spans="2:17" ht="16" x14ac:dyDescent="0.2">
      <c r="L64" t="s">
        <v>192</v>
      </c>
      <c r="M64" s="4" t="s">
        <v>13</v>
      </c>
      <c r="N64" t="s">
        <v>125</v>
      </c>
      <c r="O64" t="s">
        <v>88</v>
      </c>
      <c r="P64" s="4" t="s">
        <v>126</v>
      </c>
      <c r="Q64" t="s">
        <v>127</v>
      </c>
    </row>
    <row r="65" spans="12:17" ht="16" x14ac:dyDescent="0.2">
      <c r="L65" t="s">
        <v>14</v>
      </c>
      <c r="M65" s="4" t="s">
        <v>14</v>
      </c>
      <c r="N65" t="s">
        <v>129</v>
      </c>
      <c r="O65" s="4" t="s">
        <v>91</v>
      </c>
      <c r="P65" s="4" t="s">
        <v>130</v>
      </c>
      <c r="Q65" t="s">
        <v>127</v>
      </c>
    </row>
    <row r="66" spans="12:17" ht="16" x14ac:dyDescent="0.2">
      <c r="L66" t="s">
        <v>193</v>
      </c>
      <c r="M66" s="4" t="s">
        <v>14</v>
      </c>
      <c r="N66" t="s">
        <v>129</v>
      </c>
      <c r="O66" s="4" t="s">
        <v>91</v>
      </c>
      <c r="P66" s="4" t="s">
        <v>130</v>
      </c>
      <c r="Q66" t="s">
        <v>127</v>
      </c>
    </row>
    <row r="67" spans="12:17" ht="16" x14ac:dyDescent="0.2">
      <c r="L67" t="s">
        <v>194</v>
      </c>
      <c r="M67" s="4" t="s">
        <v>14</v>
      </c>
      <c r="N67" t="s">
        <v>129</v>
      </c>
      <c r="O67" s="4" t="s">
        <v>91</v>
      </c>
      <c r="P67" s="4" t="s">
        <v>130</v>
      </c>
      <c r="Q67" t="s">
        <v>127</v>
      </c>
    </row>
    <row r="68" spans="12:17" ht="16" x14ac:dyDescent="0.2">
      <c r="L68" t="s">
        <v>195</v>
      </c>
      <c r="M68" s="4" t="s">
        <v>14</v>
      </c>
      <c r="N68" t="s">
        <v>129</v>
      </c>
      <c r="O68" s="4" t="s">
        <v>91</v>
      </c>
      <c r="P68" s="4" t="s">
        <v>130</v>
      </c>
      <c r="Q68" t="s">
        <v>127</v>
      </c>
    </row>
    <row r="69" spans="12:17" ht="16" x14ac:dyDescent="0.2">
      <c r="L69" t="s">
        <v>196</v>
      </c>
      <c r="M69" s="4" t="s">
        <v>14</v>
      </c>
      <c r="N69" t="s">
        <v>129</v>
      </c>
      <c r="O69" s="4" t="s">
        <v>91</v>
      </c>
      <c r="P69" s="4" t="s">
        <v>130</v>
      </c>
      <c r="Q69" t="s">
        <v>127</v>
      </c>
    </row>
    <row r="70" spans="12:17" ht="16" x14ac:dyDescent="0.2">
      <c r="L70" t="s">
        <v>197</v>
      </c>
      <c r="M70" s="4" t="s">
        <v>14</v>
      </c>
      <c r="N70" t="s">
        <v>129</v>
      </c>
      <c r="O70" s="4" t="s">
        <v>91</v>
      </c>
      <c r="P70" s="4" t="s">
        <v>130</v>
      </c>
      <c r="Q70" t="s">
        <v>127</v>
      </c>
    </row>
    <row r="71" spans="12:17" ht="16" x14ac:dyDescent="0.2">
      <c r="L71" t="s">
        <v>198</v>
      </c>
      <c r="M71" s="4" t="s">
        <v>14</v>
      </c>
      <c r="N71" t="s">
        <v>129</v>
      </c>
      <c r="O71" s="4" t="s">
        <v>91</v>
      </c>
      <c r="P71" s="4" t="s">
        <v>130</v>
      </c>
      <c r="Q71" t="s">
        <v>127</v>
      </c>
    </row>
    <row r="72" spans="12:17" ht="16" x14ac:dyDescent="0.2">
      <c r="L72" t="s">
        <v>199</v>
      </c>
      <c r="M72" s="4" t="s">
        <v>14</v>
      </c>
      <c r="N72" t="s">
        <v>129</v>
      </c>
      <c r="O72" s="4" t="s">
        <v>91</v>
      </c>
      <c r="P72" s="4" t="s">
        <v>130</v>
      </c>
      <c r="Q72" t="s">
        <v>127</v>
      </c>
    </row>
    <row r="73" spans="12:17" ht="16" x14ac:dyDescent="0.2">
      <c r="L73" t="s">
        <v>200</v>
      </c>
      <c r="M73" s="4" t="s">
        <v>14</v>
      </c>
      <c r="N73" t="s">
        <v>129</v>
      </c>
      <c r="O73" s="4" t="s">
        <v>91</v>
      </c>
      <c r="P73" s="4" t="s">
        <v>130</v>
      </c>
      <c r="Q73" t="s">
        <v>127</v>
      </c>
    </row>
    <row r="74" spans="12:17" ht="16" x14ac:dyDescent="0.2">
      <c r="L74" t="s">
        <v>201</v>
      </c>
      <c r="M74" s="4" t="s">
        <v>14</v>
      </c>
      <c r="N74" t="s">
        <v>129</v>
      </c>
      <c r="O74" s="4" t="s">
        <v>91</v>
      </c>
      <c r="P74" s="4" t="s">
        <v>130</v>
      </c>
      <c r="Q74" t="s">
        <v>127</v>
      </c>
    </row>
    <row r="75" spans="12:17" ht="16" x14ac:dyDescent="0.2">
      <c r="L75" t="s">
        <v>202</v>
      </c>
      <c r="M75" s="4" t="s">
        <v>14</v>
      </c>
      <c r="N75" t="s">
        <v>129</v>
      </c>
      <c r="O75" s="4" t="s">
        <v>91</v>
      </c>
      <c r="P75" s="4" t="s">
        <v>130</v>
      </c>
      <c r="Q75" t="s">
        <v>127</v>
      </c>
    </row>
    <row r="76" spans="12:17" ht="16" x14ac:dyDescent="0.2">
      <c r="L76" t="s">
        <v>203</v>
      </c>
      <c r="M76" s="4" t="s">
        <v>14</v>
      </c>
      <c r="N76" t="s">
        <v>129</v>
      </c>
      <c r="O76" s="4" t="s">
        <v>91</v>
      </c>
      <c r="P76" s="4" t="s">
        <v>130</v>
      </c>
      <c r="Q76" t="s">
        <v>127</v>
      </c>
    </row>
    <row r="77" spans="12:17" ht="16" x14ac:dyDescent="0.2">
      <c r="L77" t="s">
        <v>204</v>
      </c>
      <c r="M77" s="4" t="s">
        <v>14</v>
      </c>
      <c r="N77" t="s">
        <v>129</v>
      </c>
      <c r="O77" s="4" t="s">
        <v>91</v>
      </c>
      <c r="P77" s="4" t="s">
        <v>130</v>
      </c>
      <c r="Q77" t="s">
        <v>127</v>
      </c>
    </row>
    <row r="78" spans="12:17" ht="16" x14ac:dyDescent="0.2">
      <c r="L78" t="s">
        <v>205</v>
      </c>
      <c r="M78" s="4" t="s">
        <v>14</v>
      </c>
      <c r="N78" t="s">
        <v>129</v>
      </c>
      <c r="O78" s="4" t="s">
        <v>91</v>
      </c>
      <c r="P78" s="4" t="s">
        <v>130</v>
      </c>
      <c r="Q78" t="s">
        <v>127</v>
      </c>
    </row>
    <row r="79" spans="12:17" ht="16" x14ac:dyDescent="0.2">
      <c r="L79" t="s">
        <v>206</v>
      </c>
      <c r="M79" s="4" t="s">
        <v>14</v>
      </c>
      <c r="N79" t="s">
        <v>129</v>
      </c>
      <c r="O79" s="4" t="s">
        <v>91</v>
      </c>
      <c r="P79" s="4" t="s">
        <v>130</v>
      </c>
      <c r="Q79" t="s">
        <v>127</v>
      </c>
    </row>
    <row r="80" spans="12:17" ht="16" x14ac:dyDescent="0.2">
      <c r="L80" t="s">
        <v>207</v>
      </c>
      <c r="M80" s="4" t="s">
        <v>14</v>
      </c>
      <c r="N80" t="s">
        <v>129</v>
      </c>
      <c r="O80" s="4" t="s">
        <v>91</v>
      </c>
      <c r="P80" s="4" t="s">
        <v>130</v>
      </c>
      <c r="Q80" t="s">
        <v>127</v>
      </c>
    </row>
    <row r="81" spans="12:17" ht="16" x14ac:dyDescent="0.2">
      <c r="L81" t="s">
        <v>208</v>
      </c>
      <c r="M81" s="4" t="s">
        <v>14</v>
      </c>
      <c r="N81" t="s">
        <v>129</v>
      </c>
      <c r="O81" s="4" t="s">
        <v>91</v>
      </c>
      <c r="P81" s="4" t="s">
        <v>130</v>
      </c>
      <c r="Q81" t="s">
        <v>127</v>
      </c>
    </row>
    <row r="82" spans="12:17" ht="16" x14ac:dyDescent="0.2">
      <c r="L82" t="s">
        <v>209</v>
      </c>
      <c r="M82" s="4" t="s">
        <v>14</v>
      </c>
      <c r="N82" t="s">
        <v>129</v>
      </c>
      <c r="O82" s="4" t="s">
        <v>91</v>
      </c>
      <c r="P82" s="4" t="s">
        <v>130</v>
      </c>
      <c r="Q82" t="s">
        <v>127</v>
      </c>
    </row>
    <row r="83" spans="12:17" ht="16" x14ac:dyDescent="0.2">
      <c r="L83" t="s">
        <v>210</v>
      </c>
      <c r="M83" s="4" t="s">
        <v>14</v>
      </c>
      <c r="N83" t="s">
        <v>129</v>
      </c>
      <c r="O83" s="4" t="s">
        <v>91</v>
      </c>
      <c r="P83" s="4" t="s">
        <v>130</v>
      </c>
      <c r="Q83" t="s">
        <v>127</v>
      </c>
    </row>
    <row r="84" spans="12:17" ht="16" x14ac:dyDescent="0.2">
      <c r="L84" t="s">
        <v>211</v>
      </c>
      <c r="M84" s="4" t="s">
        <v>14</v>
      </c>
      <c r="N84" t="s">
        <v>129</v>
      </c>
      <c r="O84" s="4" t="s">
        <v>91</v>
      </c>
      <c r="P84" s="4" t="s">
        <v>130</v>
      </c>
      <c r="Q84" t="s">
        <v>127</v>
      </c>
    </row>
    <row r="85" spans="12:17" ht="16" x14ac:dyDescent="0.2">
      <c r="L85" t="s">
        <v>15</v>
      </c>
      <c r="M85" s="4" t="s">
        <v>15</v>
      </c>
      <c r="N85" t="s">
        <v>132</v>
      </c>
      <c r="O85" t="s">
        <v>92</v>
      </c>
      <c r="P85" s="4" t="s">
        <v>133</v>
      </c>
      <c r="Q85" t="s">
        <v>134</v>
      </c>
    </row>
    <row r="86" spans="12:17" ht="16" x14ac:dyDescent="0.2">
      <c r="L86" t="s">
        <v>212</v>
      </c>
      <c r="M86" s="4" t="s">
        <v>15</v>
      </c>
      <c r="N86" t="s">
        <v>132</v>
      </c>
      <c r="O86" t="s">
        <v>92</v>
      </c>
      <c r="P86" s="4" t="s">
        <v>133</v>
      </c>
      <c r="Q86" t="s">
        <v>134</v>
      </c>
    </row>
    <row r="87" spans="12:17" ht="16" x14ac:dyDescent="0.2">
      <c r="L87" t="s">
        <v>213</v>
      </c>
      <c r="M87" s="4" t="s">
        <v>15</v>
      </c>
      <c r="N87" t="s">
        <v>132</v>
      </c>
      <c r="O87" t="s">
        <v>92</v>
      </c>
      <c r="P87" s="4" t="s">
        <v>133</v>
      </c>
      <c r="Q87" t="s">
        <v>134</v>
      </c>
    </row>
    <row r="88" spans="12:17" ht="16" x14ac:dyDescent="0.2">
      <c r="L88" t="s">
        <v>214</v>
      </c>
      <c r="M88" s="4" t="s">
        <v>15</v>
      </c>
      <c r="N88" t="s">
        <v>132</v>
      </c>
      <c r="O88" t="s">
        <v>92</v>
      </c>
      <c r="P88" s="4" t="s">
        <v>133</v>
      </c>
      <c r="Q88" t="s">
        <v>134</v>
      </c>
    </row>
    <row r="89" spans="12:17" ht="16" x14ac:dyDescent="0.2">
      <c r="L89" t="s">
        <v>215</v>
      </c>
      <c r="M89" s="4" t="s">
        <v>15</v>
      </c>
      <c r="N89" t="s">
        <v>132</v>
      </c>
      <c r="O89" t="s">
        <v>92</v>
      </c>
      <c r="P89" s="4" t="s">
        <v>133</v>
      </c>
      <c r="Q89" t="s">
        <v>134</v>
      </c>
    </row>
    <row r="90" spans="12:17" ht="16" x14ac:dyDescent="0.2">
      <c r="L90" t="s">
        <v>216</v>
      </c>
      <c r="M90" s="4" t="s">
        <v>15</v>
      </c>
      <c r="N90" t="s">
        <v>132</v>
      </c>
      <c r="O90" t="s">
        <v>92</v>
      </c>
      <c r="P90" s="4" t="s">
        <v>133</v>
      </c>
      <c r="Q90" t="s">
        <v>134</v>
      </c>
    </row>
    <row r="91" spans="12:17" ht="16" x14ac:dyDescent="0.2">
      <c r="L91" t="s">
        <v>217</v>
      </c>
      <c r="M91" s="4" t="s">
        <v>15</v>
      </c>
      <c r="N91" t="s">
        <v>132</v>
      </c>
      <c r="O91" t="s">
        <v>92</v>
      </c>
      <c r="P91" s="4" t="s">
        <v>133</v>
      </c>
      <c r="Q91" t="s">
        <v>134</v>
      </c>
    </row>
    <row r="92" spans="12:17" ht="16" x14ac:dyDescent="0.2">
      <c r="L92" t="s">
        <v>218</v>
      </c>
      <c r="M92" s="4" t="s">
        <v>15</v>
      </c>
      <c r="N92" t="s">
        <v>132</v>
      </c>
      <c r="O92" t="s">
        <v>92</v>
      </c>
      <c r="P92" s="4" t="s">
        <v>133</v>
      </c>
      <c r="Q92" t="s">
        <v>134</v>
      </c>
    </row>
    <row r="93" spans="12:17" ht="16" x14ac:dyDescent="0.2">
      <c r="L93" t="s">
        <v>219</v>
      </c>
      <c r="M93" s="4" t="s">
        <v>15</v>
      </c>
      <c r="N93" t="s">
        <v>132</v>
      </c>
      <c r="O93" t="s">
        <v>92</v>
      </c>
      <c r="P93" s="4" t="s">
        <v>133</v>
      </c>
      <c r="Q93" t="s">
        <v>134</v>
      </c>
    </row>
    <row r="94" spans="12:17" ht="16" x14ac:dyDescent="0.2">
      <c r="L94" t="s">
        <v>220</v>
      </c>
      <c r="M94" s="4" t="s">
        <v>15</v>
      </c>
      <c r="N94" t="s">
        <v>132</v>
      </c>
      <c r="O94" t="s">
        <v>92</v>
      </c>
      <c r="P94" s="4" t="s">
        <v>133</v>
      </c>
      <c r="Q94" t="s">
        <v>134</v>
      </c>
    </row>
    <row r="95" spans="12:17" ht="16" x14ac:dyDescent="0.2">
      <c r="L95" t="s">
        <v>221</v>
      </c>
      <c r="M95" s="4" t="s">
        <v>15</v>
      </c>
      <c r="N95" t="s">
        <v>132</v>
      </c>
      <c r="O95" t="s">
        <v>92</v>
      </c>
      <c r="P95" s="4" t="s">
        <v>133</v>
      </c>
      <c r="Q95" t="s">
        <v>134</v>
      </c>
    </row>
    <row r="96" spans="12:17" ht="16" x14ac:dyDescent="0.2">
      <c r="L96" t="s">
        <v>222</v>
      </c>
      <c r="M96" s="4" t="s">
        <v>15</v>
      </c>
      <c r="N96" t="s">
        <v>132</v>
      </c>
      <c r="O96" t="s">
        <v>92</v>
      </c>
      <c r="P96" s="4" t="s">
        <v>133</v>
      </c>
      <c r="Q96" t="s">
        <v>134</v>
      </c>
    </row>
    <row r="97" spans="12:17" ht="16" x14ac:dyDescent="0.2">
      <c r="L97" t="s">
        <v>223</v>
      </c>
      <c r="M97" s="4" t="s">
        <v>15</v>
      </c>
      <c r="N97" t="s">
        <v>132</v>
      </c>
      <c r="O97" t="s">
        <v>92</v>
      </c>
      <c r="P97" s="4" t="s">
        <v>133</v>
      </c>
      <c r="Q97" t="s">
        <v>134</v>
      </c>
    </row>
    <row r="98" spans="12:17" ht="16" x14ac:dyDescent="0.2">
      <c r="L98" t="s">
        <v>224</v>
      </c>
      <c r="M98" s="4" t="s">
        <v>15</v>
      </c>
      <c r="N98" t="s">
        <v>132</v>
      </c>
      <c r="O98" t="s">
        <v>92</v>
      </c>
      <c r="P98" s="4" t="s">
        <v>133</v>
      </c>
      <c r="Q98" t="s">
        <v>134</v>
      </c>
    </row>
    <row r="99" spans="12:17" ht="16" x14ac:dyDescent="0.2">
      <c r="L99" t="s">
        <v>225</v>
      </c>
      <c r="M99" s="4" t="s">
        <v>15</v>
      </c>
      <c r="N99" t="s">
        <v>132</v>
      </c>
      <c r="O99" t="s">
        <v>92</v>
      </c>
      <c r="P99" s="4" t="s">
        <v>133</v>
      </c>
      <c r="Q99" t="s">
        <v>134</v>
      </c>
    </row>
    <row r="100" spans="12:17" ht="16" x14ac:dyDescent="0.2">
      <c r="L100" t="s">
        <v>226</v>
      </c>
      <c r="M100" s="4" t="s">
        <v>15</v>
      </c>
      <c r="N100" t="s">
        <v>132</v>
      </c>
      <c r="O100" t="s">
        <v>92</v>
      </c>
      <c r="P100" s="4" t="s">
        <v>133</v>
      </c>
      <c r="Q100" t="s">
        <v>134</v>
      </c>
    </row>
    <row r="101" spans="12:17" ht="16" x14ac:dyDescent="0.2">
      <c r="L101" t="s">
        <v>227</v>
      </c>
      <c r="M101" s="4" t="s">
        <v>15</v>
      </c>
      <c r="N101" t="s">
        <v>132</v>
      </c>
      <c r="O101" t="s">
        <v>92</v>
      </c>
      <c r="P101" s="4" t="s">
        <v>133</v>
      </c>
      <c r="Q101" t="s">
        <v>134</v>
      </c>
    </row>
    <row r="102" spans="12:17" ht="16" x14ac:dyDescent="0.2">
      <c r="L102" t="s">
        <v>228</v>
      </c>
      <c r="M102" s="4" t="s">
        <v>15</v>
      </c>
      <c r="N102" t="s">
        <v>132</v>
      </c>
      <c r="O102" t="s">
        <v>92</v>
      </c>
      <c r="P102" s="4" t="s">
        <v>133</v>
      </c>
      <c r="Q102" t="s">
        <v>134</v>
      </c>
    </row>
    <row r="103" spans="12:17" ht="16" x14ac:dyDescent="0.2">
      <c r="L103" t="s">
        <v>229</v>
      </c>
      <c r="M103" s="4" t="s">
        <v>15</v>
      </c>
      <c r="N103" t="s">
        <v>132</v>
      </c>
      <c r="O103" t="s">
        <v>92</v>
      </c>
      <c r="P103" s="4" t="s">
        <v>133</v>
      </c>
      <c r="Q103" t="s">
        <v>134</v>
      </c>
    </row>
    <row r="104" spans="12:17" ht="16" x14ac:dyDescent="0.2">
      <c r="L104" t="s">
        <v>230</v>
      </c>
      <c r="M104" s="4" t="s">
        <v>15</v>
      </c>
      <c r="N104" t="s">
        <v>132</v>
      </c>
      <c r="O104" t="s">
        <v>92</v>
      </c>
      <c r="P104" s="4" t="s">
        <v>133</v>
      </c>
      <c r="Q104" t="s">
        <v>134</v>
      </c>
    </row>
    <row r="105" spans="12:17" ht="16" x14ac:dyDescent="0.2">
      <c r="L105" t="s">
        <v>16</v>
      </c>
      <c r="M105" s="4" t="s">
        <v>16</v>
      </c>
      <c r="N105" t="s">
        <v>136</v>
      </c>
      <c r="O105" t="s">
        <v>90</v>
      </c>
      <c r="P105" t="s">
        <v>137</v>
      </c>
      <c r="Q105" t="s">
        <v>134</v>
      </c>
    </row>
    <row r="106" spans="12:17" ht="16" x14ac:dyDescent="0.2">
      <c r="L106" t="s">
        <v>231</v>
      </c>
      <c r="M106" s="4" t="s">
        <v>16</v>
      </c>
      <c r="N106" t="s">
        <v>136</v>
      </c>
      <c r="O106" t="s">
        <v>90</v>
      </c>
      <c r="P106" t="s">
        <v>137</v>
      </c>
      <c r="Q106" t="s">
        <v>134</v>
      </c>
    </row>
    <row r="107" spans="12:17" ht="16" x14ac:dyDescent="0.2">
      <c r="L107" t="s">
        <v>232</v>
      </c>
      <c r="M107" s="4" t="s">
        <v>16</v>
      </c>
      <c r="N107" t="s">
        <v>136</v>
      </c>
      <c r="O107" t="s">
        <v>90</v>
      </c>
      <c r="P107" t="s">
        <v>137</v>
      </c>
      <c r="Q107" t="s">
        <v>134</v>
      </c>
    </row>
    <row r="108" spans="12:17" ht="16" x14ac:dyDescent="0.2">
      <c r="L108" t="s">
        <v>233</v>
      </c>
      <c r="M108" s="4" t="s">
        <v>16</v>
      </c>
      <c r="N108" t="s">
        <v>136</v>
      </c>
      <c r="O108" t="s">
        <v>90</v>
      </c>
      <c r="P108" t="s">
        <v>137</v>
      </c>
      <c r="Q108" t="s">
        <v>134</v>
      </c>
    </row>
    <row r="109" spans="12:17" ht="16" x14ac:dyDescent="0.2">
      <c r="L109" t="s">
        <v>234</v>
      </c>
      <c r="M109" s="4" t="s">
        <v>16</v>
      </c>
      <c r="N109" t="s">
        <v>136</v>
      </c>
      <c r="O109" t="s">
        <v>90</v>
      </c>
      <c r="P109" t="s">
        <v>137</v>
      </c>
      <c r="Q109" t="s">
        <v>134</v>
      </c>
    </row>
    <row r="110" spans="12:17" ht="16" x14ac:dyDescent="0.2">
      <c r="L110" t="s">
        <v>235</v>
      </c>
      <c r="M110" s="4" t="s">
        <v>16</v>
      </c>
      <c r="N110" t="s">
        <v>136</v>
      </c>
      <c r="O110" t="s">
        <v>90</v>
      </c>
      <c r="P110" t="s">
        <v>137</v>
      </c>
      <c r="Q110" t="s">
        <v>134</v>
      </c>
    </row>
    <row r="111" spans="12:17" ht="16" x14ac:dyDescent="0.2">
      <c r="L111" t="s">
        <v>236</v>
      </c>
      <c r="M111" s="4" t="s">
        <v>16</v>
      </c>
      <c r="N111" t="s">
        <v>136</v>
      </c>
      <c r="O111" t="s">
        <v>90</v>
      </c>
      <c r="P111" t="s">
        <v>137</v>
      </c>
      <c r="Q111" t="s">
        <v>134</v>
      </c>
    </row>
    <row r="112" spans="12:17" ht="16" x14ac:dyDescent="0.2">
      <c r="L112" t="s">
        <v>237</v>
      </c>
      <c r="M112" s="4" t="s">
        <v>16</v>
      </c>
      <c r="N112" t="s">
        <v>136</v>
      </c>
      <c r="O112" t="s">
        <v>90</v>
      </c>
      <c r="P112" t="s">
        <v>137</v>
      </c>
      <c r="Q112" t="s">
        <v>134</v>
      </c>
    </row>
    <row r="113" spans="12:17" ht="16" x14ac:dyDescent="0.2">
      <c r="L113" t="s">
        <v>238</v>
      </c>
      <c r="M113" s="4" t="s">
        <v>16</v>
      </c>
      <c r="N113" t="s">
        <v>136</v>
      </c>
      <c r="O113" t="s">
        <v>90</v>
      </c>
      <c r="P113" t="s">
        <v>137</v>
      </c>
      <c r="Q113" t="s">
        <v>134</v>
      </c>
    </row>
    <row r="114" spans="12:17" ht="16" x14ac:dyDescent="0.2">
      <c r="L114" t="s">
        <v>239</v>
      </c>
      <c r="M114" s="4" t="s">
        <v>16</v>
      </c>
      <c r="N114" t="s">
        <v>136</v>
      </c>
      <c r="O114" t="s">
        <v>90</v>
      </c>
      <c r="P114" t="s">
        <v>137</v>
      </c>
      <c r="Q114" t="s">
        <v>134</v>
      </c>
    </row>
    <row r="115" spans="12:17" ht="16" x14ac:dyDescent="0.2">
      <c r="L115" t="s">
        <v>240</v>
      </c>
      <c r="M115" s="4" t="s">
        <v>16</v>
      </c>
      <c r="N115" t="s">
        <v>136</v>
      </c>
      <c r="O115" t="s">
        <v>90</v>
      </c>
      <c r="P115" t="s">
        <v>137</v>
      </c>
      <c r="Q115" t="s">
        <v>134</v>
      </c>
    </row>
    <row r="116" spans="12:17" ht="16" x14ac:dyDescent="0.2">
      <c r="L116" t="s">
        <v>241</v>
      </c>
      <c r="M116" s="4" t="s">
        <v>16</v>
      </c>
      <c r="N116" t="s">
        <v>136</v>
      </c>
      <c r="O116" t="s">
        <v>90</v>
      </c>
      <c r="P116" t="s">
        <v>137</v>
      </c>
      <c r="Q116" t="s">
        <v>134</v>
      </c>
    </row>
    <row r="117" spans="12:17" ht="16" x14ac:dyDescent="0.2">
      <c r="L117" t="s">
        <v>242</v>
      </c>
      <c r="M117" s="4" t="s">
        <v>16</v>
      </c>
      <c r="N117" t="s">
        <v>136</v>
      </c>
      <c r="O117" t="s">
        <v>90</v>
      </c>
      <c r="P117" t="s">
        <v>137</v>
      </c>
      <c r="Q117" t="s">
        <v>134</v>
      </c>
    </row>
    <row r="118" spans="12:17" ht="16" x14ac:dyDescent="0.2">
      <c r="L118" t="s">
        <v>243</v>
      </c>
      <c r="M118" s="4" t="s">
        <v>16</v>
      </c>
      <c r="N118" t="s">
        <v>136</v>
      </c>
      <c r="O118" t="s">
        <v>90</v>
      </c>
      <c r="P118" t="s">
        <v>137</v>
      </c>
      <c r="Q118" t="s">
        <v>134</v>
      </c>
    </row>
    <row r="119" spans="12:17" ht="16" x14ac:dyDescent="0.2">
      <c r="L119" t="s">
        <v>244</v>
      </c>
      <c r="M119" s="4" t="s">
        <v>16</v>
      </c>
      <c r="N119" t="s">
        <v>136</v>
      </c>
      <c r="O119" t="s">
        <v>90</v>
      </c>
      <c r="P119" t="s">
        <v>137</v>
      </c>
      <c r="Q119" t="s">
        <v>134</v>
      </c>
    </row>
    <row r="120" spans="12:17" ht="16" x14ac:dyDescent="0.2">
      <c r="L120" t="s">
        <v>245</v>
      </c>
      <c r="M120" s="4" t="s">
        <v>16</v>
      </c>
      <c r="N120" t="s">
        <v>136</v>
      </c>
      <c r="O120" t="s">
        <v>90</v>
      </c>
      <c r="P120" t="s">
        <v>137</v>
      </c>
      <c r="Q120" t="s">
        <v>134</v>
      </c>
    </row>
    <row r="121" spans="12:17" ht="16" x14ac:dyDescent="0.2">
      <c r="L121" t="s">
        <v>246</v>
      </c>
      <c r="M121" s="4" t="s">
        <v>16</v>
      </c>
      <c r="N121" t="s">
        <v>136</v>
      </c>
      <c r="O121" t="s">
        <v>90</v>
      </c>
      <c r="P121" t="s">
        <v>137</v>
      </c>
      <c r="Q121" t="s">
        <v>134</v>
      </c>
    </row>
    <row r="122" spans="12:17" ht="16" x14ac:dyDescent="0.2">
      <c r="L122" t="s">
        <v>247</v>
      </c>
      <c r="M122" s="4" t="s">
        <v>16</v>
      </c>
      <c r="N122" t="s">
        <v>136</v>
      </c>
      <c r="O122" t="s">
        <v>90</v>
      </c>
      <c r="P122" t="s">
        <v>137</v>
      </c>
      <c r="Q122" t="s">
        <v>134</v>
      </c>
    </row>
    <row r="123" spans="12:17" ht="16" x14ac:dyDescent="0.2">
      <c r="L123" t="s">
        <v>248</v>
      </c>
      <c r="M123" s="4" t="s">
        <v>16</v>
      </c>
      <c r="N123" t="s">
        <v>136</v>
      </c>
      <c r="O123" t="s">
        <v>90</v>
      </c>
      <c r="P123" t="s">
        <v>137</v>
      </c>
      <c r="Q123" t="s">
        <v>134</v>
      </c>
    </row>
    <row r="124" spans="12:17" ht="16" x14ac:dyDescent="0.2">
      <c r="L124" t="s">
        <v>249</v>
      </c>
      <c r="M124" s="4" t="s">
        <v>16</v>
      </c>
      <c r="N124" t="s">
        <v>136</v>
      </c>
      <c r="O124" t="s">
        <v>90</v>
      </c>
      <c r="P124" t="s">
        <v>137</v>
      </c>
      <c r="Q124" t="s">
        <v>134</v>
      </c>
    </row>
  </sheetData>
  <phoneticPr fontId="6" type="noConversion"/>
  <conditionalFormatting sqref="S4:X4 X5:X6 U5:V9 S5:S10 W5:W10 O5:P104 M5:M124 Q5:Q124">
    <cfRule type="expression" dxfId="1" priority="155">
      <formula>MATCH(M4,$X$24:$X$39,0)&gt;0</formula>
    </cfRule>
    <cfRule type="expression" dxfId="0" priority="156">
      <formula>MATCH(M4,$AD$42:$AD$57,0)&gt;0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A195-81A8-DF47-B186-7A7693547A2A}">
  <dimension ref="A1:D55"/>
  <sheetViews>
    <sheetView workbookViewId="0">
      <selection activeCell="G5" sqref="G5"/>
    </sheetView>
  </sheetViews>
  <sheetFormatPr baseColWidth="10" defaultRowHeight="15" x14ac:dyDescent="0.2"/>
  <sheetData>
    <row r="1" spans="1:4" x14ac:dyDescent="0.2">
      <c r="A1" s="2" t="s">
        <v>30</v>
      </c>
      <c r="B1" s="2" t="s">
        <v>32</v>
      </c>
      <c r="C1" s="2" t="s">
        <v>33</v>
      </c>
      <c r="D1" s="2" t="s">
        <v>34</v>
      </c>
    </row>
    <row r="2" spans="1:4" x14ac:dyDescent="0.2">
      <c r="A2" s="5" t="s">
        <v>18</v>
      </c>
      <c r="B2" t="s">
        <v>20</v>
      </c>
      <c r="C2" t="s">
        <v>43</v>
      </c>
      <c r="D2" t="s">
        <v>2</v>
      </c>
    </row>
    <row r="3" spans="1:4" x14ac:dyDescent="0.2">
      <c r="A3" t="s">
        <v>45</v>
      </c>
      <c r="B3" t="s">
        <v>46</v>
      </c>
      <c r="C3" t="s">
        <v>21</v>
      </c>
      <c r="D3" t="s">
        <v>2</v>
      </c>
    </row>
    <row r="4" spans="1:4" x14ac:dyDescent="0.2">
      <c r="A4" s="5" t="s">
        <v>49</v>
      </c>
      <c r="B4" t="s">
        <v>50</v>
      </c>
      <c r="C4" t="s">
        <v>51</v>
      </c>
      <c r="D4" t="s">
        <v>2</v>
      </c>
    </row>
    <row r="5" spans="1:4" x14ac:dyDescent="0.2">
      <c r="A5" t="s">
        <v>43</v>
      </c>
      <c r="B5" t="s">
        <v>48</v>
      </c>
      <c r="C5" t="s">
        <v>18</v>
      </c>
      <c r="D5" t="s">
        <v>3</v>
      </c>
    </row>
    <row r="6" spans="1:4" x14ac:dyDescent="0.2">
      <c r="A6" s="5" t="s">
        <v>21</v>
      </c>
      <c r="B6" t="s">
        <v>19</v>
      </c>
      <c r="C6" t="s">
        <v>45</v>
      </c>
      <c r="D6" t="s">
        <v>3</v>
      </c>
    </row>
    <row r="7" spans="1:4" x14ac:dyDescent="0.2">
      <c r="A7" s="3" t="s">
        <v>2</v>
      </c>
      <c r="B7" s="3" t="s">
        <v>3</v>
      </c>
      <c r="C7" s="3">
        <v>0</v>
      </c>
      <c r="D7" s="3" t="s">
        <v>2</v>
      </c>
    </row>
    <row r="8" spans="1:4" x14ac:dyDescent="0.2">
      <c r="A8" s="5" t="s">
        <v>20</v>
      </c>
      <c r="B8" t="s">
        <v>18</v>
      </c>
      <c r="C8" t="s">
        <v>48</v>
      </c>
      <c r="D8" t="s">
        <v>3</v>
      </c>
    </row>
    <row r="9" spans="1:4" x14ac:dyDescent="0.2">
      <c r="A9" t="s">
        <v>46</v>
      </c>
      <c r="B9" t="s">
        <v>45</v>
      </c>
      <c r="C9" t="s">
        <v>19</v>
      </c>
      <c r="D9" t="s">
        <v>3</v>
      </c>
    </row>
    <row r="10" spans="1:4" x14ac:dyDescent="0.2">
      <c r="A10" s="5" t="s">
        <v>50</v>
      </c>
      <c r="B10" t="s">
        <v>49</v>
      </c>
      <c r="C10" t="s">
        <v>60</v>
      </c>
      <c r="D10" t="s">
        <v>3</v>
      </c>
    </row>
    <row r="11" spans="1:4" x14ac:dyDescent="0.2">
      <c r="A11" t="s">
        <v>48</v>
      </c>
      <c r="B11" t="s">
        <v>43</v>
      </c>
      <c r="C11" t="s">
        <v>20</v>
      </c>
      <c r="D11" t="s">
        <v>2</v>
      </c>
    </row>
    <row r="12" spans="1:4" x14ac:dyDescent="0.2">
      <c r="A12" s="5" t="s">
        <v>19</v>
      </c>
      <c r="B12" t="s">
        <v>21</v>
      </c>
      <c r="C12" t="s">
        <v>46</v>
      </c>
      <c r="D12" t="s">
        <v>2</v>
      </c>
    </row>
    <row r="13" spans="1:4" x14ac:dyDescent="0.2">
      <c r="A13" s="3" t="s">
        <v>3</v>
      </c>
      <c r="B13" s="3" t="s">
        <v>2</v>
      </c>
      <c r="C13" s="3">
        <v>0</v>
      </c>
      <c r="D13" s="3" t="s">
        <v>3</v>
      </c>
    </row>
    <row r="14" spans="1:4" x14ac:dyDescent="0.2">
      <c r="A14" s="5" t="s">
        <v>22</v>
      </c>
      <c r="B14" t="s">
        <v>22</v>
      </c>
      <c r="C14" t="s">
        <v>67</v>
      </c>
      <c r="D14" t="s">
        <v>4</v>
      </c>
    </row>
    <row r="15" spans="1:4" x14ac:dyDescent="0.2">
      <c r="A15" t="s">
        <v>70</v>
      </c>
      <c r="B15" t="s">
        <v>70</v>
      </c>
      <c r="C15" t="s">
        <v>23</v>
      </c>
      <c r="D15" t="s">
        <v>4</v>
      </c>
    </row>
    <row r="16" spans="1:4" x14ac:dyDescent="0.2">
      <c r="A16" s="5" t="s">
        <v>73</v>
      </c>
      <c r="B16" t="s">
        <v>73</v>
      </c>
      <c r="C16" t="s">
        <v>74</v>
      </c>
      <c r="D16" t="s">
        <v>4</v>
      </c>
    </row>
    <row r="17" spans="1:4" x14ac:dyDescent="0.2">
      <c r="A17" t="s">
        <v>67</v>
      </c>
      <c r="B17" t="s">
        <v>67</v>
      </c>
      <c r="C17" t="s">
        <v>22</v>
      </c>
      <c r="D17" t="s">
        <v>4</v>
      </c>
    </row>
    <row r="18" spans="1:4" x14ac:dyDescent="0.2">
      <c r="A18" s="5" t="s">
        <v>23</v>
      </c>
      <c r="B18" t="s">
        <v>23</v>
      </c>
      <c r="C18" t="s">
        <v>70</v>
      </c>
      <c r="D18" t="s">
        <v>4</v>
      </c>
    </row>
    <row r="19" spans="1:4" x14ac:dyDescent="0.2">
      <c r="A19" s="3" t="s">
        <v>4</v>
      </c>
      <c r="B19" s="3" t="s">
        <v>4</v>
      </c>
      <c r="C19" s="3">
        <v>0</v>
      </c>
      <c r="D19" s="3" t="s">
        <v>4</v>
      </c>
    </row>
    <row r="20" spans="1:4" x14ac:dyDescent="0.2">
      <c r="A20" s="5" t="s">
        <v>44</v>
      </c>
      <c r="B20" t="s">
        <v>56</v>
      </c>
      <c r="C20" t="s">
        <v>24</v>
      </c>
      <c r="D20" t="s">
        <v>8</v>
      </c>
    </row>
    <row r="21" spans="1:4" x14ac:dyDescent="0.2">
      <c r="A21" t="s">
        <v>47</v>
      </c>
      <c r="B21" t="s">
        <v>58</v>
      </c>
      <c r="C21" t="s">
        <v>27</v>
      </c>
      <c r="D21" t="s">
        <v>8</v>
      </c>
    </row>
    <row r="22" spans="1:4" x14ac:dyDescent="0.2">
      <c r="A22" s="5" t="s">
        <v>52</v>
      </c>
      <c r="B22" t="s">
        <v>61</v>
      </c>
      <c r="C22" t="s">
        <v>81</v>
      </c>
      <c r="D22" t="s">
        <v>8</v>
      </c>
    </row>
    <row r="23" spans="1:4" x14ac:dyDescent="0.2">
      <c r="A23" t="s">
        <v>24</v>
      </c>
      <c r="B23" t="s">
        <v>63</v>
      </c>
      <c r="C23" t="s">
        <v>44</v>
      </c>
      <c r="D23" t="s">
        <v>9</v>
      </c>
    </row>
    <row r="24" spans="1:4" x14ac:dyDescent="0.2">
      <c r="A24" s="5" t="s">
        <v>27</v>
      </c>
      <c r="B24" t="s">
        <v>65</v>
      </c>
      <c r="C24" t="s">
        <v>47</v>
      </c>
      <c r="D24" t="s">
        <v>9</v>
      </c>
    </row>
    <row r="25" spans="1:4" x14ac:dyDescent="0.2">
      <c r="A25" s="3" t="s">
        <v>8</v>
      </c>
      <c r="B25" s="3" t="s">
        <v>9</v>
      </c>
      <c r="C25" s="3">
        <v>0</v>
      </c>
      <c r="D25" s="3" t="s">
        <v>8</v>
      </c>
    </row>
    <row r="26" spans="1:4" x14ac:dyDescent="0.2">
      <c r="A26" s="5" t="s">
        <v>56</v>
      </c>
      <c r="B26" t="s">
        <v>44</v>
      </c>
      <c r="C26" t="s">
        <v>63</v>
      </c>
      <c r="D26" t="s">
        <v>9</v>
      </c>
    </row>
    <row r="27" spans="1:4" x14ac:dyDescent="0.2">
      <c r="A27" t="s">
        <v>58</v>
      </c>
      <c r="B27" t="s">
        <v>47</v>
      </c>
      <c r="C27" t="s">
        <v>65</v>
      </c>
      <c r="D27" t="s">
        <v>9</v>
      </c>
    </row>
    <row r="28" spans="1:4" x14ac:dyDescent="0.2">
      <c r="A28" s="5" t="s">
        <v>61</v>
      </c>
      <c r="B28" t="s">
        <v>52</v>
      </c>
      <c r="C28" t="s">
        <v>82</v>
      </c>
      <c r="D28" t="s">
        <v>9</v>
      </c>
    </row>
    <row r="29" spans="1:4" x14ac:dyDescent="0.2">
      <c r="A29" t="s">
        <v>63</v>
      </c>
      <c r="B29" t="s">
        <v>24</v>
      </c>
      <c r="C29" t="s">
        <v>56</v>
      </c>
      <c r="D29" t="s">
        <v>8</v>
      </c>
    </row>
    <row r="30" spans="1:4" x14ac:dyDescent="0.2">
      <c r="A30" s="5" t="s">
        <v>65</v>
      </c>
      <c r="B30" t="s">
        <v>27</v>
      </c>
      <c r="C30" t="s">
        <v>58</v>
      </c>
      <c r="D30" t="s">
        <v>8</v>
      </c>
    </row>
    <row r="31" spans="1:4" x14ac:dyDescent="0.2">
      <c r="A31" s="3" t="s">
        <v>9</v>
      </c>
      <c r="B31" s="3" t="s">
        <v>8</v>
      </c>
      <c r="C31" s="3">
        <v>0</v>
      </c>
      <c r="D31" s="3" t="s">
        <v>9</v>
      </c>
    </row>
    <row r="32" spans="1:4" x14ac:dyDescent="0.2">
      <c r="A32" s="5" t="s">
        <v>68</v>
      </c>
      <c r="B32" t="s">
        <v>68</v>
      </c>
      <c r="C32" t="s">
        <v>77</v>
      </c>
      <c r="D32" t="s">
        <v>10</v>
      </c>
    </row>
    <row r="33" spans="1:4" x14ac:dyDescent="0.2">
      <c r="A33" t="s">
        <v>71</v>
      </c>
      <c r="B33" t="s">
        <v>71</v>
      </c>
      <c r="C33" t="s">
        <v>79</v>
      </c>
      <c r="D33" t="s">
        <v>10</v>
      </c>
    </row>
    <row r="34" spans="1:4" x14ac:dyDescent="0.2">
      <c r="A34" s="5" t="s">
        <v>75</v>
      </c>
      <c r="B34" t="s">
        <v>75</v>
      </c>
      <c r="C34" t="s">
        <v>83</v>
      </c>
      <c r="D34" t="s">
        <v>10</v>
      </c>
    </row>
    <row r="35" spans="1:4" x14ac:dyDescent="0.2">
      <c r="A35" t="s">
        <v>77</v>
      </c>
      <c r="B35" t="s">
        <v>77</v>
      </c>
      <c r="C35" t="s">
        <v>68</v>
      </c>
      <c r="D35" t="s">
        <v>10</v>
      </c>
    </row>
    <row r="36" spans="1:4" x14ac:dyDescent="0.2">
      <c r="A36" s="5" t="s">
        <v>79</v>
      </c>
      <c r="B36" t="s">
        <v>79</v>
      </c>
      <c r="C36" t="s">
        <v>71</v>
      </c>
      <c r="D36" t="s">
        <v>10</v>
      </c>
    </row>
    <row r="37" spans="1:4" x14ac:dyDescent="0.2">
      <c r="A37" s="3" t="s">
        <v>10</v>
      </c>
      <c r="B37" s="3" t="s">
        <v>10</v>
      </c>
      <c r="C37" s="3">
        <v>0</v>
      </c>
      <c r="D37" s="3" t="s">
        <v>10</v>
      </c>
    </row>
    <row r="38" spans="1:4" x14ac:dyDescent="0.2">
      <c r="A38" s="5" t="s">
        <v>55</v>
      </c>
      <c r="B38" t="s">
        <v>66</v>
      </c>
      <c r="C38" t="s">
        <v>25</v>
      </c>
      <c r="D38" t="s">
        <v>5</v>
      </c>
    </row>
    <row r="39" spans="1:4" x14ac:dyDescent="0.2">
      <c r="A39" t="s">
        <v>54</v>
      </c>
      <c r="B39" t="s">
        <v>64</v>
      </c>
      <c r="C39" t="s">
        <v>28</v>
      </c>
      <c r="D39" t="s">
        <v>5</v>
      </c>
    </row>
    <row r="40" spans="1:4" x14ac:dyDescent="0.2">
      <c r="A40" s="5" t="s">
        <v>62</v>
      </c>
      <c r="B40" t="s">
        <v>53</v>
      </c>
      <c r="C40" t="s">
        <v>84</v>
      </c>
      <c r="D40" t="s">
        <v>5</v>
      </c>
    </row>
    <row r="41" spans="1:4" x14ac:dyDescent="0.2">
      <c r="A41" t="s">
        <v>25</v>
      </c>
      <c r="B41" t="s">
        <v>59</v>
      </c>
      <c r="C41" t="s">
        <v>55</v>
      </c>
      <c r="D41" t="s">
        <v>6</v>
      </c>
    </row>
    <row r="42" spans="1:4" x14ac:dyDescent="0.2">
      <c r="A42" s="5" t="s">
        <v>28</v>
      </c>
      <c r="B42" t="s">
        <v>57</v>
      </c>
      <c r="C42" t="s">
        <v>54</v>
      </c>
      <c r="D42" t="s">
        <v>6</v>
      </c>
    </row>
    <row r="43" spans="1:4" x14ac:dyDescent="0.2">
      <c r="A43" s="3" t="s">
        <v>5</v>
      </c>
      <c r="B43" s="3" t="s">
        <v>6</v>
      </c>
      <c r="C43" s="3">
        <v>0</v>
      </c>
      <c r="D43" s="3" t="s">
        <v>5</v>
      </c>
    </row>
    <row r="44" spans="1:4" x14ac:dyDescent="0.2">
      <c r="A44" s="5" t="s">
        <v>66</v>
      </c>
      <c r="B44" t="s">
        <v>55</v>
      </c>
      <c r="C44" t="s">
        <v>59</v>
      </c>
      <c r="D44" t="s">
        <v>6</v>
      </c>
    </row>
    <row r="45" spans="1:4" x14ac:dyDescent="0.2">
      <c r="A45" t="s">
        <v>64</v>
      </c>
      <c r="B45" t="s">
        <v>54</v>
      </c>
      <c r="C45" t="s">
        <v>57</v>
      </c>
      <c r="D45" t="s">
        <v>6</v>
      </c>
    </row>
    <row r="46" spans="1:4" x14ac:dyDescent="0.2">
      <c r="A46" s="5" t="s">
        <v>53</v>
      </c>
      <c r="B46" t="s">
        <v>62</v>
      </c>
      <c r="C46" t="s">
        <v>85</v>
      </c>
      <c r="D46" t="s">
        <v>6</v>
      </c>
    </row>
    <row r="47" spans="1:4" x14ac:dyDescent="0.2">
      <c r="A47" t="s">
        <v>59</v>
      </c>
      <c r="B47" t="s">
        <v>25</v>
      </c>
      <c r="C47" t="s">
        <v>66</v>
      </c>
      <c r="D47" t="s">
        <v>5</v>
      </c>
    </row>
    <row r="48" spans="1:4" x14ac:dyDescent="0.2">
      <c r="A48" s="5" t="s">
        <v>57</v>
      </c>
      <c r="B48" t="s">
        <v>28</v>
      </c>
      <c r="C48" t="s">
        <v>64</v>
      </c>
      <c r="D48" t="s">
        <v>5</v>
      </c>
    </row>
    <row r="49" spans="1:4" x14ac:dyDescent="0.2">
      <c r="A49" s="3" t="s">
        <v>6</v>
      </c>
      <c r="B49" s="3" t="s">
        <v>5</v>
      </c>
      <c r="C49" s="3">
        <v>0</v>
      </c>
      <c r="D49" s="3" t="s">
        <v>6</v>
      </c>
    </row>
    <row r="50" spans="1:4" x14ac:dyDescent="0.2">
      <c r="A50" s="5" t="s">
        <v>80</v>
      </c>
      <c r="B50" t="s">
        <v>80</v>
      </c>
      <c r="C50" t="s">
        <v>72</v>
      </c>
      <c r="D50" t="s">
        <v>7</v>
      </c>
    </row>
    <row r="51" spans="1:4" x14ac:dyDescent="0.2">
      <c r="A51" t="s">
        <v>78</v>
      </c>
      <c r="B51" t="s">
        <v>78</v>
      </c>
      <c r="C51" t="s">
        <v>69</v>
      </c>
      <c r="D51" t="s">
        <v>7</v>
      </c>
    </row>
    <row r="52" spans="1:4" x14ac:dyDescent="0.2">
      <c r="A52" s="5" t="s">
        <v>76</v>
      </c>
      <c r="B52" t="s">
        <v>76</v>
      </c>
      <c r="C52" t="s">
        <v>86</v>
      </c>
      <c r="D52" t="s">
        <v>7</v>
      </c>
    </row>
    <row r="53" spans="1:4" x14ac:dyDescent="0.2">
      <c r="A53" t="s">
        <v>72</v>
      </c>
      <c r="B53" t="s">
        <v>72</v>
      </c>
      <c r="C53" t="s">
        <v>80</v>
      </c>
      <c r="D53" t="s">
        <v>7</v>
      </c>
    </row>
    <row r="54" spans="1:4" x14ac:dyDescent="0.2">
      <c r="A54" s="5" t="s">
        <v>69</v>
      </c>
      <c r="B54" t="s">
        <v>69</v>
      </c>
      <c r="C54" t="s">
        <v>78</v>
      </c>
      <c r="D54" t="s">
        <v>7</v>
      </c>
    </row>
    <row r="55" spans="1:4" x14ac:dyDescent="0.2">
      <c r="A55" s="3" t="s">
        <v>7</v>
      </c>
      <c r="B55" s="3" t="s">
        <v>7</v>
      </c>
      <c r="C55" s="3">
        <v>0</v>
      </c>
      <c r="D55" s="3" t="s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A3DB-9A11-6048-9586-CB3664D588B5}">
  <dimension ref="A1:M55"/>
  <sheetViews>
    <sheetView tabSelected="1" workbookViewId="0">
      <selection activeCell="N9" sqref="N9"/>
    </sheetView>
  </sheetViews>
  <sheetFormatPr baseColWidth="10" defaultRowHeight="15" x14ac:dyDescent="0.2"/>
  <sheetData>
    <row r="1" spans="1:13" x14ac:dyDescent="0.2">
      <c r="A1" s="2" t="s">
        <v>30</v>
      </c>
      <c r="B1" s="2" t="s">
        <v>250</v>
      </c>
      <c r="C1" s="2" t="s">
        <v>251</v>
      </c>
      <c r="D1" s="2" t="s">
        <v>252</v>
      </c>
      <c r="E1" s="2" t="s">
        <v>253</v>
      </c>
      <c r="F1" s="2" t="s">
        <v>254</v>
      </c>
      <c r="G1" s="2" t="s">
        <v>255</v>
      </c>
      <c r="H1" s="2" t="s">
        <v>256</v>
      </c>
      <c r="I1" s="2" t="s">
        <v>257</v>
      </c>
      <c r="J1" s="2" t="s">
        <v>258</v>
      </c>
      <c r="K1" s="2" t="s">
        <v>17</v>
      </c>
      <c r="L1" s="2" t="s">
        <v>41</v>
      </c>
      <c r="M1" s="2" t="s">
        <v>42</v>
      </c>
    </row>
    <row r="2" spans="1:13" x14ac:dyDescent="0.2">
      <c r="A2" t="str">
        <f>intermediate!E5</f>
        <v>R</v>
      </c>
      <c r="B2" t="str" cm="1">
        <f t="array" ref="B2">_xlfn.XLOOKUP(TRUE, EXACT(Table2[[#This Row],[orig]], Table4[orig]), Table4[(X)])</f>
        <v>R</v>
      </c>
      <c r="C2" t="str" cm="1">
        <f t="array" ref="C2">_xlfn.XLOOKUP(TRUE, EXACT(B2, Table4[orig]), Table4[(X)])</f>
        <v>R</v>
      </c>
      <c r="D2" t="str" cm="1">
        <f t="array" ref="D2">_xlfn.XLOOKUP(TRUE, EXACT(C2, Table4[orig]), Table4[(X)])</f>
        <v>R</v>
      </c>
      <c r="E2" t="str" cm="1">
        <f t="array" ref="E2">_xlfn.XLOOKUP(TRUE, EXACT(Table2[orig], Table1[orig]), Table1[(Y)])</f>
        <v>F</v>
      </c>
      <c r="F2" t="str" cm="1">
        <f t="array" ref="F2">_xlfn.XLOOKUP(TRUE, EXACT(E2, Table1[orig]), Table1[(Y)])</f>
        <v>L</v>
      </c>
      <c r="G2" t="str" cm="1">
        <f t="array" ref="G2">_xlfn.XLOOKUP(TRUE, EXACT(F2, Table1[orig]), Table1[(Y)])</f>
        <v>B</v>
      </c>
      <c r="H2" t="str" cm="1">
        <f t="array" ref="H2">_xlfn.XLOOKUP(TRUE, EXACT(Table2[[#This Row],[orig]], Table3[orig]), Table3[(Z)])</f>
        <v>D</v>
      </c>
      <c r="I2" t="str" cm="1">
        <f t="array" ref="I2">_xlfn.XLOOKUP(TRUE, EXACT(H2, Table3[orig]), Table3[(Z)])</f>
        <v>L</v>
      </c>
      <c r="J2" t="str" cm="1">
        <f t="array" ref="J2">_xlfn.XLOOKUP(TRUE, EXACT(I2, Table3[orig]), Table3[(Z)])</f>
        <v>U</v>
      </c>
      <c r="K2" t="str" cm="1">
        <f t="array" ref="K2">_xlfn.XLOOKUP(TRUE, EXACT(Table2[[#This Row],[orig]], Table5[orig]), Table5[(T-reflection)])</f>
        <v>L'</v>
      </c>
      <c r="L2" t="str" cm="1">
        <f t="array" ref="L2">_xlfn.XLOOKUP(TRUE, EXACT(Table2[[#This Row],[orig]], Table6[orig]), Table6[(H-reflection)])</f>
        <v>R'</v>
      </c>
      <c r="M2" t="str" cm="1">
        <f t="array" ref="M2">_xlfn.XLOOKUP(TRUE, EXACT(Table2[[#This Row],[orig]], Table7[orig]), Table7[(S-reflection)])</f>
        <v>R'</v>
      </c>
    </row>
    <row r="3" spans="1:13" x14ac:dyDescent="0.2">
      <c r="A3" t="str">
        <f>intermediate!E6</f>
        <v>r</v>
      </c>
      <c r="B3" t="str" cm="1">
        <f t="array" ref="B3">_xlfn.XLOOKUP(TRUE, EXACT(Table2[[#This Row],[orig]], Table4[orig]), Table4[(X)])</f>
        <v>r</v>
      </c>
      <c r="C3" t="str" cm="1">
        <f t="array" ref="C3">_xlfn.XLOOKUP(TRUE, EXACT(B3, Table4[orig]), Table4[(X)])</f>
        <v>r</v>
      </c>
      <c r="D3" t="str" cm="1">
        <f t="array" ref="D3">_xlfn.XLOOKUP(TRUE, EXACT(C3, Table4[orig]), Table4[(X)])</f>
        <v>r</v>
      </c>
      <c r="E3" t="str" cm="1">
        <f t="array" ref="E3">_xlfn.XLOOKUP(TRUE, EXACT(A3, Table1[orig]), Table1[(Y)])</f>
        <v>f</v>
      </c>
      <c r="F3" t="str" cm="1">
        <f t="array" ref="F3">_xlfn.XLOOKUP(TRUE, EXACT(E3, Table1[orig]), Table1[(Y)])</f>
        <v>l</v>
      </c>
      <c r="G3" t="str" cm="1">
        <f t="array" ref="G3">_xlfn.XLOOKUP(TRUE, EXACT(F3, Table1[orig]), Table1[(Y)])</f>
        <v>b</v>
      </c>
      <c r="H3" t="str" cm="1">
        <f t="array" ref="H3">_xlfn.XLOOKUP(TRUE, EXACT(Table2[[#This Row],[orig]], Table3[orig]), Table3[(Z)])</f>
        <v>d</v>
      </c>
      <c r="I3" t="str" cm="1">
        <f t="array" ref="I3">_xlfn.XLOOKUP(TRUE, EXACT(H3, Table3[orig]), Table3[(Z)])</f>
        <v>l</v>
      </c>
      <c r="J3" t="str" cm="1">
        <f t="array" ref="J3">_xlfn.XLOOKUP(TRUE, EXACT(I3, Table3[orig]), Table3[(Z)])</f>
        <v>u</v>
      </c>
      <c r="K3" t="str" cm="1">
        <f t="array" ref="K3">_xlfn.XLOOKUP(TRUE, EXACT(Table2[[#This Row],[orig]], Table5[orig]), Table5[(T-reflection)])</f>
        <v>l'</v>
      </c>
      <c r="L3" t="str" cm="1">
        <f t="array" ref="L3">_xlfn.XLOOKUP(TRUE, EXACT(Table2[[#This Row],[orig]], Table6[orig]), Table6[(H-reflection)])</f>
        <v>r'</v>
      </c>
      <c r="M3" t="str" cm="1">
        <f t="array" ref="M3">_xlfn.XLOOKUP(TRUE, EXACT(Table2[[#This Row],[orig]], Table7[orig]), Table7[(S-reflection)])</f>
        <v>r'</v>
      </c>
    </row>
    <row r="4" spans="1:13" x14ac:dyDescent="0.2">
      <c r="A4" t="str">
        <f>intermediate!E7</f>
        <v>T</v>
      </c>
      <c r="B4" t="str" cm="1">
        <f t="array" ref="B4">_xlfn.XLOOKUP(TRUE, EXACT(Table2[[#This Row],[orig]], Table4[orig]), Table4[(X)])</f>
        <v>T</v>
      </c>
      <c r="C4" t="str" cm="1">
        <f t="array" ref="C4">_xlfn.XLOOKUP(TRUE, EXACT(B4, Table4[orig]), Table4[(X)])</f>
        <v>T</v>
      </c>
      <c r="D4" t="str" cm="1">
        <f t="array" ref="D4">_xlfn.XLOOKUP(TRUE, EXACT(C4, Table4[orig]), Table4[(X)])</f>
        <v>T</v>
      </c>
      <c r="E4" t="str" cm="1">
        <f t="array" ref="E4">_xlfn.XLOOKUP(TRUE, EXACT(A4, Table1[orig]), Table1[(Y)])</f>
        <v>S</v>
      </c>
      <c r="F4" t="str" cm="1">
        <f t="array" ref="F4">_xlfn.XLOOKUP(TRUE, EXACT(E4, Table1[orig]), Table1[(Y)])</f>
        <v>T'</v>
      </c>
      <c r="G4" t="str" cm="1">
        <f t="array" ref="G4">_xlfn.XLOOKUP(TRUE, EXACT(F4, Table1[orig]), Table1[(Y)])</f>
        <v>S'</v>
      </c>
      <c r="H4" t="str" cm="1">
        <f t="array" ref="H4">_xlfn.XLOOKUP(TRUE, EXACT(Table2[[#This Row],[orig]], Table3[orig]), Table3[(Z)])</f>
        <v>H'</v>
      </c>
      <c r="I4" t="str" cm="1">
        <f t="array" ref="I4">_xlfn.XLOOKUP(TRUE, EXACT(H4, Table3[orig]), Table3[(Z)])</f>
        <v>T'</v>
      </c>
      <c r="J4" t="str" cm="1">
        <f t="array" ref="J4">_xlfn.XLOOKUP(TRUE, EXACT(I4, Table3[orig]), Table3[(Z)])</f>
        <v>H</v>
      </c>
      <c r="K4" t="str" cm="1">
        <f t="array" ref="K4">_xlfn.XLOOKUP(TRUE, EXACT(Table2[[#This Row],[orig]], Table5[orig]), Table5[(T-reflection)])</f>
        <v>T</v>
      </c>
      <c r="L4" t="str" cm="1">
        <f t="array" ref="L4">_xlfn.XLOOKUP(TRUE, EXACT(Table2[[#This Row],[orig]], Table6[orig]), Table6[(H-reflection)])</f>
        <v>T'</v>
      </c>
      <c r="M4" t="str" cm="1">
        <f t="array" ref="M4">_xlfn.XLOOKUP(TRUE, EXACT(Table2[[#This Row],[orig]], Table7[orig]), Table7[(S-reflection)])</f>
        <v>T'</v>
      </c>
    </row>
    <row r="5" spans="1:13" x14ac:dyDescent="0.2">
      <c r="A5" t="str">
        <f>intermediate!E8</f>
        <v>l</v>
      </c>
      <c r="B5" t="str" cm="1">
        <f t="array" ref="B5">_xlfn.XLOOKUP(TRUE, EXACT(Table2[[#This Row],[orig]], Table4[orig]), Table4[(X)])</f>
        <v>l</v>
      </c>
      <c r="C5" t="str" cm="1">
        <f t="array" ref="C5">_xlfn.XLOOKUP(TRUE, EXACT(B5, Table4[orig]), Table4[(X)])</f>
        <v>l</v>
      </c>
      <c r="D5" t="str" cm="1">
        <f t="array" ref="D5">_xlfn.XLOOKUP(TRUE, EXACT(C5, Table4[orig]), Table4[(X)])</f>
        <v>l</v>
      </c>
      <c r="E5" t="str" cm="1">
        <f t="array" ref="E5">_xlfn.XLOOKUP(TRUE, EXACT(A5, Table1[orig]), Table1[(Y)])</f>
        <v>b</v>
      </c>
      <c r="F5" t="str" cm="1">
        <f t="array" ref="F5">_xlfn.XLOOKUP(TRUE, EXACT(E5, Table1[orig]), Table1[(Y)])</f>
        <v>r</v>
      </c>
      <c r="G5" t="str" cm="1">
        <f t="array" ref="G5">_xlfn.XLOOKUP(TRUE, EXACT(F5, Table1[orig]), Table1[(Y)])</f>
        <v>f</v>
      </c>
      <c r="H5" t="str" cm="1">
        <f t="array" ref="H5">_xlfn.XLOOKUP(TRUE, EXACT(Table2[[#This Row],[orig]], Table3[orig]), Table3[(Z)])</f>
        <v>u</v>
      </c>
      <c r="I5" t="str" cm="1">
        <f t="array" ref="I5">_xlfn.XLOOKUP(TRUE, EXACT(H5, Table3[orig]), Table3[(Z)])</f>
        <v>r</v>
      </c>
      <c r="J5" t="str" cm="1">
        <f t="array" ref="J5">_xlfn.XLOOKUP(TRUE, EXACT(I5, Table3[orig]), Table3[(Z)])</f>
        <v>d</v>
      </c>
      <c r="K5" t="str" cm="1">
        <f t="array" ref="K5">_xlfn.XLOOKUP(TRUE, EXACT(Table2[[#This Row],[orig]], Table5[orig]), Table5[(T-reflection)])</f>
        <v>r'</v>
      </c>
      <c r="L5" t="str" cm="1">
        <f t="array" ref="L5">_xlfn.XLOOKUP(TRUE, EXACT(Table2[[#This Row],[orig]], Table6[orig]), Table6[(H-reflection)])</f>
        <v>l'</v>
      </c>
      <c r="M5" t="str" cm="1">
        <f t="array" ref="M5">_xlfn.XLOOKUP(TRUE, EXACT(Table2[[#This Row],[orig]], Table7[orig]), Table7[(S-reflection)])</f>
        <v>l'</v>
      </c>
    </row>
    <row r="6" spans="1:13" x14ac:dyDescent="0.2">
      <c r="A6" t="str">
        <f>intermediate!E9</f>
        <v>L</v>
      </c>
      <c r="B6" t="str" cm="1">
        <f t="array" ref="B6">_xlfn.XLOOKUP(TRUE, EXACT(Table2[[#This Row],[orig]], Table4[orig]), Table4[(X)])</f>
        <v>L</v>
      </c>
      <c r="C6" t="str" cm="1">
        <f t="array" ref="C6">_xlfn.XLOOKUP(TRUE, EXACT(B6, Table4[orig]), Table4[(X)])</f>
        <v>L</v>
      </c>
      <c r="D6" t="str" cm="1">
        <f t="array" ref="D6">_xlfn.XLOOKUP(TRUE, EXACT(C6, Table4[orig]), Table4[(X)])</f>
        <v>L</v>
      </c>
      <c r="E6" t="str" cm="1">
        <f t="array" ref="E6">_xlfn.XLOOKUP(TRUE, EXACT(A6, Table1[orig]), Table1[(Y)])</f>
        <v>B</v>
      </c>
      <c r="F6" t="str" cm="1">
        <f t="array" ref="F6">_xlfn.XLOOKUP(TRUE, EXACT(E6, Table1[orig]), Table1[(Y)])</f>
        <v>R</v>
      </c>
      <c r="G6" t="str" cm="1">
        <f t="array" ref="G6">_xlfn.XLOOKUP(TRUE, EXACT(F6, Table1[orig]), Table1[(Y)])</f>
        <v>F</v>
      </c>
      <c r="H6" t="str" cm="1">
        <f t="array" ref="H6">_xlfn.XLOOKUP(TRUE, EXACT(Table2[[#This Row],[orig]], Table3[orig]), Table3[(Z)])</f>
        <v>U</v>
      </c>
      <c r="I6" t="str" cm="1">
        <f t="array" ref="I6">_xlfn.XLOOKUP(TRUE, EXACT(H6, Table3[orig]), Table3[(Z)])</f>
        <v>R</v>
      </c>
      <c r="J6" t="str" cm="1">
        <f t="array" ref="J6">_xlfn.XLOOKUP(TRUE, EXACT(I6, Table3[orig]), Table3[(Z)])</f>
        <v>D</v>
      </c>
      <c r="K6" t="str" cm="1">
        <f t="array" ref="K6">_xlfn.XLOOKUP(TRUE, EXACT(Table2[[#This Row],[orig]], Table5[orig]), Table5[(T-reflection)])</f>
        <v>R'</v>
      </c>
      <c r="L6" t="str" cm="1">
        <f t="array" ref="L6">_xlfn.XLOOKUP(TRUE, EXACT(Table2[[#This Row],[orig]], Table6[orig]), Table6[(H-reflection)])</f>
        <v>L'</v>
      </c>
      <c r="M6" t="str" cm="1">
        <f t="array" ref="M6">_xlfn.XLOOKUP(TRUE, EXACT(Table2[[#This Row],[orig]], Table7[orig]), Table7[(S-reflection)])</f>
        <v>L'</v>
      </c>
    </row>
    <row r="7" spans="1:13" x14ac:dyDescent="0.2">
      <c r="A7" s="3" t="str">
        <f>intermediate!E10</f>
        <v>X</v>
      </c>
      <c r="B7" s="3" t="str" cm="1">
        <f t="array" ref="B7">_xlfn.XLOOKUP(TRUE, EXACT(Table2[[#This Row],[orig]], Table4[orig]), Table4[(X)])</f>
        <v>X</v>
      </c>
      <c r="C7" s="3" t="str" cm="1">
        <f t="array" ref="C7">_xlfn.XLOOKUP(TRUE, EXACT(B7, Table4[orig]), Table4[(X)])</f>
        <v>X</v>
      </c>
      <c r="D7" s="3" t="str" cm="1">
        <f t="array" ref="D7">_xlfn.XLOOKUP(TRUE, EXACT(C7, Table4[orig]), Table4[(X)])</f>
        <v>X</v>
      </c>
      <c r="E7" s="3" t="str" cm="1">
        <f t="array" ref="E7">_xlfn.XLOOKUP(TRUE, EXACT(A7, Table1[orig]), Table1[(Y)])</f>
        <v>Z</v>
      </c>
      <c r="F7" s="3" t="str" cm="1">
        <f t="array" ref="F7">_xlfn.XLOOKUP(TRUE, EXACT(E7, Table1[orig]), Table1[(Y)])</f>
        <v>X'</v>
      </c>
      <c r="G7" s="3" t="str" cm="1">
        <f t="array" ref="G7">_xlfn.XLOOKUP(TRUE, EXACT(F7, Table1[orig]), Table1[(Y)])</f>
        <v>Z'</v>
      </c>
      <c r="H7" s="3" t="str" cm="1">
        <f t="array" ref="H7">_xlfn.XLOOKUP(TRUE, EXACT(Table2[[#This Row],[orig]], Table3[orig]), Table3[(Z)])</f>
        <v>Y'</v>
      </c>
      <c r="I7" s="3" t="str" cm="1">
        <f t="array" ref="I7">_xlfn.XLOOKUP(TRUE, EXACT(H7, Table3[orig]), Table3[(Z)])</f>
        <v>X'</v>
      </c>
      <c r="J7" s="3" t="str" cm="1">
        <f t="array" ref="J7">_xlfn.XLOOKUP(TRUE, EXACT(I7, Table3[orig]), Table3[(Z)])</f>
        <v>Y</v>
      </c>
      <c r="K7" s="3" t="str" cm="1">
        <f t="array" ref="K7">_xlfn.XLOOKUP(TRUE, EXACT(Table2[[#This Row],[orig]], Table5[orig]), Table5[(T-reflection)])</f>
        <v>X</v>
      </c>
      <c r="L7" s="3" t="str" cm="1">
        <f t="array" ref="L7">_xlfn.XLOOKUP(TRUE, EXACT(Table2[[#This Row],[orig]], Table6[orig]), Table6[(H-reflection)])</f>
        <v>X'</v>
      </c>
      <c r="M7" s="3" t="str" cm="1">
        <f t="array" ref="M7">_xlfn.XLOOKUP(TRUE, EXACT(Table2[[#This Row],[orig]], Table7[orig]), Table7[(S-reflection)])</f>
        <v>X'</v>
      </c>
    </row>
    <row r="8" spans="1:13" x14ac:dyDescent="0.2">
      <c r="A8" t="str">
        <f>intermediate!E11</f>
        <v>R'</v>
      </c>
      <c r="B8" t="str" cm="1">
        <f t="array" ref="B8">_xlfn.XLOOKUP(TRUE, EXACT(Table2[[#This Row],[orig]], Table4[orig]), Table4[(X)])</f>
        <v>R'</v>
      </c>
      <c r="C8" t="str" cm="1">
        <f t="array" ref="C8">_xlfn.XLOOKUP(TRUE, EXACT(B8, Table4[orig]), Table4[(X)])</f>
        <v>R'</v>
      </c>
      <c r="D8" t="str" cm="1">
        <f t="array" ref="D8">_xlfn.XLOOKUP(TRUE, EXACT(C8, Table4[orig]), Table4[(X)])</f>
        <v>R'</v>
      </c>
      <c r="E8" t="str" cm="1">
        <f t="array" ref="E8">_xlfn.XLOOKUP(TRUE, EXACT(A8, Table1[orig]), Table1[(Y)])</f>
        <v>F'</v>
      </c>
      <c r="F8" t="str" cm="1">
        <f t="array" ref="F8">_xlfn.XLOOKUP(TRUE, EXACT(E8, Table1[orig]), Table1[(Y)])</f>
        <v>L'</v>
      </c>
      <c r="G8" t="str" cm="1">
        <f t="array" ref="G8">_xlfn.XLOOKUP(TRUE, EXACT(F8, Table1[orig]), Table1[(Y)])</f>
        <v>B'</v>
      </c>
      <c r="H8" t="str" cm="1">
        <f t="array" ref="H8">_xlfn.XLOOKUP(TRUE, EXACT(Table2[[#This Row],[orig]], Table3[orig]), Table3[(Z)])</f>
        <v>D'</v>
      </c>
      <c r="I8" t="str" cm="1">
        <f t="array" ref="I8">_xlfn.XLOOKUP(TRUE, EXACT(H8, Table3[orig]), Table3[(Z)])</f>
        <v>L'</v>
      </c>
      <c r="J8" t="str" cm="1">
        <f t="array" ref="J8">_xlfn.XLOOKUP(TRUE, EXACT(I8, Table3[orig]), Table3[(Z)])</f>
        <v>U'</v>
      </c>
      <c r="K8" t="str" cm="1">
        <f t="array" ref="K8">_xlfn.XLOOKUP(TRUE, EXACT(Table2[[#This Row],[orig]], Table5[orig]), Table5[(T-reflection)])</f>
        <v>L</v>
      </c>
      <c r="L8" t="str" cm="1">
        <f t="array" ref="L8">_xlfn.XLOOKUP(TRUE, EXACT(Table2[[#This Row],[orig]], Table6[orig]), Table6[(H-reflection)])</f>
        <v>R</v>
      </c>
      <c r="M8" t="str" cm="1">
        <f t="array" ref="M8">_xlfn.XLOOKUP(TRUE, EXACT(Table2[[#This Row],[orig]], Table7[orig]), Table7[(S-reflection)])</f>
        <v>R</v>
      </c>
    </row>
    <row r="9" spans="1:13" x14ac:dyDescent="0.2">
      <c r="A9" t="str">
        <f>intermediate!E12</f>
        <v>r'</v>
      </c>
      <c r="B9" t="str" cm="1">
        <f t="array" ref="B9">_xlfn.XLOOKUP(TRUE, EXACT(Table2[[#This Row],[orig]], Table4[orig]), Table4[(X)])</f>
        <v>r'</v>
      </c>
      <c r="C9" t="str" cm="1">
        <f t="array" ref="C9">_xlfn.XLOOKUP(TRUE, EXACT(B9, Table4[orig]), Table4[(X)])</f>
        <v>r'</v>
      </c>
      <c r="D9" t="str" cm="1">
        <f t="array" ref="D9">_xlfn.XLOOKUP(TRUE, EXACT(C9, Table4[orig]), Table4[(X)])</f>
        <v>r'</v>
      </c>
      <c r="E9" t="str" cm="1">
        <f t="array" ref="E9">_xlfn.XLOOKUP(TRUE, EXACT(A9, Table1[orig]), Table1[(Y)])</f>
        <v>f'</v>
      </c>
      <c r="F9" t="str" cm="1">
        <f t="array" ref="F9">_xlfn.XLOOKUP(TRUE, EXACT(E9, Table1[orig]), Table1[(Y)])</f>
        <v>l'</v>
      </c>
      <c r="G9" t="str" cm="1">
        <f t="array" ref="G9">_xlfn.XLOOKUP(TRUE, EXACT(F9, Table1[orig]), Table1[(Y)])</f>
        <v>b'</v>
      </c>
      <c r="H9" t="str" cm="1">
        <f t="array" ref="H9">_xlfn.XLOOKUP(TRUE, EXACT(Table2[[#This Row],[orig]], Table3[orig]), Table3[(Z)])</f>
        <v>d'</v>
      </c>
      <c r="I9" t="str" cm="1">
        <f t="array" ref="I9">_xlfn.XLOOKUP(TRUE, EXACT(H9, Table3[orig]), Table3[(Z)])</f>
        <v>l'</v>
      </c>
      <c r="J9" t="str" cm="1">
        <f t="array" ref="J9">_xlfn.XLOOKUP(TRUE, EXACT(I9, Table3[orig]), Table3[(Z)])</f>
        <v>u'</v>
      </c>
      <c r="K9" t="str" cm="1">
        <f t="array" ref="K9">_xlfn.XLOOKUP(TRUE, EXACT(Table2[[#This Row],[orig]], Table5[orig]), Table5[(T-reflection)])</f>
        <v>l</v>
      </c>
      <c r="L9" t="str" cm="1">
        <f t="array" ref="L9">_xlfn.XLOOKUP(TRUE, EXACT(Table2[[#This Row],[orig]], Table6[orig]), Table6[(H-reflection)])</f>
        <v>r</v>
      </c>
      <c r="M9" t="str" cm="1">
        <f t="array" ref="M9">_xlfn.XLOOKUP(TRUE, EXACT(Table2[[#This Row],[orig]], Table7[orig]), Table7[(S-reflection)])</f>
        <v>r</v>
      </c>
    </row>
    <row r="10" spans="1:13" x14ac:dyDescent="0.2">
      <c r="A10" t="str">
        <f>intermediate!E13</f>
        <v>T'</v>
      </c>
      <c r="B10" t="str" cm="1">
        <f t="array" ref="B10">_xlfn.XLOOKUP(TRUE, EXACT(Table2[[#This Row],[orig]], Table4[orig]), Table4[(X)])</f>
        <v>T'</v>
      </c>
      <c r="C10" t="str" cm="1">
        <f t="array" ref="C10">_xlfn.XLOOKUP(TRUE, EXACT(B10, Table4[orig]), Table4[(X)])</f>
        <v>T'</v>
      </c>
      <c r="D10" t="str" cm="1">
        <f t="array" ref="D10">_xlfn.XLOOKUP(TRUE, EXACT(C10, Table4[orig]), Table4[(X)])</f>
        <v>T'</v>
      </c>
      <c r="E10" t="str" cm="1">
        <f t="array" ref="E10">_xlfn.XLOOKUP(TRUE, EXACT(A10, Table1[orig]), Table1[(Y)])</f>
        <v>S'</v>
      </c>
      <c r="F10" t="str" cm="1">
        <f t="array" ref="F10">_xlfn.XLOOKUP(TRUE, EXACT(E10, Table1[orig]), Table1[(Y)])</f>
        <v>T</v>
      </c>
      <c r="G10" t="str" cm="1">
        <f t="array" ref="G10">_xlfn.XLOOKUP(TRUE, EXACT(F10, Table1[orig]), Table1[(Y)])</f>
        <v>S</v>
      </c>
      <c r="H10" t="str" cm="1">
        <f t="array" ref="H10">_xlfn.XLOOKUP(TRUE, EXACT(Table2[[#This Row],[orig]], Table3[orig]), Table3[(Z)])</f>
        <v>H</v>
      </c>
      <c r="I10" t="str" cm="1">
        <f t="array" ref="I10">_xlfn.XLOOKUP(TRUE, EXACT(H10, Table3[orig]), Table3[(Z)])</f>
        <v>T</v>
      </c>
      <c r="J10" t="str" cm="1">
        <f t="array" ref="J10">_xlfn.XLOOKUP(TRUE, EXACT(I10, Table3[orig]), Table3[(Z)])</f>
        <v>H'</v>
      </c>
      <c r="K10" t="str" cm="1">
        <f t="array" ref="K10">_xlfn.XLOOKUP(TRUE, EXACT(Table2[[#This Row],[orig]], Table5[orig]), Table5[(T-reflection)])</f>
        <v>T'</v>
      </c>
      <c r="L10" t="str" cm="1">
        <f t="array" ref="L10">_xlfn.XLOOKUP(TRUE, EXACT(Table2[[#This Row],[orig]], Table6[orig]), Table6[(H-reflection)])</f>
        <v>T</v>
      </c>
      <c r="M10" t="str" cm="1">
        <f t="array" ref="M10">_xlfn.XLOOKUP(TRUE, EXACT(Table2[[#This Row],[orig]], Table7[orig]), Table7[(S-reflection)])</f>
        <v>T</v>
      </c>
    </row>
    <row r="11" spans="1:13" x14ac:dyDescent="0.2">
      <c r="A11" t="str">
        <f>intermediate!E14</f>
        <v>l'</v>
      </c>
      <c r="B11" t="str" cm="1">
        <f t="array" ref="B11">_xlfn.XLOOKUP(TRUE, EXACT(Table2[[#This Row],[orig]], Table4[orig]), Table4[(X)])</f>
        <v>l'</v>
      </c>
      <c r="C11" t="str" cm="1">
        <f t="array" ref="C11">_xlfn.XLOOKUP(TRUE, EXACT(B11, Table4[orig]), Table4[(X)])</f>
        <v>l'</v>
      </c>
      <c r="D11" t="str" cm="1">
        <f t="array" ref="D11">_xlfn.XLOOKUP(TRUE, EXACT(C11, Table4[orig]), Table4[(X)])</f>
        <v>l'</v>
      </c>
      <c r="E11" t="str" cm="1">
        <f t="array" ref="E11">_xlfn.XLOOKUP(TRUE, EXACT(A11, Table1[orig]), Table1[(Y)])</f>
        <v>b'</v>
      </c>
      <c r="F11" t="str" cm="1">
        <f t="array" ref="F11">_xlfn.XLOOKUP(TRUE, EXACT(E11, Table1[orig]), Table1[(Y)])</f>
        <v>r'</v>
      </c>
      <c r="G11" t="str" cm="1">
        <f t="array" ref="G11">_xlfn.XLOOKUP(TRUE, EXACT(F11, Table1[orig]), Table1[(Y)])</f>
        <v>f'</v>
      </c>
      <c r="H11" t="str" cm="1">
        <f t="array" ref="H11">_xlfn.XLOOKUP(TRUE, EXACT(Table2[[#This Row],[orig]], Table3[orig]), Table3[(Z)])</f>
        <v>u'</v>
      </c>
      <c r="I11" t="str" cm="1">
        <f t="array" ref="I11">_xlfn.XLOOKUP(TRUE, EXACT(H11, Table3[orig]), Table3[(Z)])</f>
        <v>r'</v>
      </c>
      <c r="J11" t="str" cm="1">
        <f t="array" ref="J11">_xlfn.XLOOKUP(TRUE, EXACT(I11, Table3[orig]), Table3[(Z)])</f>
        <v>d'</v>
      </c>
      <c r="K11" t="str" cm="1">
        <f t="array" ref="K11">_xlfn.XLOOKUP(TRUE, EXACT(Table2[[#This Row],[orig]], Table5[orig]), Table5[(T-reflection)])</f>
        <v>r</v>
      </c>
      <c r="L11" t="str" cm="1">
        <f t="array" ref="L11">_xlfn.XLOOKUP(TRUE, EXACT(Table2[[#This Row],[orig]], Table6[orig]), Table6[(H-reflection)])</f>
        <v>l</v>
      </c>
      <c r="M11" t="str" cm="1">
        <f t="array" ref="M11">_xlfn.XLOOKUP(TRUE, EXACT(Table2[[#This Row],[orig]], Table7[orig]), Table7[(S-reflection)])</f>
        <v>l</v>
      </c>
    </row>
    <row r="12" spans="1:13" x14ac:dyDescent="0.2">
      <c r="A12" t="str">
        <f>intermediate!E15</f>
        <v>L'</v>
      </c>
      <c r="B12" t="str" cm="1">
        <f t="array" ref="B12">_xlfn.XLOOKUP(TRUE, EXACT(Table2[[#This Row],[orig]], Table4[orig]), Table4[(X)])</f>
        <v>L'</v>
      </c>
      <c r="C12" t="str" cm="1">
        <f t="array" ref="C12">_xlfn.XLOOKUP(TRUE, EXACT(B12, Table4[orig]), Table4[(X)])</f>
        <v>L'</v>
      </c>
      <c r="D12" t="str" cm="1">
        <f t="array" ref="D12">_xlfn.XLOOKUP(TRUE, EXACT(C12, Table4[orig]), Table4[(X)])</f>
        <v>L'</v>
      </c>
      <c r="E12" t="str" cm="1">
        <f t="array" ref="E12">_xlfn.XLOOKUP(TRUE, EXACT(A12, Table1[orig]), Table1[(Y)])</f>
        <v>B'</v>
      </c>
      <c r="F12" t="str" cm="1">
        <f t="array" ref="F12">_xlfn.XLOOKUP(TRUE, EXACT(E12, Table1[orig]), Table1[(Y)])</f>
        <v>R'</v>
      </c>
      <c r="G12" t="str" cm="1">
        <f t="array" ref="G12">_xlfn.XLOOKUP(TRUE, EXACT(F12, Table1[orig]), Table1[(Y)])</f>
        <v>F'</v>
      </c>
      <c r="H12" t="str" cm="1">
        <f t="array" ref="H12">_xlfn.XLOOKUP(TRUE, EXACT(Table2[[#This Row],[orig]], Table3[orig]), Table3[(Z)])</f>
        <v>U'</v>
      </c>
      <c r="I12" t="str" cm="1">
        <f t="array" ref="I12">_xlfn.XLOOKUP(TRUE, EXACT(H12, Table3[orig]), Table3[(Z)])</f>
        <v>R'</v>
      </c>
      <c r="J12" t="str" cm="1">
        <f t="array" ref="J12">_xlfn.XLOOKUP(TRUE, EXACT(I12, Table3[orig]), Table3[(Z)])</f>
        <v>D'</v>
      </c>
      <c r="K12" t="str" cm="1">
        <f t="array" ref="K12">_xlfn.XLOOKUP(TRUE, EXACT(Table2[[#This Row],[orig]], Table5[orig]), Table5[(T-reflection)])</f>
        <v>R</v>
      </c>
      <c r="L12" t="str" cm="1">
        <f t="array" ref="L12">_xlfn.XLOOKUP(TRUE, EXACT(Table2[[#This Row],[orig]], Table6[orig]), Table6[(H-reflection)])</f>
        <v>L</v>
      </c>
      <c r="M12" t="str" cm="1">
        <f t="array" ref="M12">_xlfn.XLOOKUP(TRUE, EXACT(Table2[[#This Row],[orig]], Table7[orig]), Table7[(S-reflection)])</f>
        <v>L</v>
      </c>
    </row>
    <row r="13" spans="1:13" x14ac:dyDescent="0.2">
      <c r="A13" s="3" t="str">
        <f>intermediate!E16</f>
        <v>X'</v>
      </c>
      <c r="B13" s="3" t="str" cm="1">
        <f t="array" ref="B13">_xlfn.XLOOKUP(TRUE, EXACT(Table2[[#This Row],[orig]], Table4[orig]), Table4[(X)])</f>
        <v>X'</v>
      </c>
      <c r="C13" s="3" t="str" cm="1">
        <f t="array" ref="C13">_xlfn.XLOOKUP(TRUE, EXACT(B13, Table4[orig]), Table4[(X)])</f>
        <v>X'</v>
      </c>
      <c r="D13" s="3" t="str" cm="1">
        <f t="array" ref="D13">_xlfn.XLOOKUP(TRUE, EXACT(C13, Table4[orig]), Table4[(X)])</f>
        <v>X'</v>
      </c>
      <c r="E13" s="3" t="str" cm="1">
        <f t="array" ref="E13">_xlfn.XLOOKUP(TRUE, EXACT(A13, Table1[orig]), Table1[(Y)])</f>
        <v>Z'</v>
      </c>
      <c r="F13" s="3" t="str" cm="1">
        <f t="array" ref="F13">_xlfn.XLOOKUP(TRUE, EXACT(E13, Table1[orig]), Table1[(Y)])</f>
        <v>X</v>
      </c>
      <c r="G13" s="3" t="str" cm="1">
        <f t="array" ref="G13">_xlfn.XLOOKUP(TRUE, EXACT(F13, Table1[orig]), Table1[(Y)])</f>
        <v>Z</v>
      </c>
      <c r="H13" s="3" t="str" cm="1">
        <f t="array" ref="H13">_xlfn.XLOOKUP(TRUE, EXACT(Table2[[#This Row],[orig]], Table3[orig]), Table3[(Z)])</f>
        <v>Y</v>
      </c>
      <c r="I13" s="3" t="str" cm="1">
        <f t="array" ref="I13">_xlfn.XLOOKUP(TRUE, EXACT(H13, Table3[orig]), Table3[(Z)])</f>
        <v>X</v>
      </c>
      <c r="J13" s="3" t="str" cm="1">
        <f t="array" ref="J13">_xlfn.XLOOKUP(TRUE, EXACT(I13, Table3[orig]), Table3[(Z)])</f>
        <v>Y'</v>
      </c>
      <c r="K13" s="3" t="str" cm="1">
        <f t="array" ref="K13">_xlfn.XLOOKUP(TRUE, EXACT(Table2[[#This Row],[orig]], Table5[orig]), Table5[(T-reflection)])</f>
        <v>X'</v>
      </c>
      <c r="L13" s="3" t="str" cm="1">
        <f t="array" ref="L13">_xlfn.XLOOKUP(TRUE, EXACT(Table2[[#This Row],[orig]], Table6[orig]), Table6[(H-reflection)])</f>
        <v>X</v>
      </c>
      <c r="M13" s="3" t="str" cm="1">
        <f t="array" ref="M13">_xlfn.XLOOKUP(TRUE, EXACT(Table2[[#This Row],[orig]], Table7[orig]), Table7[(S-reflection)])</f>
        <v>X</v>
      </c>
    </row>
    <row r="14" spans="1:13" x14ac:dyDescent="0.2">
      <c r="A14" t="str">
        <f>intermediate!E17</f>
        <v>R2</v>
      </c>
      <c r="B14" t="str" cm="1">
        <f t="array" ref="B14">_xlfn.XLOOKUP(TRUE, EXACT(Table2[[#This Row],[orig]], Table4[orig]), Table4[(X)])</f>
        <v>R2</v>
      </c>
      <c r="C14" t="str" cm="1">
        <f t="array" ref="C14">_xlfn.XLOOKUP(TRUE, EXACT(B14, Table4[orig]), Table4[(X)])</f>
        <v>R2</v>
      </c>
      <c r="D14" t="str" cm="1">
        <f t="array" ref="D14">_xlfn.XLOOKUP(TRUE, EXACT(C14, Table4[orig]), Table4[(X)])</f>
        <v>R2</v>
      </c>
      <c r="E14" t="str" cm="1">
        <f t="array" ref="E14">_xlfn.XLOOKUP(TRUE, EXACT(A14, Table1[orig]), Table1[(Y)])</f>
        <v>F2</v>
      </c>
      <c r="F14" t="str" cm="1">
        <f t="array" ref="F14">_xlfn.XLOOKUP(TRUE, EXACT(E14, Table1[orig]), Table1[(Y)])</f>
        <v>L2</v>
      </c>
      <c r="G14" t="str" cm="1">
        <f t="array" ref="G14">_xlfn.XLOOKUP(TRUE, EXACT(F14, Table1[orig]), Table1[(Y)])</f>
        <v>B2</v>
      </c>
      <c r="H14" t="str" cm="1">
        <f t="array" ref="H14">_xlfn.XLOOKUP(TRUE, EXACT(Table2[[#This Row],[orig]], Table3[orig]), Table3[(Z)])</f>
        <v>D2</v>
      </c>
      <c r="I14" t="str" cm="1">
        <f t="array" ref="I14">_xlfn.XLOOKUP(TRUE, EXACT(H14, Table3[orig]), Table3[(Z)])</f>
        <v>L2</v>
      </c>
      <c r="J14" t="str" cm="1">
        <f t="array" ref="J14">_xlfn.XLOOKUP(TRUE, EXACT(I14, Table3[orig]), Table3[(Z)])</f>
        <v>U2</v>
      </c>
      <c r="K14" t="str" cm="1">
        <f t="array" ref="K14">_xlfn.XLOOKUP(TRUE, EXACT(Table2[[#This Row],[orig]], Table5[orig]), Table5[(T-reflection)])</f>
        <v>L2</v>
      </c>
      <c r="L14" t="str" cm="1">
        <f t="array" ref="L14">_xlfn.XLOOKUP(TRUE, EXACT(Table2[[#This Row],[orig]], Table6[orig]), Table6[(H-reflection)])</f>
        <v>R2</v>
      </c>
      <c r="M14" t="str" cm="1">
        <f t="array" ref="M14">_xlfn.XLOOKUP(TRUE, EXACT(Table2[[#This Row],[orig]], Table7[orig]), Table7[(S-reflection)])</f>
        <v>R2</v>
      </c>
    </row>
    <row r="15" spans="1:13" x14ac:dyDescent="0.2">
      <c r="A15" t="str">
        <f>intermediate!E18</f>
        <v>r2</v>
      </c>
      <c r="B15" t="str" cm="1">
        <f t="array" ref="B15">_xlfn.XLOOKUP(TRUE, EXACT(Table2[[#This Row],[orig]], Table4[orig]), Table4[(X)])</f>
        <v>r2</v>
      </c>
      <c r="C15" t="str" cm="1">
        <f t="array" ref="C15">_xlfn.XLOOKUP(TRUE, EXACT(B15, Table4[orig]), Table4[(X)])</f>
        <v>r2</v>
      </c>
      <c r="D15" t="str" cm="1">
        <f t="array" ref="D15">_xlfn.XLOOKUP(TRUE, EXACT(C15, Table4[orig]), Table4[(X)])</f>
        <v>r2</v>
      </c>
      <c r="E15" t="str" cm="1">
        <f t="array" ref="E15">_xlfn.XLOOKUP(TRUE, EXACT(A15, Table1[orig]), Table1[(Y)])</f>
        <v>f2</v>
      </c>
      <c r="F15" t="str" cm="1">
        <f t="array" ref="F15">_xlfn.XLOOKUP(TRUE, EXACT(E15, Table1[orig]), Table1[(Y)])</f>
        <v>l2</v>
      </c>
      <c r="G15" t="str" cm="1">
        <f t="array" ref="G15">_xlfn.XLOOKUP(TRUE, EXACT(F15, Table1[orig]), Table1[(Y)])</f>
        <v>b2</v>
      </c>
      <c r="H15" t="str" cm="1">
        <f t="array" ref="H15">_xlfn.XLOOKUP(TRUE, EXACT(Table2[[#This Row],[orig]], Table3[orig]), Table3[(Z)])</f>
        <v>d2</v>
      </c>
      <c r="I15" t="str" cm="1">
        <f t="array" ref="I15">_xlfn.XLOOKUP(TRUE, EXACT(H15, Table3[orig]), Table3[(Z)])</f>
        <v>l2</v>
      </c>
      <c r="J15" t="str" cm="1">
        <f t="array" ref="J15">_xlfn.XLOOKUP(TRUE, EXACT(I15, Table3[orig]), Table3[(Z)])</f>
        <v>u2</v>
      </c>
      <c r="K15" t="str" cm="1">
        <f t="array" ref="K15">_xlfn.XLOOKUP(TRUE, EXACT(Table2[[#This Row],[orig]], Table5[orig]), Table5[(T-reflection)])</f>
        <v>l2</v>
      </c>
      <c r="L15" t="str" cm="1">
        <f t="array" ref="L15">_xlfn.XLOOKUP(TRUE, EXACT(Table2[[#This Row],[orig]], Table6[orig]), Table6[(H-reflection)])</f>
        <v>r2</v>
      </c>
      <c r="M15" t="str" cm="1">
        <f t="array" ref="M15">_xlfn.XLOOKUP(TRUE, EXACT(Table2[[#This Row],[orig]], Table7[orig]), Table7[(S-reflection)])</f>
        <v>r2</v>
      </c>
    </row>
    <row r="16" spans="1:13" x14ac:dyDescent="0.2">
      <c r="A16" t="str">
        <f>intermediate!E19</f>
        <v>T2</v>
      </c>
      <c r="B16" t="str" cm="1">
        <f t="array" ref="B16">_xlfn.XLOOKUP(TRUE, EXACT(Table2[[#This Row],[orig]], Table4[orig]), Table4[(X)])</f>
        <v>T2</v>
      </c>
      <c r="C16" t="str" cm="1">
        <f t="array" ref="C16">_xlfn.XLOOKUP(TRUE, EXACT(B16, Table4[orig]), Table4[(X)])</f>
        <v>T2</v>
      </c>
      <c r="D16" t="str" cm="1">
        <f t="array" ref="D16">_xlfn.XLOOKUP(TRUE, EXACT(C16, Table4[orig]), Table4[(X)])</f>
        <v>T2</v>
      </c>
      <c r="E16" t="str" cm="1">
        <f t="array" ref="E16">_xlfn.XLOOKUP(TRUE, EXACT(A16, Table1[orig]), Table1[(Y)])</f>
        <v>S2</v>
      </c>
      <c r="F16" t="str" cm="1">
        <f t="array" ref="F16">_xlfn.XLOOKUP(TRUE, EXACT(E16, Table1[orig]), Table1[(Y)])</f>
        <v>T2</v>
      </c>
      <c r="G16" t="str" cm="1">
        <f t="array" ref="G16">_xlfn.XLOOKUP(TRUE, EXACT(F16, Table1[orig]), Table1[(Y)])</f>
        <v>S2</v>
      </c>
      <c r="H16" t="str" cm="1">
        <f t="array" ref="H16">_xlfn.XLOOKUP(TRUE, EXACT(Table2[[#This Row],[orig]], Table3[orig]), Table3[(Z)])</f>
        <v>H2</v>
      </c>
      <c r="I16" t="str" cm="1">
        <f t="array" ref="I16">_xlfn.XLOOKUP(TRUE, EXACT(H16, Table3[orig]), Table3[(Z)])</f>
        <v>T2</v>
      </c>
      <c r="J16" t="str" cm="1">
        <f t="array" ref="J16">_xlfn.XLOOKUP(TRUE, EXACT(I16, Table3[orig]), Table3[(Z)])</f>
        <v>H2</v>
      </c>
      <c r="K16" t="str" cm="1">
        <f t="array" ref="K16">_xlfn.XLOOKUP(TRUE, EXACT(Table2[[#This Row],[orig]], Table5[orig]), Table5[(T-reflection)])</f>
        <v>T2</v>
      </c>
      <c r="L16" t="str" cm="1">
        <f t="array" ref="L16">_xlfn.XLOOKUP(TRUE, EXACT(Table2[[#This Row],[orig]], Table6[orig]), Table6[(H-reflection)])</f>
        <v>T2</v>
      </c>
      <c r="M16" t="str" cm="1">
        <f t="array" ref="M16">_xlfn.XLOOKUP(TRUE, EXACT(Table2[[#This Row],[orig]], Table7[orig]), Table7[(S-reflection)])</f>
        <v>T2</v>
      </c>
    </row>
    <row r="17" spans="1:13" x14ac:dyDescent="0.2">
      <c r="A17" t="str">
        <f>intermediate!E20</f>
        <v>l2</v>
      </c>
      <c r="B17" t="str" cm="1">
        <f t="array" ref="B17">_xlfn.XLOOKUP(TRUE, EXACT(Table2[[#This Row],[orig]], Table4[orig]), Table4[(X)])</f>
        <v>l2</v>
      </c>
      <c r="C17" t="str" cm="1">
        <f t="array" ref="C17">_xlfn.XLOOKUP(TRUE, EXACT(B17, Table4[orig]), Table4[(X)])</f>
        <v>l2</v>
      </c>
      <c r="D17" t="str" cm="1">
        <f t="array" ref="D17">_xlfn.XLOOKUP(TRUE, EXACT(C17, Table4[orig]), Table4[(X)])</f>
        <v>l2</v>
      </c>
      <c r="E17" t="str" cm="1">
        <f t="array" ref="E17">_xlfn.XLOOKUP(TRUE, EXACT(A17, Table1[orig]), Table1[(Y)])</f>
        <v>b2</v>
      </c>
      <c r="F17" t="str" cm="1">
        <f t="array" ref="F17">_xlfn.XLOOKUP(TRUE, EXACT(E17, Table1[orig]), Table1[(Y)])</f>
        <v>r2</v>
      </c>
      <c r="G17" t="str" cm="1">
        <f t="array" ref="G17">_xlfn.XLOOKUP(TRUE, EXACT(F17, Table1[orig]), Table1[(Y)])</f>
        <v>f2</v>
      </c>
      <c r="H17" t="str" cm="1">
        <f t="array" ref="H17">_xlfn.XLOOKUP(TRUE, EXACT(Table2[[#This Row],[orig]], Table3[orig]), Table3[(Z)])</f>
        <v>u2</v>
      </c>
      <c r="I17" t="str" cm="1">
        <f t="array" ref="I17">_xlfn.XLOOKUP(TRUE, EXACT(H17, Table3[orig]), Table3[(Z)])</f>
        <v>r2</v>
      </c>
      <c r="J17" t="str" cm="1">
        <f t="array" ref="J17">_xlfn.XLOOKUP(TRUE, EXACT(I17, Table3[orig]), Table3[(Z)])</f>
        <v>d2</v>
      </c>
      <c r="K17" t="str" cm="1">
        <f t="array" ref="K17">_xlfn.XLOOKUP(TRUE, EXACT(Table2[[#This Row],[orig]], Table5[orig]), Table5[(T-reflection)])</f>
        <v>r2</v>
      </c>
      <c r="L17" t="str" cm="1">
        <f t="array" ref="L17">_xlfn.XLOOKUP(TRUE, EXACT(Table2[[#This Row],[orig]], Table6[orig]), Table6[(H-reflection)])</f>
        <v>l2</v>
      </c>
      <c r="M17" t="str" cm="1">
        <f t="array" ref="M17">_xlfn.XLOOKUP(TRUE, EXACT(Table2[[#This Row],[orig]], Table7[orig]), Table7[(S-reflection)])</f>
        <v>l2</v>
      </c>
    </row>
    <row r="18" spans="1:13" x14ac:dyDescent="0.2">
      <c r="A18" t="str">
        <f>intermediate!E21</f>
        <v>L2</v>
      </c>
      <c r="B18" t="str" cm="1">
        <f t="array" ref="B18">_xlfn.XLOOKUP(TRUE, EXACT(Table2[[#This Row],[orig]], Table4[orig]), Table4[(X)])</f>
        <v>L2</v>
      </c>
      <c r="C18" t="str" cm="1">
        <f t="array" ref="C18">_xlfn.XLOOKUP(TRUE, EXACT(B18, Table4[orig]), Table4[(X)])</f>
        <v>L2</v>
      </c>
      <c r="D18" t="str" cm="1">
        <f t="array" ref="D18">_xlfn.XLOOKUP(TRUE, EXACT(C18, Table4[orig]), Table4[(X)])</f>
        <v>L2</v>
      </c>
      <c r="E18" t="str" cm="1">
        <f t="array" ref="E18">_xlfn.XLOOKUP(TRUE, EXACT(A18, Table1[orig]), Table1[(Y)])</f>
        <v>B2</v>
      </c>
      <c r="F18" t="str" cm="1">
        <f t="array" ref="F18">_xlfn.XLOOKUP(TRUE, EXACT(E18, Table1[orig]), Table1[(Y)])</f>
        <v>R2</v>
      </c>
      <c r="G18" t="str" cm="1">
        <f t="array" ref="G18">_xlfn.XLOOKUP(TRUE, EXACT(F18, Table1[orig]), Table1[(Y)])</f>
        <v>F2</v>
      </c>
      <c r="H18" t="str" cm="1">
        <f t="array" ref="H18">_xlfn.XLOOKUP(TRUE, EXACT(Table2[[#This Row],[orig]], Table3[orig]), Table3[(Z)])</f>
        <v>U2</v>
      </c>
      <c r="I18" t="str" cm="1">
        <f t="array" ref="I18">_xlfn.XLOOKUP(TRUE, EXACT(H18, Table3[orig]), Table3[(Z)])</f>
        <v>R2</v>
      </c>
      <c r="J18" t="str" cm="1">
        <f t="array" ref="J18">_xlfn.XLOOKUP(TRUE, EXACT(I18, Table3[orig]), Table3[(Z)])</f>
        <v>D2</v>
      </c>
      <c r="K18" t="str" cm="1">
        <f t="array" ref="K18">_xlfn.XLOOKUP(TRUE, EXACT(Table2[[#This Row],[orig]], Table5[orig]), Table5[(T-reflection)])</f>
        <v>R2</v>
      </c>
      <c r="L18" t="str" cm="1">
        <f t="array" ref="L18">_xlfn.XLOOKUP(TRUE, EXACT(Table2[[#This Row],[orig]], Table6[orig]), Table6[(H-reflection)])</f>
        <v>L2</v>
      </c>
      <c r="M18" t="str" cm="1">
        <f t="array" ref="M18">_xlfn.XLOOKUP(TRUE, EXACT(Table2[[#This Row],[orig]], Table7[orig]), Table7[(S-reflection)])</f>
        <v>L2</v>
      </c>
    </row>
    <row r="19" spans="1:13" x14ac:dyDescent="0.2">
      <c r="A19" s="3" t="str">
        <f>intermediate!E22</f>
        <v>X2</v>
      </c>
      <c r="B19" s="3" t="str" cm="1">
        <f t="array" ref="B19">_xlfn.XLOOKUP(TRUE, EXACT(Table2[[#This Row],[orig]], Table4[orig]), Table4[(X)])</f>
        <v>X2</v>
      </c>
      <c r="C19" s="3" t="str" cm="1">
        <f t="array" ref="C19">_xlfn.XLOOKUP(TRUE, EXACT(B19, Table4[orig]), Table4[(X)])</f>
        <v>X2</v>
      </c>
      <c r="D19" s="3" t="str" cm="1">
        <f t="array" ref="D19">_xlfn.XLOOKUP(TRUE, EXACT(C19, Table4[orig]), Table4[(X)])</f>
        <v>X2</v>
      </c>
      <c r="E19" s="3" t="str" cm="1">
        <f t="array" ref="E19">_xlfn.XLOOKUP(TRUE, EXACT(A19, Table1[orig]), Table1[(Y)])</f>
        <v>Z2</v>
      </c>
      <c r="F19" s="3" t="str" cm="1">
        <f t="array" ref="F19">_xlfn.XLOOKUP(TRUE, EXACT(E19, Table1[orig]), Table1[(Y)])</f>
        <v>X2</v>
      </c>
      <c r="G19" s="3" t="str" cm="1">
        <f t="array" ref="G19">_xlfn.XLOOKUP(TRUE, EXACT(F19, Table1[orig]), Table1[(Y)])</f>
        <v>Z2</v>
      </c>
      <c r="H19" s="3" t="str" cm="1">
        <f t="array" ref="H19">_xlfn.XLOOKUP(TRUE, EXACT(Table2[[#This Row],[orig]], Table3[orig]), Table3[(Z)])</f>
        <v>Y2</v>
      </c>
      <c r="I19" s="3" t="str" cm="1">
        <f t="array" ref="I19">_xlfn.XLOOKUP(TRUE, EXACT(H19, Table3[orig]), Table3[(Z)])</f>
        <v>X2</v>
      </c>
      <c r="J19" s="3" t="str" cm="1">
        <f t="array" ref="J19">_xlfn.XLOOKUP(TRUE, EXACT(I19, Table3[orig]), Table3[(Z)])</f>
        <v>Y2</v>
      </c>
      <c r="K19" s="3" t="str" cm="1">
        <f t="array" ref="K19">_xlfn.XLOOKUP(TRUE, EXACT(Table2[[#This Row],[orig]], Table5[orig]), Table5[(T-reflection)])</f>
        <v>X2</v>
      </c>
      <c r="L19" s="3" t="str" cm="1">
        <f t="array" ref="L19">_xlfn.XLOOKUP(TRUE, EXACT(Table2[[#This Row],[orig]], Table6[orig]), Table6[(H-reflection)])</f>
        <v>X2</v>
      </c>
      <c r="M19" s="3" t="str" cm="1">
        <f t="array" ref="M19">_xlfn.XLOOKUP(TRUE, EXACT(Table2[[#This Row],[orig]], Table7[orig]), Table7[(S-reflection)])</f>
        <v>X2</v>
      </c>
    </row>
    <row r="20" spans="1:13" x14ac:dyDescent="0.2">
      <c r="A20" t="str">
        <f>intermediate!E23</f>
        <v>F</v>
      </c>
      <c r="B20" t="str" cm="1">
        <f t="array" ref="B20">_xlfn.XLOOKUP(TRUE, EXACT(Table2[[#This Row],[orig]], Table4[orig]), Table4[(X)])</f>
        <v>U</v>
      </c>
      <c r="C20" t="str" cm="1">
        <f t="array" ref="C20">_xlfn.XLOOKUP(TRUE, EXACT(B20, Table4[orig]), Table4[(X)])</f>
        <v>B</v>
      </c>
      <c r="D20" t="str" cm="1">
        <f t="array" ref="D20">_xlfn.XLOOKUP(TRUE, EXACT(C20, Table4[orig]), Table4[(X)])</f>
        <v>D</v>
      </c>
      <c r="E20" t="str" cm="1">
        <f t="array" ref="E20">_xlfn.XLOOKUP(TRUE, EXACT(A20, Table1[orig]), Table1[(Y)])</f>
        <v>L</v>
      </c>
      <c r="F20" t="str" cm="1">
        <f t="array" ref="F20">_xlfn.XLOOKUP(TRUE, EXACT(E20, Table1[orig]), Table1[(Y)])</f>
        <v>B</v>
      </c>
      <c r="G20" t="str" cm="1">
        <f t="array" ref="G20">_xlfn.XLOOKUP(TRUE, EXACT(F20, Table1[orig]), Table1[(Y)])</f>
        <v>R</v>
      </c>
      <c r="H20" t="str" cm="1">
        <f t="array" ref="H20">_xlfn.XLOOKUP(TRUE, EXACT(Table2[[#This Row],[orig]], Table3[orig]), Table3[(Z)])</f>
        <v>F</v>
      </c>
      <c r="I20" t="str" cm="1">
        <f t="array" ref="I20">_xlfn.XLOOKUP(TRUE, EXACT(H20, Table3[orig]), Table3[(Z)])</f>
        <v>F</v>
      </c>
      <c r="J20" t="str" cm="1">
        <f t="array" ref="J20">_xlfn.XLOOKUP(TRUE, EXACT(I20, Table3[orig]), Table3[(Z)])</f>
        <v>F</v>
      </c>
      <c r="K20" t="str" cm="1">
        <f t="array" ref="K20">_xlfn.XLOOKUP(TRUE, EXACT(Table2[[#This Row],[orig]], Table5[orig]), Table5[(T-reflection)])</f>
        <v>F'</v>
      </c>
      <c r="L20" t="str" cm="1">
        <f t="array" ref="L20">_xlfn.XLOOKUP(TRUE, EXACT(Table2[[#This Row],[orig]], Table6[orig]), Table6[(H-reflection)])</f>
        <v>F'</v>
      </c>
      <c r="M20" t="str" cm="1">
        <f t="array" ref="M20">_xlfn.XLOOKUP(TRUE, EXACT(Table2[[#This Row],[orig]], Table7[orig]), Table7[(S-reflection)])</f>
        <v>B'</v>
      </c>
    </row>
    <row r="21" spans="1:13" x14ac:dyDescent="0.2">
      <c r="A21" t="str">
        <f>intermediate!E24</f>
        <v>f</v>
      </c>
      <c r="B21" t="str" cm="1">
        <f t="array" ref="B21">_xlfn.XLOOKUP(TRUE, EXACT(Table2[[#This Row],[orig]], Table4[orig]), Table4[(X)])</f>
        <v>u</v>
      </c>
      <c r="C21" t="str" cm="1">
        <f t="array" ref="C21">_xlfn.XLOOKUP(TRUE, EXACT(B21, Table4[orig]), Table4[(X)])</f>
        <v>b</v>
      </c>
      <c r="D21" t="str" cm="1">
        <f t="array" ref="D21">_xlfn.XLOOKUP(TRUE, EXACT(C21, Table4[orig]), Table4[(X)])</f>
        <v>d</v>
      </c>
      <c r="E21" t="str" cm="1">
        <f t="array" ref="E21">_xlfn.XLOOKUP(TRUE, EXACT(A21, Table1[orig]), Table1[(Y)])</f>
        <v>l</v>
      </c>
      <c r="F21" t="str" cm="1">
        <f t="array" ref="F21">_xlfn.XLOOKUP(TRUE, EXACT(E21, Table1[orig]), Table1[(Y)])</f>
        <v>b</v>
      </c>
      <c r="G21" t="str" cm="1">
        <f t="array" ref="G21">_xlfn.XLOOKUP(TRUE, EXACT(F21, Table1[orig]), Table1[(Y)])</f>
        <v>r</v>
      </c>
      <c r="H21" t="str" cm="1">
        <f t="array" ref="H21">_xlfn.XLOOKUP(TRUE, EXACT(Table2[[#This Row],[orig]], Table3[orig]), Table3[(Z)])</f>
        <v>f</v>
      </c>
      <c r="I21" t="str" cm="1">
        <f t="array" ref="I21">_xlfn.XLOOKUP(TRUE, EXACT(H21, Table3[orig]), Table3[(Z)])</f>
        <v>f</v>
      </c>
      <c r="J21" t="str" cm="1">
        <f t="array" ref="J21">_xlfn.XLOOKUP(TRUE, EXACT(I21, Table3[orig]), Table3[(Z)])</f>
        <v>f</v>
      </c>
      <c r="K21" t="str" cm="1">
        <f t="array" ref="K21">_xlfn.XLOOKUP(TRUE, EXACT(Table2[[#This Row],[orig]], Table5[orig]), Table5[(T-reflection)])</f>
        <v>f'</v>
      </c>
      <c r="L21" t="str" cm="1">
        <f t="array" ref="L21">_xlfn.XLOOKUP(TRUE, EXACT(Table2[[#This Row],[orig]], Table6[orig]), Table6[(H-reflection)])</f>
        <v>f'</v>
      </c>
      <c r="M21" t="str" cm="1">
        <f t="array" ref="M21">_xlfn.XLOOKUP(TRUE, EXACT(Table2[[#This Row],[orig]], Table7[orig]), Table7[(S-reflection)])</f>
        <v>b'</v>
      </c>
    </row>
    <row r="22" spans="1:13" x14ac:dyDescent="0.2">
      <c r="A22" t="str">
        <f>intermediate!E25</f>
        <v>S</v>
      </c>
      <c r="B22" t="str" cm="1">
        <f t="array" ref="B22">_xlfn.XLOOKUP(TRUE, EXACT(Table2[[#This Row],[orig]], Table4[orig]), Table4[(X)])</f>
        <v>H</v>
      </c>
      <c r="C22" t="str" cm="1">
        <f t="array" ref="C22">_xlfn.XLOOKUP(TRUE, EXACT(B22, Table4[orig]), Table4[(X)])</f>
        <v>S'</v>
      </c>
      <c r="D22" t="str" cm="1">
        <f t="array" ref="D22">_xlfn.XLOOKUP(TRUE, EXACT(C22, Table4[orig]), Table4[(X)])</f>
        <v>H'</v>
      </c>
      <c r="E22" t="str" cm="1">
        <f t="array" ref="E22">_xlfn.XLOOKUP(TRUE, EXACT(A22, Table1[orig]), Table1[(Y)])</f>
        <v>T'</v>
      </c>
      <c r="F22" t="str" cm="1">
        <f t="array" ref="F22">_xlfn.XLOOKUP(TRUE, EXACT(E22, Table1[orig]), Table1[(Y)])</f>
        <v>S'</v>
      </c>
      <c r="G22" t="str" cm="1">
        <f t="array" ref="G22">_xlfn.XLOOKUP(TRUE, EXACT(F22, Table1[orig]), Table1[(Y)])</f>
        <v>T</v>
      </c>
      <c r="H22" t="str" cm="1">
        <f t="array" ref="H22">_xlfn.XLOOKUP(TRUE, EXACT(Table2[[#This Row],[orig]], Table3[orig]), Table3[(Z)])</f>
        <v>S</v>
      </c>
      <c r="I22" t="str" cm="1">
        <f t="array" ref="I22">_xlfn.XLOOKUP(TRUE, EXACT(H22, Table3[orig]), Table3[(Z)])</f>
        <v>S</v>
      </c>
      <c r="J22" t="str" cm="1">
        <f t="array" ref="J22">_xlfn.XLOOKUP(TRUE, EXACT(I22, Table3[orig]), Table3[(Z)])</f>
        <v>S</v>
      </c>
      <c r="K22" t="str" cm="1">
        <f t="array" ref="K22">_xlfn.XLOOKUP(TRUE, EXACT(Table2[[#This Row],[orig]], Table5[orig]), Table5[(T-reflection)])</f>
        <v>S'</v>
      </c>
      <c r="L22" t="str" cm="1">
        <f t="array" ref="L22">_xlfn.XLOOKUP(TRUE, EXACT(Table2[[#This Row],[orig]], Table6[orig]), Table6[(H-reflection)])</f>
        <v>S'</v>
      </c>
      <c r="M22" t="str" cm="1">
        <f t="array" ref="M22">_xlfn.XLOOKUP(TRUE, EXACT(Table2[[#This Row],[orig]], Table7[orig]), Table7[(S-reflection)])</f>
        <v>S</v>
      </c>
    </row>
    <row r="23" spans="1:13" x14ac:dyDescent="0.2">
      <c r="A23" t="str">
        <f>intermediate!E26</f>
        <v>b</v>
      </c>
      <c r="B23" t="str" cm="1">
        <f t="array" ref="B23">_xlfn.XLOOKUP(TRUE, EXACT(Table2[[#This Row],[orig]], Table4[orig]), Table4[(X)])</f>
        <v>d</v>
      </c>
      <c r="C23" t="str" cm="1">
        <f t="array" ref="C23">_xlfn.XLOOKUP(TRUE, EXACT(B23, Table4[orig]), Table4[(X)])</f>
        <v>f</v>
      </c>
      <c r="D23" t="str" cm="1">
        <f t="array" ref="D23">_xlfn.XLOOKUP(TRUE, EXACT(C23, Table4[orig]), Table4[(X)])</f>
        <v>u</v>
      </c>
      <c r="E23" t="str" cm="1">
        <f t="array" ref="E23">_xlfn.XLOOKUP(TRUE, EXACT(A23, Table1[orig]), Table1[(Y)])</f>
        <v>r</v>
      </c>
      <c r="F23" t="str" cm="1">
        <f t="array" ref="F23">_xlfn.XLOOKUP(TRUE, EXACT(E23, Table1[orig]), Table1[(Y)])</f>
        <v>f</v>
      </c>
      <c r="G23" t="str" cm="1">
        <f t="array" ref="G23">_xlfn.XLOOKUP(TRUE, EXACT(F23, Table1[orig]), Table1[(Y)])</f>
        <v>l</v>
      </c>
      <c r="H23" t="str" cm="1">
        <f t="array" ref="H23">_xlfn.XLOOKUP(TRUE, EXACT(Table2[[#This Row],[orig]], Table3[orig]), Table3[(Z)])</f>
        <v>b</v>
      </c>
      <c r="I23" t="str" cm="1">
        <f t="array" ref="I23">_xlfn.XLOOKUP(TRUE, EXACT(H23, Table3[orig]), Table3[(Z)])</f>
        <v>b</v>
      </c>
      <c r="J23" t="str" cm="1">
        <f t="array" ref="J23">_xlfn.XLOOKUP(TRUE, EXACT(I23, Table3[orig]), Table3[(Z)])</f>
        <v>b</v>
      </c>
      <c r="K23" t="str" cm="1">
        <f t="array" ref="K23">_xlfn.XLOOKUP(TRUE, EXACT(Table2[[#This Row],[orig]], Table5[orig]), Table5[(T-reflection)])</f>
        <v>b'</v>
      </c>
      <c r="L23" t="str" cm="1">
        <f t="array" ref="L23">_xlfn.XLOOKUP(TRUE, EXACT(Table2[[#This Row],[orig]], Table6[orig]), Table6[(H-reflection)])</f>
        <v>b'</v>
      </c>
      <c r="M23" t="str" cm="1">
        <f t="array" ref="M23">_xlfn.XLOOKUP(TRUE, EXACT(Table2[[#This Row],[orig]], Table7[orig]), Table7[(S-reflection)])</f>
        <v>f'</v>
      </c>
    </row>
    <row r="24" spans="1:13" x14ac:dyDescent="0.2">
      <c r="A24" t="str">
        <f>intermediate!E27</f>
        <v>B</v>
      </c>
      <c r="B24" t="str" cm="1">
        <f t="array" ref="B24">_xlfn.XLOOKUP(TRUE, EXACT(Table2[[#This Row],[orig]], Table4[orig]), Table4[(X)])</f>
        <v>D</v>
      </c>
      <c r="C24" t="str" cm="1">
        <f t="array" ref="C24">_xlfn.XLOOKUP(TRUE, EXACT(B24, Table4[orig]), Table4[(X)])</f>
        <v>F</v>
      </c>
      <c r="D24" t="str" cm="1">
        <f t="array" ref="D24">_xlfn.XLOOKUP(TRUE, EXACT(C24, Table4[orig]), Table4[(X)])</f>
        <v>U</v>
      </c>
      <c r="E24" t="str" cm="1">
        <f t="array" ref="E24">_xlfn.XLOOKUP(TRUE, EXACT(A24, Table1[orig]), Table1[(Y)])</f>
        <v>R</v>
      </c>
      <c r="F24" t="str" cm="1">
        <f t="array" ref="F24">_xlfn.XLOOKUP(TRUE, EXACT(E24, Table1[orig]), Table1[(Y)])</f>
        <v>F</v>
      </c>
      <c r="G24" t="str" cm="1">
        <f t="array" ref="G24">_xlfn.XLOOKUP(TRUE, EXACT(F24, Table1[orig]), Table1[(Y)])</f>
        <v>L</v>
      </c>
      <c r="H24" t="str" cm="1">
        <f t="array" ref="H24">_xlfn.XLOOKUP(TRUE, EXACT(Table2[[#This Row],[orig]], Table3[orig]), Table3[(Z)])</f>
        <v>B</v>
      </c>
      <c r="I24" t="str" cm="1">
        <f t="array" ref="I24">_xlfn.XLOOKUP(TRUE, EXACT(H24, Table3[orig]), Table3[(Z)])</f>
        <v>B</v>
      </c>
      <c r="J24" t="str" cm="1">
        <f t="array" ref="J24">_xlfn.XLOOKUP(TRUE, EXACT(I24, Table3[orig]), Table3[(Z)])</f>
        <v>B</v>
      </c>
      <c r="K24" t="str" cm="1">
        <f t="array" ref="K24">_xlfn.XLOOKUP(TRUE, EXACT(Table2[[#This Row],[orig]], Table5[orig]), Table5[(T-reflection)])</f>
        <v>B'</v>
      </c>
      <c r="L24" t="str" cm="1">
        <f t="array" ref="L24">_xlfn.XLOOKUP(TRUE, EXACT(Table2[[#This Row],[orig]], Table6[orig]), Table6[(H-reflection)])</f>
        <v>B'</v>
      </c>
      <c r="M24" t="str" cm="1">
        <f t="array" ref="M24">_xlfn.XLOOKUP(TRUE, EXACT(Table2[[#This Row],[orig]], Table7[orig]), Table7[(S-reflection)])</f>
        <v>F'</v>
      </c>
    </row>
    <row r="25" spans="1:13" x14ac:dyDescent="0.2">
      <c r="A25" s="3" t="str">
        <f>intermediate!E28</f>
        <v>Z</v>
      </c>
      <c r="B25" s="3" t="str" cm="1">
        <f t="array" ref="B25">_xlfn.XLOOKUP(TRUE, EXACT(Table2[[#This Row],[orig]], Table4[orig]), Table4[(X)])</f>
        <v>Y</v>
      </c>
      <c r="C25" s="3" t="str" cm="1">
        <f t="array" ref="C25">_xlfn.XLOOKUP(TRUE, EXACT(B25, Table4[orig]), Table4[(X)])</f>
        <v>Z'</v>
      </c>
      <c r="D25" s="3" t="str" cm="1">
        <f t="array" ref="D25">_xlfn.XLOOKUP(TRUE, EXACT(C25, Table4[orig]), Table4[(X)])</f>
        <v>Y'</v>
      </c>
      <c r="E25" s="3" t="str" cm="1">
        <f t="array" ref="E25">_xlfn.XLOOKUP(TRUE, EXACT(A25, Table1[orig]), Table1[(Y)])</f>
        <v>X'</v>
      </c>
      <c r="F25" s="3" t="str" cm="1">
        <f t="array" ref="F25">_xlfn.XLOOKUP(TRUE, EXACT(E25, Table1[orig]), Table1[(Y)])</f>
        <v>Z'</v>
      </c>
      <c r="G25" s="3" t="str" cm="1">
        <f t="array" ref="G25">_xlfn.XLOOKUP(TRUE, EXACT(F25, Table1[orig]), Table1[(Y)])</f>
        <v>X</v>
      </c>
      <c r="H25" s="3" t="str" cm="1">
        <f t="array" ref="H25">_xlfn.XLOOKUP(TRUE, EXACT(Table2[[#This Row],[orig]], Table3[orig]), Table3[(Z)])</f>
        <v>Z</v>
      </c>
      <c r="I25" s="3" t="str" cm="1">
        <f t="array" ref="I25">_xlfn.XLOOKUP(TRUE, EXACT(H25, Table3[orig]), Table3[(Z)])</f>
        <v>Z</v>
      </c>
      <c r="J25" s="3" t="str" cm="1">
        <f t="array" ref="J25">_xlfn.XLOOKUP(TRUE, EXACT(I25, Table3[orig]), Table3[(Z)])</f>
        <v>Z</v>
      </c>
      <c r="K25" s="3" t="str" cm="1">
        <f t="array" ref="K25">_xlfn.XLOOKUP(TRUE, EXACT(Table2[[#This Row],[orig]], Table5[orig]), Table5[(T-reflection)])</f>
        <v>Z'</v>
      </c>
      <c r="L25" s="3" t="str" cm="1">
        <f t="array" ref="L25">_xlfn.XLOOKUP(TRUE, EXACT(Table2[[#This Row],[orig]], Table6[orig]), Table6[(H-reflection)])</f>
        <v>Z'</v>
      </c>
      <c r="M25" s="3" t="str" cm="1">
        <f t="array" ref="M25">_xlfn.XLOOKUP(TRUE, EXACT(Table2[[#This Row],[orig]], Table7[orig]), Table7[(S-reflection)])</f>
        <v>Z</v>
      </c>
    </row>
    <row r="26" spans="1:13" x14ac:dyDescent="0.2">
      <c r="A26" t="str">
        <f>intermediate!E29</f>
        <v>F'</v>
      </c>
      <c r="B26" t="str" cm="1">
        <f t="array" ref="B26">_xlfn.XLOOKUP(TRUE, EXACT(Table2[[#This Row],[orig]], Table4[orig]), Table4[(X)])</f>
        <v>U'</v>
      </c>
      <c r="C26" t="str" cm="1">
        <f t="array" ref="C26">_xlfn.XLOOKUP(TRUE, EXACT(B26, Table4[orig]), Table4[(X)])</f>
        <v>B'</v>
      </c>
      <c r="D26" t="str" cm="1">
        <f t="array" ref="D26">_xlfn.XLOOKUP(TRUE, EXACT(C26, Table4[orig]), Table4[(X)])</f>
        <v>D'</v>
      </c>
      <c r="E26" t="str" cm="1">
        <f t="array" ref="E26">_xlfn.XLOOKUP(TRUE, EXACT(A26, Table1[orig]), Table1[(Y)])</f>
        <v>L'</v>
      </c>
      <c r="F26" t="str" cm="1">
        <f t="array" ref="F26">_xlfn.XLOOKUP(TRUE, EXACT(E26, Table1[orig]), Table1[(Y)])</f>
        <v>B'</v>
      </c>
      <c r="G26" t="str" cm="1">
        <f t="array" ref="G26">_xlfn.XLOOKUP(TRUE, EXACT(F26, Table1[orig]), Table1[(Y)])</f>
        <v>R'</v>
      </c>
      <c r="H26" t="str" cm="1">
        <f t="array" ref="H26">_xlfn.XLOOKUP(TRUE, EXACT(Table2[[#This Row],[orig]], Table3[orig]), Table3[(Z)])</f>
        <v>F'</v>
      </c>
      <c r="I26" t="str" cm="1">
        <f t="array" ref="I26">_xlfn.XLOOKUP(TRUE, EXACT(H26, Table3[orig]), Table3[(Z)])</f>
        <v>F'</v>
      </c>
      <c r="J26" t="str" cm="1">
        <f t="array" ref="J26">_xlfn.XLOOKUP(TRUE, EXACT(I26, Table3[orig]), Table3[(Z)])</f>
        <v>F'</v>
      </c>
      <c r="K26" t="str" cm="1">
        <f t="array" ref="K26">_xlfn.XLOOKUP(TRUE, EXACT(Table2[[#This Row],[orig]], Table5[orig]), Table5[(T-reflection)])</f>
        <v>F</v>
      </c>
      <c r="L26" t="str" cm="1">
        <f t="array" ref="L26">_xlfn.XLOOKUP(TRUE, EXACT(Table2[[#This Row],[orig]], Table6[orig]), Table6[(H-reflection)])</f>
        <v>F</v>
      </c>
      <c r="M26" t="str" cm="1">
        <f t="array" ref="M26">_xlfn.XLOOKUP(TRUE, EXACT(Table2[[#This Row],[orig]], Table7[orig]), Table7[(S-reflection)])</f>
        <v>B</v>
      </c>
    </row>
    <row r="27" spans="1:13" x14ac:dyDescent="0.2">
      <c r="A27" t="str">
        <f>intermediate!E30</f>
        <v>f'</v>
      </c>
      <c r="B27" t="str" cm="1">
        <f t="array" ref="B27">_xlfn.XLOOKUP(TRUE, EXACT(Table2[[#This Row],[orig]], Table4[orig]), Table4[(X)])</f>
        <v>u'</v>
      </c>
      <c r="C27" t="str" cm="1">
        <f t="array" ref="C27">_xlfn.XLOOKUP(TRUE, EXACT(B27, Table4[orig]), Table4[(X)])</f>
        <v>b'</v>
      </c>
      <c r="D27" t="str" cm="1">
        <f t="array" ref="D27">_xlfn.XLOOKUP(TRUE, EXACT(C27, Table4[orig]), Table4[(X)])</f>
        <v>d'</v>
      </c>
      <c r="E27" t="str" cm="1">
        <f t="array" ref="E27">_xlfn.XLOOKUP(TRUE, EXACT(A27, Table1[orig]), Table1[(Y)])</f>
        <v>l'</v>
      </c>
      <c r="F27" t="str" cm="1">
        <f t="array" ref="F27">_xlfn.XLOOKUP(TRUE, EXACT(E27, Table1[orig]), Table1[(Y)])</f>
        <v>b'</v>
      </c>
      <c r="G27" t="str" cm="1">
        <f t="array" ref="G27">_xlfn.XLOOKUP(TRUE, EXACT(F27, Table1[orig]), Table1[(Y)])</f>
        <v>r'</v>
      </c>
      <c r="H27" t="str" cm="1">
        <f t="array" ref="H27">_xlfn.XLOOKUP(TRUE, EXACT(Table2[[#This Row],[orig]], Table3[orig]), Table3[(Z)])</f>
        <v>f'</v>
      </c>
      <c r="I27" t="str" cm="1">
        <f t="array" ref="I27">_xlfn.XLOOKUP(TRUE, EXACT(H27, Table3[orig]), Table3[(Z)])</f>
        <v>f'</v>
      </c>
      <c r="J27" t="str" cm="1">
        <f t="array" ref="J27">_xlfn.XLOOKUP(TRUE, EXACT(I27, Table3[orig]), Table3[(Z)])</f>
        <v>f'</v>
      </c>
      <c r="K27" t="str" cm="1">
        <f t="array" ref="K27">_xlfn.XLOOKUP(TRUE, EXACT(Table2[[#This Row],[orig]], Table5[orig]), Table5[(T-reflection)])</f>
        <v>f</v>
      </c>
      <c r="L27" t="str" cm="1">
        <f t="array" ref="L27">_xlfn.XLOOKUP(TRUE, EXACT(Table2[[#This Row],[orig]], Table6[orig]), Table6[(H-reflection)])</f>
        <v>f</v>
      </c>
      <c r="M27" t="str" cm="1">
        <f t="array" ref="M27">_xlfn.XLOOKUP(TRUE, EXACT(Table2[[#This Row],[orig]], Table7[orig]), Table7[(S-reflection)])</f>
        <v>b</v>
      </c>
    </row>
    <row r="28" spans="1:13" x14ac:dyDescent="0.2">
      <c r="A28" t="str">
        <f>intermediate!E31</f>
        <v>S'</v>
      </c>
      <c r="B28" t="str" cm="1">
        <f t="array" ref="B28">_xlfn.XLOOKUP(TRUE, EXACT(Table2[[#This Row],[orig]], Table4[orig]), Table4[(X)])</f>
        <v>H'</v>
      </c>
      <c r="C28" t="str" cm="1">
        <f t="array" ref="C28">_xlfn.XLOOKUP(TRUE, EXACT(B28, Table4[orig]), Table4[(X)])</f>
        <v>S</v>
      </c>
      <c r="D28" t="str" cm="1">
        <f t="array" ref="D28">_xlfn.XLOOKUP(TRUE, EXACT(C28, Table4[orig]), Table4[(X)])</f>
        <v>H</v>
      </c>
      <c r="E28" t="str" cm="1">
        <f t="array" ref="E28">_xlfn.XLOOKUP(TRUE, EXACT(A28, Table1[orig]), Table1[(Y)])</f>
        <v>T</v>
      </c>
      <c r="F28" t="str" cm="1">
        <f t="array" ref="F28">_xlfn.XLOOKUP(TRUE, EXACT(E28, Table1[orig]), Table1[(Y)])</f>
        <v>S</v>
      </c>
      <c r="G28" t="str" cm="1">
        <f t="array" ref="G28">_xlfn.XLOOKUP(TRUE, EXACT(F28, Table1[orig]), Table1[(Y)])</f>
        <v>T'</v>
      </c>
      <c r="H28" t="str" cm="1">
        <f t="array" ref="H28">_xlfn.XLOOKUP(TRUE, EXACT(Table2[[#This Row],[orig]], Table3[orig]), Table3[(Z)])</f>
        <v>S'</v>
      </c>
      <c r="I28" t="str" cm="1">
        <f t="array" ref="I28">_xlfn.XLOOKUP(TRUE, EXACT(H28, Table3[orig]), Table3[(Z)])</f>
        <v>S'</v>
      </c>
      <c r="J28" t="str" cm="1">
        <f t="array" ref="J28">_xlfn.XLOOKUP(TRUE, EXACT(I28, Table3[orig]), Table3[(Z)])</f>
        <v>S'</v>
      </c>
      <c r="K28" t="str" cm="1">
        <f t="array" ref="K28">_xlfn.XLOOKUP(TRUE, EXACT(Table2[[#This Row],[orig]], Table5[orig]), Table5[(T-reflection)])</f>
        <v>S</v>
      </c>
      <c r="L28" t="str" cm="1">
        <f t="array" ref="L28">_xlfn.XLOOKUP(TRUE, EXACT(Table2[[#This Row],[orig]], Table6[orig]), Table6[(H-reflection)])</f>
        <v>S</v>
      </c>
      <c r="M28" t="str" cm="1">
        <f t="array" ref="M28">_xlfn.XLOOKUP(TRUE, EXACT(Table2[[#This Row],[orig]], Table7[orig]), Table7[(S-reflection)])</f>
        <v>S'</v>
      </c>
    </row>
    <row r="29" spans="1:13" x14ac:dyDescent="0.2">
      <c r="A29" t="str">
        <f>intermediate!E32</f>
        <v>b'</v>
      </c>
      <c r="B29" t="str" cm="1">
        <f t="array" ref="B29">_xlfn.XLOOKUP(TRUE, EXACT(Table2[[#This Row],[orig]], Table4[orig]), Table4[(X)])</f>
        <v>d'</v>
      </c>
      <c r="C29" t="str" cm="1">
        <f t="array" ref="C29">_xlfn.XLOOKUP(TRUE, EXACT(B29, Table4[orig]), Table4[(X)])</f>
        <v>f'</v>
      </c>
      <c r="D29" t="str" cm="1">
        <f t="array" ref="D29">_xlfn.XLOOKUP(TRUE, EXACT(C29, Table4[orig]), Table4[(X)])</f>
        <v>u'</v>
      </c>
      <c r="E29" t="str" cm="1">
        <f t="array" ref="E29">_xlfn.XLOOKUP(TRUE, EXACT(A29, Table1[orig]), Table1[(Y)])</f>
        <v>r'</v>
      </c>
      <c r="F29" t="str" cm="1">
        <f t="array" ref="F29">_xlfn.XLOOKUP(TRUE, EXACT(E29, Table1[orig]), Table1[(Y)])</f>
        <v>f'</v>
      </c>
      <c r="G29" t="str" cm="1">
        <f t="array" ref="G29">_xlfn.XLOOKUP(TRUE, EXACT(F29, Table1[orig]), Table1[(Y)])</f>
        <v>l'</v>
      </c>
      <c r="H29" t="str" cm="1">
        <f t="array" ref="H29">_xlfn.XLOOKUP(TRUE, EXACT(Table2[[#This Row],[orig]], Table3[orig]), Table3[(Z)])</f>
        <v>b'</v>
      </c>
      <c r="I29" t="str" cm="1">
        <f t="array" ref="I29">_xlfn.XLOOKUP(TRUE, EXACT(H29, Table3[orig]), Table3[(Z)])</f>
        <v>b'</v>
      </c>
      <c r="J29" t="str" cm="1">
        <f t="array" ref="J29">_xlfn.XLOOKUP(TRUE, EXACT(I29, Table3[orig]), Table3[(Z)])</f>
        <v>b'</v>
      </c>
      <c r="K29" t="str" cm="1">
        <f t="array" ref="K29">_xlfn.XLOOKUP(TRUE, EXACT(Table2[[#This Row],[orig]], Table5[orig]), Table5[(T-reflection)])</f>
        <v>b</v>
      </c>
      <c r="L29" t="str" cm="1">
        <f t="array" ref="L29">_xlfn.XLOOKUP(TRUE, EXACT(Table2[[#This Row],[orig]], Table6[orig]), Table6[(H-reflection)])</f>
        <v>b</v>
      </c>
      <c r="M29" t="str" cm="1">
        <f t="array" ref="M29">_xlfn.XLOOKUP(TRUE, EXACT(Table2[[#This Row],[orig]], Table7[orig]), Table7[(S-reflection)])</f>
        <v>f</v>
      </c>
    </row>
    <row r="30" spans="1:13" x14ac:dyDescent="0.2">
      <c r="A30" t="str">
        <f>intermediate!E33</f>
        <v>B'</v>
      </c>
      <c r="B30" t="str" cm="1">
        <f t="array" ref="B30">_xlfn.XLOOKUP(TRUE, EXACT(Table2[[#This Row],[orig]], Table4[orig]), Table4[(X)])</f>
        <v>D'</v>
      </c>
      <c r="C30" t="str" cm="1">
        <f t="array" ref="C30">_xlfn.XLOOKUP(TRUE, EXACT(B30, Table4[orig]), Table4[(X)])</f>
        <v>F'</v>
      </c>
      <c r="D30" t="str" cm="1">
        <f t="array" ref="D30">_xlfn.XLOOKUP(TRUE, EXACT(C30, Table4[orig]), Table4[(X)])</f>
        <v>U'</v>
      </c>
      <c r="E30" t="str" cm="1">
        <f t="array" ref="E30">_xlfn.XLOOKUP(TRUE, EXACT(A30, Table1[orig]), Table1[(Y)])</f>
        <v>R'</v>
      </c>
      <c r="F30" t="str" cm="1">
        <f t="array" ref="F30">_xlfn.XLOOKUP(TRUE, EXACT(E30, Table1[orig]), Table1[(Y)])</f>
        <v>F'</v>
      </c>
      <c r="G30" t="str" cm="1">
        <f t="array" ref="G30">_xlfn.XLOOKUP(TRUE, EXACT(F30, Table1[orig]), Table1[(Y)])</f>
        <v>L'</v>
      </c>
      <c r="H30" t="str" cm="1">
        <f t="array" ref="H30">_xlfn.XLOOKUP(TRUE, EXACT(Table2[[#This Row],[orig]], Table3[orig]), Table3[(Z)])</f>
        <v>B'</v>
      </c>
      <c r="I30" t="str" cm="1">
        <f t="array" ref="I30">_xlfn.XLOOKUP(TRUE, EXACT(H30, Table3[orig]), Table3[(Z)])</f>
        <v>B'</v>
      </c>
      <c r="J30" t="str" cm="1">
        <f t="array" ref="J30">_xlfn.XLOOKUP(TRUE, EXACT(I30, Table3[orig]), Table3[(Z)])</f>
        <v>B'</v>
      </c>
      <c r="K30" t="str" cm="1">
        <f t="array" ref="K30">_xlfn.XLOOKUP(TRUE, EXACT(Table2[[#This Row],[orig]], Table5[orig]), Table5[(T-reflection)])</f>
        <v>B</v>
      </c>
      <c r="L30" t="str" cm="1">
        <f t="array" ref="L30">_xlfn.XLOOKUP(TRUE, EXACT(Table2[[#This Row],[orig]], Table6[orig]), Table6[(H-reflection)])</f>
        <v>B</v>
      </c>
      <c r="M30" t="str" cm="1">
        <f t="array" ref="M30">_xlfn.XLOOKUP(TRUE, EXACT(Table2[[#This Row],[orig]], Table7[orig]), Table7[(S-reflection)])</f>
        <v>F</v>
      </c>
    </row>
    <row r="31" spans="1:13" x14ac:dyDescent="0.2">
      <c r="A31" s="3" t="str">
        <f>intermediate!E34</f>
        <v>Z'</v>
      </c>
      <c r="B31" s="3" t="str" cm="1">
        <f t="array" ref="B31">_xlfn.XLOOKUP(TRUE, EXACT(Table2[[#This Row],[orig]], Table4[orig]), Table4[(X)])</f>
        <v>Y'</v>
      </c>
      <c r="C31" s="3" t="str" cm="1">
        <f t="array" ref="C31">_xlfn.XLOOKUP(TRUE, EXACT(B31, Table4[orig]), Table4[(X)])</f>
        <v>Z</v>
      </c>
      <c r="D31" s="3" t="str" cm="1">
        <f t="array" ref="D31">_xlfn.XLOOKUP(TRUE, EXACT(C31, Table4[orig]), Table4[(X)])</f>
        <v>Y</v>
      </c>
      <c r="E31" s="3" t="str" cm="1">
        <f t="array" ref="E31">_xlfn.XLOOKUP(TRUE, EXACT(A31, Table1[orig]), Table1[(Y)])</f>
        <v>X</v>
      </c>
      <c r="F31" s="3" t="str" cm="1">
        <f t="array" ref="F31">_xlfn.XLOOKUP(TRUE, EXACT(E31, Table1[orig]), Table1[(Y)])</f>
        <v>Z</v>
      </c>
      <c r="G31" s="3" t="str" cm="1">
        <f t="array" ref="G31">_xlfn.XLOOKUP(TRUE, EXACT(F31, Table1[orig]), Table1[(Y)])</f>
        <v>X'</v>
      </c>
      <c r="H31" s="3" t="str" cm="1">
        <f t="array" ref="H31">_xlfn.XLOOKUP(TRUE, EXACT(Table2[[#This Row],[orig]], Table3[orig]), Table3[(Z)])</f>
        <v>Z'</v>
      </c>
      <c r="I31" s="3" t="str" cm="1">
        <f t="array" ref="I31">_xlfn.XLOOKUP(TRUE, EXACT(H31, Table3[orig]), Table3[(Z)])</f>
        <v>Z'</v>
      </c>
      <c r="J31" s="3" t="str" cm="1">
        <f t="array" ref="J31">_xlfn.XLOOKUP(TRUE, EXACT(I31, Table3[orig]), Table3[(Z)])</f>
        <v>Z'</v>
      </c>
      <c r="K31" s="3" t="str" cm="1">
        <f t="array" ref="K31">_xlfn.XLOOKUP(TRUE, EXACT(Table2[[#This Row],[orig]], Table5[orig]), Table5[(T-reflection)])</f>
        <v>Z</v>
      </c>
      <c r="L31" s="3" t="str" cm="1">
        <f t="array" ref="L31">_xlfn.XLOOKUP(TRUE, EXACT(Table2[[#This Row],[orig]], Table6[orig]), Table6[(H-reflection)])</f>
        <v>Z</v>
      </c>
      <c r="M31" s="3" t="str" cm="1">
        <f t="array" ref="M31">_xlfn.XLOOKUP(TRUE, EXACT(Table2[[#This Row],[orig]], Table7[orig]), Table7[(S-reflection)])</f>
        <v>Z'</v>
      </c>
    </row>
    <row r="32" spans="1:13" x14ac:dyDescent="0.2">
      <c r="A32" t="str">
        <f>intermediate!E35</f>
        <v>F2</v>
      </c>
      <c r="B32" t="str" cm="1">
        <f t="array" ref="B32">_xlfn.XLOOKUP(TRUE, EXACT(Table2[[#This Row],[orig]], Table4[orig]), Table4[(X)])</f>
        <v>U2</v>
      </c>
      <c r="C32" t="str" cm="1">
        <f t="array" ref="C32">_xlfn.XLOOKUP(TRUE, EXACT(B32, Table4[orig]), Table4[(X)])</f>
        <v>B2</v>
      </c>
      <c r="D32" t="str" cm="1">
        <f t="array" ref="D32">_xlfn.XLOOKUP(TRUE, EXACT(C32, Table4[orig]), Table4[(X)])</f>
        <v>D2</v>
      </c>
      <c r="E32" t="str" cm="1">
        <f t="array" ref="E32">_xlfn.XLOOKUP(TRUE, EXACT(A32, Table1[orig]), Table1[(Y)])</f>
        <v>L2</v>
      </c>
      <c r="F32" t="str" cm="1">
        <f t="array" ref="F32">_xlfn.XLOOKUP(TRUE, EXACT(E32, Table1[orig]), Table1[(Y)])</f>
        <v>B2</v>
      </c>
      <c r="G32" t="str" cm="1">
        <f t="array" ref="G32">_xlfn.XLOOKUP(TRUE, EXACT(F32, Table1[orig]), Table1[(Y)])</f>
        <v>R2</v>
      </c>
      <c r="H32" t="str" cm="1">
        <f t="array" ref="H32">_xlfn.XLOOKUP(TRUE, EXACT(Table2[[#This Row],[orig]], Table3[orig]), Table3[(Z)])</f>
        <v>F2</v>
      </c>
      <c r="I32" t="str" cm="1">
        <f t="array" ref="I32">_xlfn.XLOOKUP(TRUE, EXACT(H32, Table3[orig]), Table3[(Z)])</f>
        <v>F2</v>
      </c>
      <c r="J32" t="str" cm="1">
        <f t="array" ref="J32">_xlfn.XLOOKUP(TRUE, EXACT(I32, Table3[orig]), Table3[(Z)])</f>
        <v>F2</v>
      </c>
      <c r="K32" t="str" cm="1">
        <f t="array" ref="K32">_xlfn.XLOOKUP(TRUE, EXACT(Table2[[#This Row],[orig]], Table5[orig]), Table5[(T-reflection)])</f>
        <v>F2</v>
      </c>
      <c r="L32" t="str" cm="1">
        <f t="array" ref="L32">_xlfn.XLOOKUP(TRUE, EXACT(Table2[[#This Row],[orig]], Table6[orig]), Table6[(H-reflection)])</f>
        <v>F2</v>
      </c>
      <c r="M32" t="str" cm="1">
        <f t="array" ref="M32">_xlfn.XLOOKUP(TRUE, EXACT(Table2[[#This Row],[orig]], Table7[orig]), Table7[(S-reflection)])</f>
        <v>B2</v>
      </c>
    </row>
    <row r="33" spans="1:13" x14ac:dyDescent="0.2">
      <c r="A33" t="str">
        <f>intermediate!E36</f>
        <v>f2</v>
      </c>
      <c r="B33" t="str" cm="1">
        <f t="array" ref="B33">_xlfn.XLOOKUP(TRUE, EXACT(Table2[[#This Row],[orig]], Table4[orig]), Table4[(X)])</f>
        <v>u2</v>
      </c>
      <c r="C33" t="str" cm="1">
        <f t="array" ref="C33">_xlfn.XLOOKUP(TRUE, EXACT(B33, Table4[orig]), Table4[(X)])</f>
        <v>b2</v>
      </c>
      <c r="D33" t="str" cm="1">
        <f t="array" ref="D33">_xlfn.XLOOKUP(TRUE, EXACT(C33, Table4[orig]), Table4[(X)])</f>
        <v>d2</v>
      </c>
      <c r="E33" t="str" cm="1">
        <f t="array" ref="E33">_xlfn.XLOOKUP(TRUE, EXACT(A33, Table1[orig]), Table1[(Y)])</f>
        <v>l2</v>
      </c>
      <c r="F33" t="str" cm="1">
        <f t="array" ref="F33">_xlfn.XLOOKUP(TRUE, EXACT(E33, Table1[orig]), Table1[(Y)])</f>
        <v>b2</v>
      </c>
      <c r="G33" t="str" cm="1">
        <f t="array" ref="G33">_xlfn.XLOOKUP(TRUE, EXACT(F33, Table1[orig]), Table1[(Y)])</f>
        <v>r2</v>
      </c>
      <c r="H33" t="str" cm="1">
        <f t="array" ref="H33">_xlfn.XLOOKUP(TRUE, EXACT(Table2[[#This Row],[orig]], Table3[orig]), Table3[(Z)])</f>
        <v>f2</v>
      </c>
      <c r="I33" t="str" cm="1">
        <f t="array" ref="I33">_xlfn.XLOOKUP(TRUE, EXACT(H33, Table3[orig]), Table3[(Z)])</f>
        <v>f2</v>
      </c>
      <c r="J33" t="str" cm="1">
        <f t="array" ref="J33">_xlfn.XLOOKUP(TRUE, EXACT(I33, Table3[orig]), Table3[(Z)])</f>
        <v>f2</v>
      </c>
      <c r="K33" t="str" cm="1">
        <f t="array" ref="K33">_xlfn.XLOOKUP(TRUE, EXACT(Table2[[#This Row],[orig]], Table5[orig]), Table5[(T-reflection)])</f>
        <v>f2</v>
      </c>
      <c r="L33" t="str" cm="1">
        <f t="array" ref="L33">_xlfn.XLOOKUP(TRUE, EXACT(Table2[[#This Row],[orig]], Table6[orig]), Table6[(H-reflection)])</f>
        <v>f2</v>
      </c>
      <c r="M33" t="str" cm="1">
        <f t="array" ref="M33">_xlfn.XLOOKUP(TRUE, EXACT(Table2[[#This Row],[orig]], Table7[orig]), Table7[(S-reflection)])</f>
        <v>b2</v>
      </c>
    </row>
    <row r="34" spans="1:13" x14ac:dyDescent="0.2">
      <c r="A34" t="str">
        <f>intermediate!E37</f>
        <v>S2</v>
      </c>
      <c r="B34" t="str" cm="1">
        <f t="array" ref="B34">_xlfn.XLOOKUP(TRUE, EXACT(Table2[[#This Row],[orig]], Table4[orig]), Table4[(X)])</f>
        <v>H2</v>
      </c>
      <c r="C34" t="str" cm="1">
        <f t="array" ref="C34">_xlfn.XLOOKUP(TRUE, EXACT(B34, Table4[orig]), Table4[(X)])</f>
        <v>S2</v>
      </c>
      <c r="D34" t="str" cm="1">
        <f t="array" ref="D34">_xlfn.XLOOKUP(TRUE, EXACT(C34, Table4[orig]), Table4[(X)])</f>
        <v>H2</v>
      </c>
      <c r="E34" t="str" cm="1">
        <f t="array" ref="E34">_xlfn.XLOOKUP(TRUE, EXACT(A34, Table1[orig]), Table1[(Y)])</f>
        <v>T2</v>
      </c>
      <c r="F34" t="str" cm="1">
        <f t="array" ref="F34">_xlfn.XLOOKUP(TRUE, EXACT(E34, Table1[orig]), Table1[(Y)])</f>
        <v>S2</v>
      </c>
      <c r="G34" t="str" cm="1">
        <f t="array" ref="G34">_xlfn.XLOOKUP(TRUE, EXACT(F34, Table1[orig]), Table1[(Y)])</f>
        <v>T2</v>
      </c>
      <c r="H34" t="str" cm="1">
        <f t="array" ref="H34">_xlfn.XLOOKUP(TRUE, EXACT(Table2[[#This Row],[orig]], Table3[orig]), Table3[(Z)])</f>
        <v>S2</v>
      </c>
      <c r="I34" t="str" cm="1">
        <f t="array" ref="I34">_xlfn.XLOOKUP(TRUE, EXACT(H34, Table3[orig]), Table3[(Z)])</f>
        <v>S2</v>
      </c>
      <c r="J34" t="str" cm="1">
        <f t="array" ref="J34">_xlfn.XLOOKUP(TRUE, EXACT(I34, Table3[orig]), Table3[(Z)])</f>
        <v>S2</v>
      </c>
      <c r="K34" t="str" cm="1">
        <f t="array" ref="K34">_xlfn.XLOOKUP(TRUE, EXACT(Table2[[#This Row],[orig]], Table5[orig]), Table5[(T-reflection)])</f>
        <v>S2</v>
      </c>
      <c r="L34" t="str" cm="1">
        <f t="array" ref="L34">_xlfn.XLOOKUP(TRUE, EXACT(Table2[[#This Row],[orig]], Table6[orig]), Table6[(H-reflection)])</f>
        <v>S2</v>
      </c>
      <c r="M34" t="str" cm="1">
        <f t="array" ref="M34">_xlfn.XLOOKUP(TRUE, EXACT(Table2[[#This Row],[orig]], Table7[orig]), Table7[(S-reflection)])</f>
        <v>S2</v>
      </c>
    </row>
    <row r="35" spans="1:13" x14ac:dyDescent="0.2">
      <c r="A35" t="str">
        <f>intermediate!E38</f>
        <v>b2</v>
      </c>
      <c r="B35" t="str" cm="1">
        <f t="array" ref="B35">_xlfn.XLOOKUP(TRUE, EXACT(Table2[[#This Row],[orig]], Table4[orig]), Table4[(X)])</f>
        <v>d2</v>
      </c>
      <c r="C35" t="str" cm="1">
        <f t="array" ref="C35">_xlfn.XLOOKUP(TRUE, EXACT(B35, Table4[orig]), Table4[(X)])</f>
        <v>f2</v>
      </c>
      <c r="D35" t="str" cm="1">
        <f t="array" ref="D35">_xlfn.XLOOKUP(TRUE, EXACT(C35, Table4[orig]), Table4[(X)])</f>
        <v>u2</v>
      </c>
      <c r="E35" t="str" cm="1">
        <f t="array" ref="E35">_xlfn.XLOOKUP(TRUE, EXACT(A35, Table1[orig]), Table1[(Y)])</f>
        <v>r2</v>
      </c>
      <c r="F35" t="str" cm="1">
        <f t="array" ref="F35">_xlfn.XLOOKUP(TRUE, EXACT(E35, Table1[orig]), Table1[(Y)])</f>
        <v>f2</v>
      </c>
      <c r="G35" t="str" cm="1">
        <f t="array" ref="G35">_xlfn.XLOOKUP(TRUE, EXACT(F35, Table1[orig]), Table1[(Y)])</f>
        <v>l2</v>
      </c>
      <c r="H35" t="str" cm="1">
        <f t="array" ref="H35">_xlfn.XLOOKUP(TRUE, EXACT(Table2[[#This Row],[orig]], Table3[orig]), Table3[(Z)])</f>
        <v>b2</v>
      </c>
      <c r="I35" t="str" cm="1">
        <f t="array" ref="I35">_xlfn.XLOOKUP(TRUE, EXACT(H35, Table3[orig]), Table3[(Z)])</f>
        <v>b2</v>
      </c>
      <c r="J35" t="str" cm="1">
        <f t="array" ref="J35">_xlfn.XLOOKUP(TRUE, EXACT(I35, Table3[orig]), Table3[(Z)])</f>
        <v>b2</v>
      </c>
      <c r="K35" t="str" cm="1">
        <f t="array" ref="K35">_xlfn.XLOOKUP(TRUE, EXACT(Table2[[#This Row],[orig]], Table5[orig]), Table5[(T-reflection)])</f>
        <v>b2</v>
      </c>
      <c r="L35" t="str" cm="1">
        <f t="array" ref="L35">_xlfn.XLOOKUP(TRUE, EXACT(Table2[[#This Row],[orig]], Table6[orig]), Table6[(H-reflection)])</f>
        <v>b2</v>
      </c>
      <c r="M35" t="str" cm="1">
        <f t="array" ref="M35">_xlfn.XLOOKUP(TRUE, EXACT(Table2[[#This Row],[orig]], Table7[orig]), Table7[(S-reflection)])</f>
        <v>f2</v>
      </c>
    </row>
    <row r="36" spans="1:13" x14ac:dyDescent="0.2">
      <c r="A36" t="str">
        <f>intermediate!E39</f>
        <v>B2</v>
      </c>
      <c r="B36" t="str" cm="1">
        <f t="array" ref="B36">_xlfn.XLOOKUP(TRUE, EXACT(Table2[[#This Row],[orig]], Table4[orig]), Table4[(X)])</f>
        <v>D2</v>
      </c>
      <c r="C36" t="str" cm="1">
        <f t="array" ref="C36">_xlfn.XLOOKUP(TRUE, EXACT(B36, Table4[orig]), Table4[(X)])</f>
        <v>F2</v>
      </c>
      <c r="D36" t="str" cm="1">
        <f t="array" ref="D36">_xlfn.XLOOKUP(TRUE, EXACT(C36, Table4[orig]), Table4[(X)])</f>
        <v>U2</v>
      </c>
      <c r="E36" t="str" cm="1">
        <f t="array" ref="E36">_xlfn.XLOOKUP(TRUE, EXACT(A36, Table1[orig]), Table1[(Y)])</f>
        <v>R2</v>
      </c>
      <c r="F36" t="str" cm="1">
        <f t="array" ref="F36">_xlfn.XLOOKUP(TRUE, EXACT(E36, Table1[orig]), Table1[(Y)])</f>
        <v>F2</v>
      </c>
      <c r="G36" t="str" cm="1">
        <f t="array" ref="G36">_xlfn.XLOOKUP(TRUE, EXACT(F36, Table1[orig]), Table1[(Y)])</f>
        <v>L2</v>
      </c>
      <c r="H36" t="str" cm="1">
        <f t="array" ref="H36">_xlfn.XLOOKUP(TRUE, EXACT(Table2[[#This Row],[orig]], Table3[orig]), Table3[(Z)])</f>
        <v>B2</v>
      </c>
      <c r="I36" t="str" cm="1">
        <f t="array" ref="I36">_xlfn.XLOOKUP(TRUE, EXACT(H36, Table3[orig]), Table3[(Z)])</f>
        <v>B2</v>
      </c>
      <c r="J36" t="str" cm="1">
        <f t="array" ref="J36">_xlfn.XLOOKUP(TRUE, EXACT(I36, Table3[orig]), Table3[(Z)])</f>
        <v>B2</v>
      </c>
      <c r="K36" t="str" cm="1">
        <f t="array" ref="K36">_xlfn.XLOOKUP(TRUE, EXACT(Table2[[#This Row],[orig]], Table5[orig]), Table5[(T-reflection)])</f>
        <v>B2</v>
      </c>
      <c r="L36" t="str" cm="1">
        <f t="array" ref="L36">_xlfn.XLOOKUP(TRUE, EXACT(Table2[[#This Row],[orig]], Table6[orig]), Table6[(H-reflection)])</f>
        <v>B2</v>
      </c>
      <c r="M36" t="str" cm="1">
        <f t="array" ref="M36">_xlfn.XLOOKUP(TRUE, EXACT(Table2[[#This Row],[orig]], Table7[orig]), Table7[(S-reflection)])</f>
        <v>F2</v>
      </c>
    </row>
    <row r="37" spans="1:13" x14ac:dyDescent="0.2">
      <c r="A37" s="3" t="str">
        <f>intermediate!E40</f>
        <v>Z2</v>
      </c>
      <c r="B37" s="3" t="str" cm="1">
        <f t="array" ref="B37">_xlfn.XLOOKUP(TRUE, EXACT(Table2[[#This Row],[orig]], Table4[orig]), Table4[(X)])</f>
        <v>Y2</v>
      </c>
      <c r="C37" s="3" t="str" cm="1">
        <f t="array" ref="C37">_xlfn.XLOOKUP(TRUE, EXACT(B37, Table4[orig]), Table4[(X)])</f>
        <v>Z2</v>
      </c>
      <c r="D37" s="3" t="str" cm="1">
        <f t="array" ref="D37">_xlfn.XLOOKUP(TRUE, EXACT(C37, Table4[orig]), Table4[(X)])</f>
        <v>Y2</v>
      </c>
      <c r="E37" s="3" t="str" cm="1">
        <f t="array" ref="E37">_xlfn.XLOOKUP(TRUE, EXACT(A37, Table1[orig]), Table1[(Y)])</f>
        <v>X2</v>
      </c>
      <c r="F37" s="3" t="str" cm="1">
        <f t="array" ref="F37">_xlfn.XLOOKUP(TRUE, EXACT(E37, Table1[orig]), Table1[(Y)])</f>
        <v>Z2</v>
      </c>
      <c r="G37" s="3" t="str" cm="1">
        <f t="array" ref="G37">_xlfn.XLOOKUP(TRUE, EXACT(F37, Table1[orig]), Table1[(Y)])</f>
        <v>X2</v>
      </c>
      <c r="H37" s="3" t="str" cm="1">
        <f t="array" ref="H37">_xlfn.XLOOKUP(TRUE, EXACT(Table2[[#This Row],[orig]], Table3[orig]), Table3[(Z)])</f>
        <v>Z2</v>
      </c>
      <c r="I37" s="3" t="str" cm="1">
        <f t="array" ref="I37">_xlfn.XLOOKUP(TRUE, EXACT(H37, Table3[orig]), Table3[(Z)])</f>
        <v>Z2</v>
      </c>
      <c r="J37" s="3" t="str" cm="1">
        <f t="array" ref="J37">_xlfn.XLOOKUP(TRUE, EXACT(I37, Table3[orig]), Table3[(Z)])</f>
        <v>Z2</v>
      </c>
      <c r="K37" s="3" t="str" cm="1">
        <f t="array" ref="K37">_xlfn.XLOOKUP(TRUE, EXACT(Table2[[#This Row],[orig]], Table5[orig]), Table5[(T-reflection)])</f>
        <v>Z2</v>
      </c>
      <c r="L37" s="3" t="str" cm="1">
        <f t="array" ref="L37">_xlfn.XLOOKUP(TRUE, EXACT(Table2[[#This Row],[orig]], Table6[orig]), Table6[(H-reflection)])</f>
        <v>Z2</v>
      </c>
      <c r="M37" s="3" t="str" cm="1">
        <f t="array" ref="M37">_xlfn.XLOOKUP(TRUE, EXACT(Table2[[#This Row],[orig]], Table7[orig]), Table7[(S-reflection)])</f>
        <v>Z2</v>
      </c>
    </row>
    <row r="38" spans="1:13" x14ac:dyDescent="0.2">
      <c r="A38" t="str">
        <f>intermediate!E41</f>
        <v>U</v>
      </c>
      <c r="B38" t="str" cm="1">
        <f t="array" ref="B38">_xlfn.XLOOKUP(TRUE, EXACT(Table2[[#This Row],[orig]], Table4[orig]), Table4[(X)])</f>
        <v>B</v>
      </c>
      <c r="C38" t="str" cm="1">
        <f t="array" ref="C38">_xlfn.XLOOKUP(TRUE, EXACT(B38, Table4[orig]), Table4[(X)])</f>
        <v>D</v>
      </c>
      <c r="D38" t="str" cm="1">
        <f t="array" ref="D38">_xlfn.XLOOKUP(TRUE, EXACT(C38, Table4[orig]), Table4[(X)])</f>
        <v>F</v>
      </c>
      <c r="E38" t="str" cm="1">
        <f t="array" ref="E38">_xlfn.XLOOKUP(TRUE, EXACT(A38, Table1[orig]), Table1[(Y)])</f>
        <v>U</v>
      </c>
      <c r="F38" t="str" cm="1">
        <f t="array" ref="F38">_xlfn.XLOOKUP(TRUE, EXACT(E38, Table1[orig]), Table1[(Y)])</f>
        <v>U</v>
      </c>
      <c r="G38" t="str" cm="1">
        <f t="array" ref="G38">_xlfn.XLOOKUP(TRUE, EXACT(F38, Table1[orig]), Table1[(Y)])</f>
        <v>U</v>
      </c>
      <c r="H38" t="str" cm="1">
        <f t="array" ref="H38">_xlfn.XLOOKUP(TRUE, EXACT(Table2[[#This Row],[orig]], Table3[orig]), Table3[(Z)])</f>
        <v>R</v>
      </c>
      <c r="I38" t="str" cm="1">
        <f t="array" ref="I38">_xlfn.XLOOKUP(TRUE, EXACT(H38, Table3[orig]), Table3[(Z)])</f>
        <v>D</v>
      </c>
      <c r="J38" t="str" cm="1">
        <f t="array" ref="J38">_xlfn.XLOOKUP(TRUE, EXACT(I38, Table3[orig]), Table3[(Z)])</f>
        <v>L</v>
      </c>
      <c r="K38" t="str" cm="1">
        <f t="array" ref="K38">_xlfn.XLOOKUP(TRUE, EXACT(Table2[[#This Row],[orig]], Table5[orig]), Table5[(T-reflection)])</f>
        <v>U'</v>
      </c>
      <c r="L38" t="str" cm="1">
        <f t="array" ref="L38">_xlfn.XLOOKUP(TRUE, EXACT(Table2[[#This Row],[orig]], Table6[orig]), Table6[(H-reflection)])</f>
        <v>D'</v>
      </c>
      <c r="M38" t="str" cm="1">
        <f t="array" ref="M38">_xlfn.XLOOKUP(TRUE, EXACT(Table2[[#This Row],[orig]], Table7[orig]), Table7[(S-reflection)])</f>
        <v>U'</v>
      </c>
    </row>
    <row r="39" spans="1:13" x14ac:dyDescent="0.2">
      <c r="A39" t="str">
        <f>intermediate!E42</f>
        <v>u</v>
      </c>
      <c r="B39" t="str" cm="1">
        <f t="array" ref="B39">_xlfn.XLOOKUP(TRUE, EXACT(Table2[[#This Row],[orig]], Table4[orig]), Table4[(X)])</f>
        <v>b</v>
      </c>
      <c r="C39" t="str" cm="1">
        <f t="array" ref="C39">_xlfn.XLOOKUP(TRUE, EXACT(B39, Table4[orig]), Table4[(X)])</f>
        <v>d</v>
      </c>
      <c r="D39" t="str" cm="1">
        <f t="array" ref="D39">_xlfn.XLOOKUP(TRUE, EXACT(C39, Table4[orig]), Table4[(X)])</f>
        <v>f</v>
      </c>
      <c r="E39" t="str" cm="1">
        <f t="array" ref="E39">_xlfn.XLOOKUP(TRUE, EXACT(A39, Table1[orig]), Table1[(Y)])</f>
        <v>u</v>
      </c>
      <c r="F39" t="str" cm="1">
        <f t="array" ref="F39">_xlfn.XLOOKUP(TRUE, EXACT(E39, Table1[orig]), Table1[(Y)])</f>
        <v>u</v>
      </c>
      <c r="G39" t="str" cm="1">
        <f t="array" ref="G39">_xlfn.XLOOKUP(TRUE, EXACT(F39, Table1[orig]), Table1[(Y)])</f>
        <v>u</v>
      </c>
      <c r="H39" t="str" cm="1">
        <f t="array" ref="H39">_xlfn.XLOOKUP(TRUE, EXACT(Table2[[#This Row],[orig]], Table3[orig]), Table3[(Z)])</f>
        <v>r</v>
      </c>
      <c r="I39" t="str" cm="1">
        <f t="array" ref="I39">_xlfn.XLOOKUP(TRUE, EXACT(H39, Table3[orig]), Table3[(Z)])</f>
        <v>d</v>
      </c>
      <c r="J39" t="str" cm="1">
        <f t="array" ref="J39">_xlfn.XLOOKUP(TRUE, EXACT(I39, Table3[orig]), Table3[(Z)])</f>
        <v>l</v>
      </c>
      <c r="K39" t="str" cm="1">
        <f t="array" ref="K39">_xlfn.XLOOKUP(TRUE, EXACT(Table2[[#This Row],[orig]], Table5[orig]), Table5[(T-reflection)])</f>
        <v>u'</v>
      </c>
      <c r="L39" t="str" cm="1">
        <f t="array" ref="L39">_xlfn.XLOOKUP(TRUE, EXACT(Table2[[#This Row],[orig]], Table6[orig]), Table6[(H-reflection)])</f>
        <v>d'</v>
      </c>
      <c r="M39" t="str" cm="1">
        <f t="array" ref="M39">_xlfn.XLOOKUP(TRUE, EXACT(Table2[[#This Row],[orig]], Table7[orig]), Table7[(S-reflection)])</f>
        <v>u'</v>
      </c>
    </row>
    <row r="40" spans="1:13" x14ac:dyDescent="0.2">
      <c r="A40" t="str">
        <f>intermediate!E43</f>
        <v>H</v>
      </c>
      <c r="B40" t="str" cm="1">
        <f t="array" ref="B40">_xlfn.XLOOKUP(TRUE, EXACT(Table2[[#This Row],[orig]], Table4[orig]), Table4[(X)])</f>
        <v>S'</v>
      </c>
      <c r="C40" t="str" cm="1">
        <f t="array" ref="C40">_xlfn.XLOOKUP(TRUE, EXACT(B40, Table4[orig]), Table4[(X)])</f>
        <v>H'</v>
      </c>
      <c r="D40" t="str" cm="1">
        <f t="array" ref="D40">_xlfn.XLOOKUP(TRUE, EXACT(C40, Table4[orig]), Table4[(X)])</f>
        <v>S</v>
      </c>
      <c r="E40" t="str" cm="1">
        <f t="array" ref="E40">_xlfn.XLOOKUP(TRUE, EXACT(A40, Table1[orig]), Table1[(Y)])</f>
        <v>H</v>
      </c>
      <c r="F40" t="str" cm="1">
        <f t="array" ref="F40">_xlfn.XLOOKUP(TRUE, EXACT(E40, Table1[orig]), Table1[(Y)])</f>
        <v>H</v>
      </c>
      <c r="G40" t="str" cm="1">
        <f t="array" ref="G40">_xlfn.XLOOKUP(TRUE, EXACT(F40, Table1[orig]), Table1[(Y)])</f>
        <v>H</v>
      </c>
      <c r="H40" t="str" cm="1">
        <f t="array" ref="H40">_xlfn.XLOOKUP(TRUE, EXACT(Table2[[#This Row],[orig]], Table3[orig]), Table3[(Z)])</f>
        <v>T</v>
      </c>
      <c r="I40" t="str" cm="1">
        <f t="array" ref="I40">_xlfn.XLOOKUP(TRUE, EXACT(H40, Table3[orig]), Table3[(Z)])</f>
        <v>H'</v>
      </c>
      <c r="J40" t="str" cm="1">
        <f t="array" ref="J40">_xlfn.XLOOKUP(TRUE, EXACT(I40, Table3[orig]), Table3[(Z)])</f>
        <v>T'</v>
      </c>
      <c r="K40" t="str" cm="1">
        <f t="array" ref="K40">_xlfn.XLOOKUP(TRUE, EXACT(Table2[[#This Row],[orig]], Table5[orig]), Table5[(T-reflection)])</f>
        <v>H'</v>
      </c>
      <c r="L40" t="str" cm="1">
        <f t="array" ref="L40">_xlfn.XLOOKUP(TRUE, EXACT(Table2[[#This Row],[orig]], Table6[orig]), Table6[(H-reflection)])</f>
        <v>H</v>
      </c>
      <c r="M40" t="str" cm="1">
        <f t="array" ref="M40">_xlfn.XLOOKUP(TRUE, EXACT(Table2[[#This Row],[orig]], Table7[orig]), Table7[(S-reflection)])</f>
        <v>H'</v>
      </c>
    </row>
    <row r="41" spans="1:13" x14ac:dyDescent="0.2">
      <c r="A41" t="str">
        <f>intermediate!E44</f>
        <v>d</v>
      </c>
      <c r="B41" t="str" cm="1">
        <f t="array" ref="B41">_xlfn.XLOOKUP(TRUE, EXACT(Table2[[#This Row],[orig]], Table4[orig]), Table4[(X)])</f>
        <v>f</v>
      </c>
      <c r="C41" t="str" cm="1">
        <f t="array" ref="C41">_xlfn.XLOOKUP(TRUE, EXACT(B41, Table4[orig]), Table4[(X)])</f>
        <v>u</v>
      </c>
      <c r="D41" t="str" cm="1">
        <f t="array" ref="D41">_xlfn.XLOOKUP(TRUE, EXACT(C41, Table4[orig]), Table4[(X)])</f>
        <v>b</v>
      </c>
      <c r="E41" t="str" cm="1">
        <f t="array" ref="E41">_xlfn.XLOOKUP(TRUE, EXACT(A41, Table1[orig]), Table1[(Y)])</f>
        <v>d</v>
      </c>
      <c r="F41" t="str" cm="1">
        <f t="array" ref="F41">_xlfn.XLOOKUP(TRUE, EXACT(E41, Table1[orig]), Table1[(Y)])</f>
        <v>d</v>
      </c>
      <c r="G41" t="str" cm="1">
        <f t="array" ref="G41">_xlfn.XLOOKUP(TRUE, EXACT(F41, Table1[orig]), Table1[(Y)])</f>
        <v>d</v>
      </c>
      <c r="H41" t="str" cm="1">
        <f t="array" ref="H41">_xlfn.XLOOKUP(TRUE, EXACT(Table2[[#This Row],[orig]], Table3[orig]), Table3[(Z)])</f>
        <v>l</v>
      </c>
      <c r="I41" t="str" cm="1">
        <f t="array" ref="I41">_xlfn.XLOOKUP(TRUE, EXACT(H41, Table3[orig]), Table3[(Z)])</f>
        <v>u</v>
      </c>
      <c r="J41" t="str" cm="1">
        <f t="array" ref="J41">_xlfn.XLOOKUP(TRUE, EXACT(I41, Table3[orig]), Table3[(Z)])</f>
        <v>r</v>
      </c>
      <c r="K41" t="str" cm="1">
        <f t="array" ref="K41">_xlfn.XLOOKUP(TRUE, EXACT(Table2[[#This Row],[orig]], Table5[orig]), Table5[(T-reflection)])</f>
        <v>d'</v>
      </c>
      <c r="L41" t="str" cm="1">
        <f t="array" ref="L41">_xlfn.XLOOKUP(TRUE, EXACT(Table2[[#This Row],[orig]], Table6[orig]), Table6[(H-reflection)])</f>
        <v>u'</v>
      </c>
      <c r="M41" t="str" cm="1">
        <f t="array" ref="M41">_xlfn.XLOOKUP(TRUE, EXACT(Table2[[#This Row],[orig]], Table7[orig]), Table7[(S-reflection)])</f>
        <v>d'</v>
      </c>
    </row>
    <row r="42" spans="1:13" x14ac:dyDescent="0.2">
      <c r="A42" t="str">
        <f>intermediate!E45</f>
        <v>D</v>
      </c>
      <c r="B42" t="str" cm="1">
        <f t="array" ref="B42">_xlfn.XLOOKUP(TRUE, EXACT(Table2[[#This Row],[orig]], Table4[orig]), Table4[(X)])</f>
        <v>F</v>
      </c>
      <c r="C42" t="str" cm="1">
        <f t="array" ref="C42">_xlfn.XLOOKUP(TRUE, EXACT(B42, Table4[orig]), Table4[(X)])</f>
        <v>U</v>
      </c>
      <c r="D42" t="str" cm="1">
        <f t="array" ref="D42">_xlfn.XLOOKUP(TRUE, EXACT(C42, Table4[orig]), Table4[(X)])</f>
        <v>B</v>
      </c>
      <c r="E42" t="str" cm="1">
        <f t="array" ref="E42">_xlfn.XLOOKUP(TRUE, EXACT(A42, Table1[orig]), Table1[(Y)])</f>
        <v>D</v>
      </c>
      <c r="F42" t="str" cm="1">
        <f t="array" ref="F42">_xlfn.XLOOKUP(TRUE, EXACT(E42, Table1[orig]), Table1[(Y)])</f>
        <v>D</v>
      </c>
      <c r="G42" t="str" cm="1">
        <f t="array" ref="G42">_xlfn.XLOOKUP(TRUE, EXACT(F42, Table1[orig]), Table1[(Y)])</f>
        <v>D</v>
      </c>
      <c r="H42" t="str" cm="1">
        <f t="array" ref="H42">_xlfn.XLOOKUP(TRUE, EXACT(Table2[[#This Row],[orig]], Table3[orig]), Table3[(Z)])</f>
        <v>L</v>
      </c>
      <c r="I42" t="str" cm="1">
        <f t="array" ref="I42">_xlfn.XLOOKUP(TRUE, EXACT(H42, Table3[orig]), Table3[(Z)])</f>
        <v>U</v>
      </c>
      <c r="J42" t="str" cm="1">
        <f t="array" ref="J42">_xlfn.XLOOKUP(TRUE, EXACT(I42, Table3[orig]), Table3[(Z)])</f>
        <v>R</v>
      </c>
      <c r="K42" t="str" cm="1">
        <f t="array" ref="K42">_xlfn.XLOOKUP(TRUE, EXACT(Table2[[#This Row],[orig]], Table5[orig]), Table5[(T-reflection)])</f>
        <v>D'</v>
      </c>
      <c r="L42" t="str" cm="1">
        <f t="array" ref="L42">_xlfn.XLOOKUP(TRUE, EXACT(Table2[[#This Row],[orig]], Table6[orig]), Table6[(H-reflection)])</f>
        <v>U'</v>
      </c>
      <c r="M42" t="str" cm="1">
        <f t="array" ref="M42">_xlfn.XLOOKUP(TRUE, EXACT(Table2[[#This Row],[orig]], Table7[orig]), Table7[(S-reflection)])</f>
        <v>D'</v>
      </c>
    </row>
    <row r="43" spans="1:13" x14ac:dyDescent="0.2">
      <c r="A43" s="3" t="str">
        <f>intermediate!E46</f>
        <v>Y</v>
      </c>
      <c r="B43" s="3" t="str" cm="1">
        <f t="array" ref="B43">_xlfn.XLOOKUP(TRUE, EXACT(Table2[[#This Row],[orig]], Table4[orig]), Table4[(X)])</f>
        <v>Z'</v>
      </c>
      <c r="C43" s="3" t="str" cm="1">
        <f t="array" ref="C43">_xlfn.XLOOKUP(TRUE, EXACT(B43, Table4[orig]), Table4[(X)])</f>
        <v>Y'</v>
      </c>
      <c r="D43" s="3" t="str" cm="1">
        <f t="array" ref="D43">_xlfn.XLOOKUP(TRUE, EXACT(C43, Table4[orig]), Table4[(X)])</f>
        <v>Z</v>
      </c>
      <c r="E43" s="3" t="str" cm="1">
        <f t="array" ref="E43">_xlfn.XLOOKUP(TRUE, EXACT(A43, Table1[orig]), Table1[(Y)])</f>
        <v>Y</v>
      </c>
      <c r="F43" s="3" t="str" cm="1">
        <f t="array" ref="F43">_xlfn.XLOOKUP(TRUE, EXACT(E43, Table1[orig]), Table1[(Y)])</f>
        <v>Y</v>
      </c>
      <c r="G43" s="3" t="str" cm="1">
        <f t="array" ref="G43">_xlfn.XLOOKUP(TRUE, EXACT(F43, Table1[orig]), Table1[(Y)])</f>
        <v>Y</v>
      </c>
      <c r="H43" s="3" t="str" cm="1">
        <f t="array" ref="H43">_xlfn.XLOOKUP(TRUE, EXACT(Table2[[#This Row],[orig]], Table3[orig]), Table3[(Z)])</f>
        <v>X</v>
      </c>
      <c r="I43" s="3" t="str" cm="1">
        <f t="array" ref="I43">_xlfn.XLOOKUP(TRUE, EXACT(H43, Table3[orig]), Table3[(Z)])</f>
        <v>Y'</v>
      </c>
      <c r="J43" s="3" t="str" cm="1">
        <f t="array" ref="J43">_xlfn.XLOOKUP(TRUE, EXACT(I43, Table3[orig]), Table3[(Z)])</f>
        <v>X'</v>
      </c>
      <c r="K43" s="3" t="str" cm="1">
        <f t="array" ref="K43">_xlfn.XLOOKUP(TRUE, EXACT(Table2[[#This Row],[orig]], Table5[orig]), Table5[(T-reflection)])</f>
        <v>Y'</v>
      </c>
      <c r="L43" s="3" t="str" cm="1">
        <f t="array" ref="L43">_xlfn.XLOOKUP(TRUE, EXACT(Table2[[#This Row],[orig]], Table6[orig]), Table6[(H-reflection)])</f>
        <v>Y</v>
      </c>
      <c r="M43" s="3" t="str" cm="1">
        <f t="array" ref="M43">_xlfn.XLOOKUP(TRUE, EXACT(Table2[[#This Row],[orig]], Table7[orig]), Table7[(S-reflection)])</f>
        <v>Y'</v>
      </c>
    </row>
    <row r="44" spans="1:13" x14ac:dyDescent="0.2">
      <c r="A44" t="str">
        <f>intermediate!E47</f>
        <v>U'</v>
      </c>
      <c r="B44" t="str" cm="1">
        <f t="array" ref="B44">_xlfn.XLOOKUP(TRUE, EXACT(Table2[[#This Row],[orig]], Table4[orig]), Table4[(X)])</f>
        <v>B'</v>
      </c>
      <c r="C44" t="str" cm="1">
        <f t="array" ref="C44">_xlfn.XLOOKUP(TRUE, EXACT(B44, Table4[orig]), Table4[(X)])</f>
        <v>D'</v>
      </c>
      <c r="D44" t="str" cm="1">
        <f t="array" ref="D44">_xlfn.XLOOKUP(TRUE, EXACT(C44, Table4[orig]), Table4[(X)])</f>
        <v>F'</v>
      </c>
      <c r="E44" t="str" cm="1">
        <f t="array" ref="E44">_xlfn.XLOOKUP(TRUE, EXACT(A44, Table1[orig]), Table1[(Y)])</f>
        <v>U'</v>
      </c>
      <c r="F44" t="str" cm="1">
        <f t="array" ref="F44">_xlfn.XLOOKUP(TRUE, EXACT(E44, Table1[orig]), Table1[(Y)])</f>
        <v>U'</v>
      </c>
      <c r="G44" t="str" cm="1">
        <f t="array" ref="G44">_xlfn.XLOOKUP(TRUE, EXACT(F44, Table1[orig]), Table1[(Y)])</f>
        <v>U'</v>
      </c>
      <c r="H44" t="str" cm="1">
        <f t="array" ref="H44">_xlfn.XLOOKUP(TRUE, EXACT(Table2[[#This Row],[orig]], Table3[orig]), Table3[(Z)])</f>
        <v>R'</v>
      </c>
      <c r="I44" t="str" cm="1">
        <f t="array" ref="I44">_xlfn.XLOOKUP(TRUE, EXACT(H44, Table3[orig]), Table3[(Z)])</f>
        <v>D'</v>
      </c>
      <c r="J44" t="str" cm="1">
        <f t="array" ref="J44">_xlfn.XLOOKUP(TRUE, EXACT(I44, Table3[orig]), Table3[(Z)])</f>
        <v>L'</v>
      </c>
      <c r="K44" t="str" cm="1">
        <f t="array" ref="K44">_xlfn.XLOOKUP(TRUE, EXACT(Table2[[#This Row],[orig]], Table5[orig]), Table5[(T-reflection)])</f>
        <v>U</v>
      </c>
      <c r="L44" t="str" cm="1">
        <f t="array" ref="L44">_xlfn.XLOOKUP(TRUE, EXACT(Table2[[#This Row],[orig]], Table6[orig]), Table6[(H-reflection)])</f>
        <v>D</v>
      </c>
      <c r="M44" t="str" cm="1">
        <f t="array" ref="M44">_xlfn.XLOOKUP(TRUE, EXACT(Table2[[#This Row],[orig]], Table7[orig]), Table7[(S-reflection)])</f>
        <v>U</v>
      </c>
    </row>
    <row r="45" spans="1:13" x14ac:dyDescent="0.2">
      <c r="A45" t="str">
        <f>intermediate!E48</f>
        <v>u'</v>
      </c>
      <c r="B45" t="str" cm="1">
        <f t="array" ref="B45">_xlfn.XLOOKUP(TRUE, EXACT(Table2[[#This Row],[orig]], Table4[orig]), Table4[(X)])</f>
        <v>b'</v>
      </c>
      <c r="C45" t="str" cm="1">
        <f t="array" ref="C45">_xlfn.XLOOKUP(TRUE, EXACT(B45, Table4[orig]), Table4[(X)])</f>
        <v>d'</v>
      </c>
      <c r="D45" t="str" cm="1">
        <f t="array" ref="D45">_xlfn.XLOOKUP(TRUE, EXACT(C45, Table4[orig]), Table4[(X)])</f>
        <v>f'</v>
      </c>
      <c r="E45" t="str" cm="1">
        <f t="array" ref="E45">_xlfn.XLOOKUP(TRUE, EXACT(A45, Table1[orig]), Table1[(Y)])</f>
        <v>u'</v>
      </c>
      <c r="F45" t="str" cm="1">
        <f t="array" ref="F45">_xlfn.XLOOKUP(TRUE, EXACT(E45, Table1[orig]), Table1[(Y)])</f>
        <v>u'</v>
      </c>
      <c r="G45" t="str" cm="1">
        <f t="array" ref="G45">_xlfn.XLOOKUP(TRUE, EXACT(F45, Table1[orig]), Table1[(Y)])</f>
        <v>u'</v>
      </c>
      <c r="H45" t="str" cm="1">
        <f t="array" ref="H45">_xlfn.XLOOKUP(TRUE, EXACT(Table2[[#This Row],[orig]], Table3[orig]), Table3[(Z)])</f>
        <v>r'</v>
      </c>
      <c r="I45" t="str" cm="1">
        <f t="array" ref="I45">_xlfn.XLOOKUP(TRUE, EXACT(H45, Table3[orig]), Table3[(Z)])</f>
        <v>d'</v>
      </c>
      <c r="J45" t="str" cm="1">
        <f t="array" ref="J45">_xlfn.XLOOKUP(TRUE, EXACT(I45, Table3[orig]), Table3[(Z)])</f>
        <v>l'</v>
      </c>
      <c r="K45" t="str" cm="1">
        <f t="array" ref="K45">_xlfn.XLOOKUP(TRUE, EXACT(Table2[[#This Row],[orig]], Table5[orig]), Table5[(T-reflection)])</f>
        <v>u</v>
      </c>
      <c r="L45" t="str" cm="1">
        <f t="array" ref="L45">_xlfn.XLOOKUP(TRUE, EXACT(Table2[[#This Row],[orig]], Table6[orig]), Table6[(H-reflection)])</f>
        <v>d</v>
      </c>
      <c r="M45" t="str" cm="1">
        <f t="array" ref="M45">_xlfn.XLOOKUP(TRUE, EXACT(Table2[[#This Row],[orig]], Table7[orig]), Table7[(S-reflection)])</f>
        <v>u</v>
      </c>
    </row>
    <row r="46" spans="1:13" x14ac:dyDescent="0.2">
      <c r="A46" t="str">
        <f>intermediate!E49</f>
        <v>H'</v>
      </c>
      <c r="B46" t="str" cm="1">
        <f t="array" ref="B46">_xlfn.XLOOKUP(TRUE, EXACT(Table2[[#This Row],[orig]], Table4[orig]), Table4[(X)])</f>
        <v>S</v>
      </c>
      <c r="C46" t="str" cm="1">
        <f t="array" ref="C46">_xlfn.XLOOKUP(TRUE, EXACT(B46, Table4[orig]), Table4[(X)])</f>
        <v>H</v>
      </c>
      <c r="D46" t="str" cm="1">
        <f t="array" ref="D46">_xlfn.XLOOKUP(TRUE, EXACT(C46, Table4[orig]), Table4[(X)])</f>
        <v>S'</v>
      </c>
      <c r="E46" t="str" cm="1">
        <f t="array" ref="E46">_xlfn.XLOOKUP(TRUE, EXACT(A46, Table1[orig]), Table1[(Y)])</f>
        <v>H'</v>
      </c>
      <c r="F46" t="str" cm="1">
        <f t="array" ref="F46">_xlfn.XLOOKUP(TRUE, EXACT(E46, Table1[orig]), Table1[(Y)])</f>
        <v>H'</v>
      </c>
      <c r="G46" t="str" cm="1">
        <f t="array" ref="G46">_xlfn.XLOOKUP(TRUE, EXACT(F46, Table1[orig]), Table1[(Y)])</f>
        <v>H'</v>
      </c>
      <c r="H46" t="str" cm="1">
        <f t="array" ref="H46">_xlfn.XLOOKUP(TRUE, EXACT(Table2[[#This Row],[orig]], Table3[orig]), Table3[(Z)])</f>
        <v>T'</v>
      </c>
      <c r="I46" t="str" cm="1">
        <f t="array" ref="I46">_xlfn.XLOOKUP(TRUE, EXACT(H46, Table3[orig]), Table3[(Z)])</f>
        <v>H</v>
      </c>
      <c r="J46" t="str" cm="1">
        <f t="array" ref="J46">_xlfn.XLOOKUP(TRUE, EXACT(I46, Table3[orig]), Table3[(Z)])</f>
        <v>T</v>
      </c>
      <c r="K46" t="str" cm="1">
        <f t="array" ref="K46">_xlfn.XLOOKUP(TRUE, EXACT(Table2[[#This Row],[orig]], Table5[orig]), Table5[(T-reflection)])</f>
        <v>H</v>
      </c>
      <c r="L46" t="str" cm="1">
        <f t="array" ref="L46">_xlfn.XLOOKUP(TRUE, EXACT(Table2[[#This Row],[orig]], Table6[orig]), Table6[(H-reflection)])</f>
        <v>H'</v>
      </c>
      <c r="M46" t="str" cm="1">
        <f t="array" ref="M46">_xlfn.XLOOKUP(TRUE, EXACT(Table2[[#This Row],[orig]], Table7[orig]), Table7[(S-reflection)])</f>
        <v>H</v>
      </c>
    </row>
    <row r="47" spans="1:13" x14ac:dyDescent="0.2">
      <c r="A47" t="str">
        <f>intermediate!E50</f>
        <v>d'</v>
      </c>
      <c r="B47" t="str" cm="1">
        <f t="array" ref="B47">_xlfn.XLOOKUP(TRUE, EXACT(Table2[[#This Row],[orig]], Table4[orig]), Table4[(X)])</f>
        <v>f'</v>
      </c>
      <c r="C47" t="str" cm="1">
        <f t="array" ref="C47">_xlfn.XLOOKUP(TRUE, EXACT(B47, Table4[orig]), Table4[(X)])</f>
        <v>u'</v>
      </c>
      <c r="D47" t="str" cm="1">
        <f t="array" ref="D47">_xlfn.XLOOKUP(TRUE, EXACT(C47, Table4[orig]), Table4[(X)])</f>
        <v>b'</v>
      </c>
      <c r="E47" t="str" cm="1">
        <f t="array" ref="E47">_xlfn.XLOOKUP(TRUE, EXACT(A47, Table1[orig]), Table1[(Y)])</f>
        <v>d'</v>
      </c>
      <c r="F47" t="str" cm="1">
        <f t="array" ref="F47">_xlfn.XLOOKUP(TRUE, EXACT(E47, Table1[orig]), Table1[(Y)])</f>
        <v>d'</v>
      </c>
      <c r="G47" t="str" cm="1">
        <f t="array" ref="G47">_xlfn.XLOOKUP(TRUE, EXACT(F47, Table1[orig]), Table1[(Y)])</f>
        <v>d'</v>
      </c>
      <c r="H47" t="str" cm="1">
        <f t="array" ref="H47">_xlfn.XLOOKUP(TRUE, EXACT(Table2[[#This Row],[orig]], Table3[orig]), Table3[(Z)])</f>
        <v>l'</v>
      </c>
      <c r="I47" t="str" cm="1">
        <f t="array" ref="I47">_xlfn.XLOOKUP(TRUE, EXACT(H47, Table3[orig]), Table3[(Z)])</f>
        <v>u'</v>
      </c>
      <c r="J47" t="str" cm="1">
        <f t="array" ref="J47">_xlfn.XLOOKUP(TRUE, EXACT(I47, Table3[orig]), Table3[(Z)])</f>
        <v>r'</v>
      </c>
      <c r="K47" t="str" cm="1">
        <f t="array" ref="K47">_xlfn.XLOOKUP(TRUE, EXACT(Table2[[#This Row],[orig]], Table5[orig]), Table5[(T-reflection)])</f>
        <v>d</v>
      </c>
      <c r="L47" t="str" cm="1">
        <f t="array" ref="L47">_xlfn.XLOOKUP(TRUE, EXACT(Table2[[#This Row],[orig]], Table6[orig]), Table6[(H-reflection)])</f>
        <v>u</v>
      </c>
      <c r="M47" t="str" cm="1">
        <f t="array" ref="M47">_xlfn.XLOOKUP(TRUE, EXACT(Table2[[#This Row],[orig]], Table7[orig]), Table7[(S-reflection)])</f>
        <v>d</v>
      </c>
    </row>
    <row r="48" spans="1:13" x14ac:dyDescent="0.2">
      <c r="A48" t="str">
        <f>intermediate!E51</f>
        <v>D'</v>
      </c>
      <c r="B48" t="str" cm="1">
        <f t="array" ref="B48">_xlfn.XLOOKUP(TRUE, EXACT(Table2[[#This Row],[orig]], Table4[orig]), Table4[(X)])</f>
        <v>F'</v>
      </c>
      <c r="C48" t="str" cm="1">
        <f t="array" ref="C48">_xlfn.XLOOKUP(TRUE, EXACT(B48, Table4[orig]), Table4[(X)])</f>
        <v>U'</v>
      </c>
      <c r="D48" t="str" cm="1">
        <f t="array" ref="D48">_xlfn.XLOOKUP(TRUE, EXACT(C48, Table4[orig]), Table4[(X)])</f>
        <v>B'</v>
      </c>
      <c r="E48" t="str" cm="1">
        <f t="array" ref="E48">_xlfn.XLOOKUP(TRUE, EXACT(A48, Table1[orig]), Table1[(Y)])</f>
        <v>D'</v>
      </c>
      <c r="F48" t="str" cm="1">
        <f t="array" ref="F48">_xlfn.XLOOKUP(TRUE, EXACT(E48, Table1[orig]), Table1[(Y)])</f>
        <v>D'</v>
      </c>
      <c r="G48" t="str" cm="1">
        <f t="array" ref="G48">_xlfn.XLOOKUP(TRUE, EXACT(F48, Table1[orig]), Table1[(Y)])</f>
        <v>D'</v>
      </c>
      <c r="H48" t="str" cm="1">
        <f t="array" ref="H48">_xlfn.XLOOKUP(TRUE, EXACT(Table2[[#This Row],[orig]], Table3[orig]), Table3[(Z)])</f>
        <v>L'</v>
      </c>
      <c r="I48" t="str" cm="1">
        <f t="array" ref="I48">_xlfn.XLOOKUP(TRUE, EXACT(H48, Table3[orig]), Table3[(Z)])</f>
        <v>U'</v>
      </c>
      <c r="J48" t="str" cm="1">
        <f t="array" ref="J48">_xlfn.XLOOKUP(TRUE, EXACT(I48, Table3[orig]), Table3[(Z)])</f>
        <v>R'</v>
      </c>
      <c r="K48" t="str" cm="1">
        <f t="array" ref="K48">_xlfn.XLOOKUP(TRUE, EXACT(Table2[[#This Row],[orig]], Table5[orig]), Table5[(T-reflection)])</f>
        <v>D</v>
      </c>
      <c r="L48" t="str" cm="1">
        <f t="array" ref="L48">_xlfn.XLOOKUP(TRUE, EXACT(Table2[[#This Row],[orig]], Table6[orig]), Table6[(H-reflection)])</f>
        <v>U</v>
      </c>
      <c r="M48" t="str" cm="1">
        <f t="array" ref="M48">_xlfn.XLOOKUP(TRUE, EXACT(Table2[[#This Row],[orig]], Table7[orig]), Table7[(S-reflection)])</f>
        <v>D</v>
      </c>
    </row>
    <row r="49" spans="1:13" x14ac:dyDescent="0.2">
      <c r="A49" s="3" t="str">
        <f>intermediate!E52</f>
        <v>Y'</v>
      </c>
      <c r="B49" s="3" t="str" cm="1">
        <f t="array" ref="B49">_xlfn.XLOOKUP(TRUE, EXACT(Table2[[#This Row],[orig]], Table4[orig]), Table4[(X)])</f>
        <v>Z</v>
      </c>
      <c r="C49" s="3" t="str" cm="1">
        <f t="array" ref="C49">_xlfn.XLOOKUP(TRUE, EXACT(B49, Table4[orig]), Table4[(X)])</f>
        <v>Y</v>
      </c>
      <c r="D49" s="3" t="str" cm="1">
        <f t="array" ref="D49">_xlfn.XLOOKUP(TRUE, EXACT(C49, Table4[orig]), Table4[(X)])</f>
        <v>Z'</v>
      </c>
      <c r="E49" s="3" t="str" cm="1">
        <f t="array" ref="E49">_xlfn.XLOOKUP(TRUE, EXACT(A49, Table1[orig]), Table1[(Y)])</f>
        <v>Y'</v>
      </c>
      <c r="F49" s="3" t="str" cm="1">
        <f t="array" ref="F49">_xlfn.XLOOKUP(TRUE, EXACT(E49, Table1[orig]), Table1[(Y)])</f>
        <v>Y'</v>
      </c>
      <c r="G49" s="3" t="str" cm="1">
        <f t="array" ref="G49">_xlfn.XLOOKUP(TRUE, EXACT(F49, Table1[orig]), Table1[(Y)])</f>
        <v>Y'</v>
      </c>
      <c r="H49" s="3" t="str" cm="1">
        <f t="array" ref="H49">_xlfn.XLOOKUP(TRUE, EXACT(Table2[[#This Row],[orig]], Table3[orig]), Table3[(Z)])</f>
        <v>X'</v>
      </c>
      <c r="I49" s="3" t="str" cm="1">
        <f t="array" ref="I49">_xlfn.XLOOKUP(TRUE, EXACT(H49, Table3[orig]), Table3[(Z)])</f>
        <v>Y</v>
      </c>
      <c r="J49" s="3" t="str" cm="1">
        <f t="array" ref="J49">_xlfn.XLOOKUP(TRUE, EXACT(I49, Table3[orig]), Table3[(Z)])</f>
        <v>X</v>
      </c>
      <c r="K49" s="3" t="str" cm="1">
        <f t="array" ref="K49">_xlfn.XLOOKUP(TRUE, EXACT(Table2[[#This Row],[orig]], Table5[orig]), Table5[(T-reflection)])</f>
        <v>Y</v>
      </c>
      <c r="L49" s="3" t="str" cm="1">
        <f t="array" ref="L49">_xlfn.XLOOKUP(TRUE, EXACT(Table2[[#This Row],[orig]], Table6[orig]), Table6[(H-reflection)])</f>
        <v>Y'</v>
      </c>
      <c r="M49" s="3" t="str" cm="1">
        <f t="array" ref="M49">_xlfn.XLOOKUP(TRUE, EXACT(Table2[[#This Row],[orig]], Table7[orig]), Table7[(S-reflection)])</f>
        <v>Y</v>
      </c>
    </row>
    <row r="50" spans="1:13" x14ac:dyDescent="0.2">
      <c r="A50" t="str">
        <f>intermediate!E53</f>
        <v>U2</v>
      </c>
      <c r="B50" t="str" cm="1">
        <f t="array" ref="B50">_xlfn.XLOOKUP(TRUE, EXACT(Table2[[#This Row],[orig]], Table4[orig]), Table4[(X)])</f>
        <v>B2</v>
      </c>
      <c r="C50" t="str" cm="1">
        <f t="array" ref="C50">_xlfn.XLOOKUP(TRUE, EXACT(B50, Table4[orig]), Table4[(X)])</f>
        <v>D2</v>
      </c>
      <c r="D50" t="str" cm="1">
        <f t="array" ref="D50">_xlfn.XLOOKUP(TRUE, EXACT(C50, Table4[orig]), Table4[(X)])</f>
        <v>F2</v>
      </c>
      <c r="E50" t="str" cm="1">
        <f t="array" ref="E50">_xlfn.XLOOKUP(TRUE, EXACT(A50, Table1[orig]), Table1[(Y)])</f>
        <v>U2</v>
      </c>
      <c r="F50" t="str" cm="1">
        <f t="array" ref="F50">_xlfn.XLOOKUP(TRUE, EXACT(E50, Table1[orig]), Table1[(Y)])</f>
        <v>U2</v>
      </c>
      <c r="G50" t="str" cm="1">
        <f t="array" ref="G50">_xlfn.XLOOKUP(TRUE, EXACT(F50, Table1[orig]), Table1[(Y)])</f>
        <v>U2</v>
      </c>
      <c r="H50" t="str" cm="1">
        <f t="array" ref="H50">_xlfn.XLOOKUP(TRUE, EXACT(Table2[[#This Row],[orig]], Table3[orig]), Table3[(Z)])</f>
        <v>R2</v>
      </c>
      <c r="I50" t="str" cm="1">
        <f t="array" ref="I50">_xlfn.XLOOKUP(TRUE, EXACT(H50, Table3[orig]), Table3[(Z)])</f>
        <v>D2</v>
      </c>
      <c r="J50" t="str" cm="1">
        <f t="array" ref="J50">_xlfn.XLOOKUP(TRUE, EXACT(I50, Table3[orig]), Table3[(Z)])</f>
        <v>L2</v>
      </c>
      <c r="K50" t="str" cm="1">
        <f t="array" ref="K50">_xlfn.XLOOKUP(TRUE, EXACT(Table2[[#This Row],[orig]], Table5[orig]), Table5[(T-reflection)])</f>
        <v>U2</v>
      </c>
      <c r="L50" t="str" cm="1">
        <f t="array" ref="L50">_xlfn.XLOOKUP(TRUE, EXACT(Table2[[#This Row],[orig]], Table6[orig]), Table6[(H-reflection)])</f>
        <v>D2</v>
      </c>
      <c r="M50" t="str" cm="1">
        <f t="array" ref="M50">_xlfn.XLOOKUP(TRUE, EXACT(Table2[[#This Row],[orig]], Table7[orig]), Table7[(S-reflection)])</f>
        <v>U2</v>
      </c>
    </row>
    <row r="51" spans="1:13" x14ac:dyDescent="0.2">
      <c r="A51" t="str">
        <f>intermediate!E54</f>
        <v>u2</v>
      </c>
      <c r="B51" t="str" cm="1">
        <f t="array" ref="B51">_xlfn.XLOOKUP(TRUE, EXACT(Table2[[#This Row],[orig]], Table4[orig]), Table4[(X)])</f>
        <v>b2</v>
      </c>
      <c r="C51" t="str" cm="1">
        <f t="array" ref="C51">_xlfn.XLOOKUP(TRUE, EXACT(B51, Table4[orig]), Table4[(X)])</f>
        <v>d2</v>
      </c>
      <c r="D51" t="str" cm="1">
        <f t="array" ref="D51">_xlfn.XLOOKUP(TRUE, EXACT(C51, Table4[orig]), Table4[(X)])</f>
        <v>f2</v>
      </c>
      <c r="E51" t="str" cm="1">
        <f t="array" ref="E51">_xlfn.XLOOKUP(TRUE, EXACT(A51, Table1[orig]), Table1[(Y)])</f>
        <v>u2</v>
      </c>
      <c r="F51" t="str" cm="1">
        <f t="array" ref="F51">_xlfn.XLOOKUP(TRUE, EXACT(E51, Table1[orig]), Table1[(Y)])</f>
        <v>u2</v>
      </c>
      <c r="G51" t="str" cm="1">
        <f t="array" ref="G51">_xlfn.XLOOKUP(TRUE, EXACT(F51, Table1[orig]), Table1[(Y)])</f>
        <v>u2</v>
      </c>
      <c r="H51" t="str" cm="1">
        <f t="array" ref="H51">_xlfn.XLOOKUP(TRUE, EXACT(Table2[[#This Row],[orig]], Table3[orig]), Table3[(Z)])</f>
        <v>r2</v>
      </c>
      <c r="I51" t="str" cm="1">
        <f t="array" ref="I51">_xlfn.XLOOKUP(TRUE, EXACT(H51, Table3[orig]), Table3[(Z)])</f>
        <v>d2</v>
      </c>
      <c r="J51" t="str" cm="1">
        <f t="array" ref="J51">_xlfn.XLOOKUP(TRUE, EXACT(I51, Table3[orig]), Table3[(Z)])</f>
        <v>l2</v>
      </c>
      <c r="K51" t="str" cm="1">
        <f t="array" ref="K51">_xlfn.XLOOKUP(TRUE, EXACT(Table2[[#This Row],[orig]], Table5[orig]), Table5[(T-reflection)])</f>
        <v>u2</v>
      </c>
      <c r="L51" t="str" cm="1">
        <f t="array" ref="L51">_xlfn.XLOOKUP(TRUE, EXACT(Table2[[#This Row],[orig]], Table6[orig]), Table6[(H-reflection)])</f>
        <v>d2</v>
      </c>
      <c r="M51" t="str" cm="1">
        <f t="array" ref="M51">_xlfn.XLOOKUP(TRUE, EXACT(Table2[[#This Row],[orig]], Table7[orig]), Table7[(S-reflection)])</f>
        <v>u2</v>
      </c>
    </row>
    <row r="52" spans="1:13" x14ac:dyDescent="0.2">
      <c r="A52" t="str">
        <f>intermediate!E55</f>
        <v>H2</v>
      </c>
      <c r="B52" t="str" cm="1">
        <f t="array" ref="B52">_xlfn.XLOOKUP(TRUE, EXACT(Table2[[#This Row],[orig]], Table4[orig]), Table4[(X)])</f>
        <v>S2</v>
      </c>
      <c r="C52" t="str" cm="1">
        <f t="array" ref="C52">_xlfn.XLOOKUP(TRUE, EXACT(B52, Table4[orig]), Table4[(X)])</f>
        <v>H2</v>
      </c>
      <c r="D52" t="str" cm="1">
        <f t="array" ref="D52">_xlfn.XLOOKUP(TRUE, EXACT(C52, Table4[orig]), Table4[(X)])</f>
        <v>S2</v>
      </c>
      <c r="E52" t="str" cm="1">
        <f t="array" ref="E52">_xlfn.XLOOKUP(TRUE, EXACT(A52, Table1[orig]), Table1[(Y)])</f>
        <v>H2</v>
      </c>
      <c r="F52" t="str" cm="1">
        <f t="array" ref="F52">_xlfn.XLOOKUP(TRUE, EXACT(E52, Table1[orig]), Table1[(Y)])</f>
        <v>H2</v>
      </c>
      <c r="G52" t="str" cm="1">
        <f t="array" ref="G52">_xlfn.XLOOKUP(TRUE, EXACT(F52, Table1[orig]), Table1[(Y)])</f>
        <v>H2</v>
      </c>
      <c r="H52" t="str" cm="1">
        <f t="array" ref="H52">_xlfn.XLOOKUP(TRUE, EXACT(Table2[[#This Row],[orig]], Table3[orig]), Table3[(Z)])</f>
        <v>T2</v>
      </c>
      <c r="I52" t="str" cm="1">
        <f t="array" ref="I52">_xlfn.XLOOKUP(TRUE, EXACT(H52, Table3[orig]), Table3[(Z)])</f>
        <v>H2</v>
      </c>
      <c r="J52" t="str" cm="1">
        <f t="array" ref="J52">_xlfn.XLOOKUP(TRUE, EXACT(I52, Table3[orig]), Table3[(Z)])</f>
        <v>T2</v>
      </c>
      <c r="K52" t="str" cm="1">
        <f t="array" ref="K52">_xlfn.XLOOKUP(TRUE, EXACT(Table2[[#This Row],[orig]], Table5[orig]), Table5[(T-reflection)])</f>
        <v>H2</v>
      </c>
      <c r="L52" t="str" cm="1">
        <f t="array" ref="L52">_xlfn.XLOOKUP(TRUE, EXACT(Table2[[#This Row],[orig]], Table6[orig]), Table6[(H-reflection)])</f>
        <v>H2</v>
      </c>
      <c r="M52" t="str" cm="1">
        <f t="array" ref="M52">_xlfn.XLOOKUP(TRUE, EXACT(Table2[[#This Row],[orig]], Table7[orig]), Table7[(S-reflection)])</f>
        <v>H2</v>
      </c>
    </row>
    <row r="53" spans="1:13" x14ac:dyDescent="0.2">
      <c r="A53" t="str">
        <f>intermediate!E56</f>
        <v>d2</v>
      </c>
      <c r="B53" t="str" cm="1">
        <f t="array" ref="B53">_xlfn.XLOOKUP(TRUE, EXACT(Table2[[#This Row],[orig]], Table4[orig]), Table4[(X)])</f>
        <v>f2</v>
      </c>
      <c r="C53" t="str" cm="1">
        <f t="array" ref="C53">_xlfn.XLOOKUP(TRUE, EXACT(B53, Table4[orig]), Table4[(X)])</f>
        <v>u2</v>
      </c>
      <c r="D53" t="str" cm="1">
        <f t="array" ref="D53">_xlfn.XLOOKUP(TRUE, EXACT(C53, Table4[orig]), Table4[(X)])</f>
        <v>b2</v>
      </c>
      <c r="E53" t="str" cm="1">
        <f t="array" ref="E53">_xlfn.XLOOKUP(TRUE, EXACT(A53, Table1[orig]), Table1[(Y)])</f>
        <v>d2</v>
      </c>
      <c r="F53" t="str" cm="1">
        <f t="array" ref="F53">_xlfn.XLOOKUP(TRUE, EXACT(E53, Table1[orig]), Table1[(Y)])</f>
        <v>d2</v>
      </c>
      <c r="G53" t="str" cm="1">
        <f t="array" ref="G53">_xlfn.XLOOKUP(TRUE, EXACT(F53, Table1[orig]), Table1[(Y)])</f>
        <v>d2</v>
      </c>
      <c r="H53" t="str" cm="1">
        <f t="array" ref="H53">_xlfn.XLOOKUP(TRUE, EXACT(Table2[[#This Row],[orig]], Table3[orig]), Table3[(Z)])</f>
        <v>l2</v>
      </c>
      <c r="I53" t="str" cm="1">
        <f t="array" ref="I53">_xlfn.XLOOKUP(TRUE, EXACT(H53, Table3[orig]), Table3[(Z)])</f>
        <v>u2</v>
      </c>
      <c r="J53" t="str" cm="1">
        <f t="array" ref="J53">_xlfn.XLOOKUP(TRUE, EXACT(I53, Table3[orig]), Table3[(Z)])</f>
        <v>r2</v>
      </c>
      <c r="K53" t="str" cm="1">
        <f t="array" ref="K53">_xlfn.XLOOKUP(TRUE, EXACT(Table2[[#This Row],[orig]], Table5[orig]), Table5[(T-reflection)])</f>
        <v>d2</v>
      </c>
      <c r="L53" t="str" cm="1">
        <f t="array" ref="L53">_xlfn.XLOOKUP(TRUE, EXACT(Table2[[#This Row],[orig]], Table6[orig]), Table6[(H-reflection)])</f>
        <v>u2</v>
      </c>
      <c r="M53" t="str" cm="1">
        <f t="array" ref="M53">_xlfn.XLOOKUP(TRUE, EXACT(Table2[[#This Row],[orig]], Table7[orig]), Table7[(S-reflection)])</f>
        <v>d2</v>
      </c>
    </row>
    <row r="54" spans="1:13" x14ac:dyDescent="0.2">
      <c r="A54" t="str">
        <f>intermediate!E57</f>
        <v>D2</v>
      </c>
      <c r="B54" t="str" cm="1">
        <f t="array" ref="B54">_xlfn.XLOOKUP(TRUE, EXACT(Table2[[#This Row],[orig]], Table4[orig]), Table4[(X)])</f>
        <v>F2</v>
      </c>
      <c r="C54" t="str" cm="1">
        <f t="array" ref="C54">_xlfn.XLOOKUP(TRUE, EXACT(B54, Table4[orig]), Table4[(X)])</f>
        <v>U2</v>
      </c>
      <c r="D54" t="str" cm="1">
        <f t="array" ref="D54">_xlfn.XLOOKUP(TRUE, EXACT(C54, Table4[orig]), Table4[(X)])</f>
        <v>B2</v>
      </c>
      <c r="E54" t="str" cm="1">
        <f t="array" ref="E54">_xlfn.XLOOKUP(TRUE, EXACT(A54, Table1[orig]), Table1[(Y)])</f>
        <v>D2</v>
      </c>
      <c r="F54" t="str" cm="1">
        <f t="array" ref="F54">_xlfn.XLOOKUP(TRUE, EXACT(E54, Table1[orig]), Table1[(Y)])</f>
        <v>D2</v>
      </c>
      <c r="G54" t="str" cm="1">
        <f t="array" ref="G54">_xlfn.XLOOKUP(TRUE, EXACT(F54, Table1[orig]), Table1[(Y)])</f>
        <v>D2</v>
      </c>
      <c r="H54" t="str" cm="1">
        <f t="array" ref="H54">_xlfn.XLOOKUP(TRUE, EXACT(Table2[[#This Row],[orig]], Table3[orig]), Table3[(Z)])</f>
        <v>L2</v>
      </c>
      <c r="I54" t="str" cm="1">
        <f t="array" ref="I54">_xlfn.XLOOKUP(TRUE, EXACT(H54, Table3[orig]), Table3[(Z)])</f>
        <v>U2</v>
      </c>
      <c r="J54" t="str" cm="1">
        <f t="array" ref="J54">_xlfn.XLOOKUP(TRUE, EXACT(I54, Table3[orig]), Table3[(Z)])</f>
        <v>R2</v>
      </c>
      <c r="K54" t="str" cm="1">
        <f t="array" ref="K54">_xlfn.XLOOKUP(TRUE, EXACT(Table2[[#This Row],[orig]], Table5[orig]), Table5[(T-reflection)])</f>
        <v>D2</v>
      </c>
      <c r="L54" t="str" cm="1">
        <f t="array" ref="L54">_xlfn.XLOOKUP(TRUE, EXACT(Table2[[#This Row],[orig]], Table6[orig]), Table6[(H-reflection)])</f>
        <v>U2</v>
      </c>
      <c r="M54" t="str" cm="1">
        <f t="array" ref="M54">_xlfn.XLOOKUP(TRUE, EXACT(Table2[[#This Row],[orig]], Table7[orig]), Table7[(S-reflection)])</f>
        <v>D2</v>
      </c>
    </row>
    <row r="55" spans="1:13" x14ac:dyDescent="0.2">
      <c r="A55" s="3" t="str">
        <f>intermediate!E58</f>
        <v>Y2</v>
      </c>
      <c r="B55" s="3" t="str" cm="1">
        <f t="array" ref="B55">_xlfn.XLOOKUP(TRUE, EXACT(Table2[[#This Row],[orig]], Table4[orig]), Table4[(X)])</f>
        <v>Z2</v>
      </c>
      <c r="C55" s="3" t="str" cm="1">
        <f t="array" ref="C55">_xlfn.XLOOKUP(TRUE, EXACT(B55, Table4[orig]), Table4[(X)])</f>
        <v>Y2</v>
      </c>
      <c r="D55" s="3" t="str" cm="1">
        <f t="array" ref="D55">_xlfn.XLOOKUP(TRUE, EXACT(C55, Table4[orig]), Table4[(X)])</f>
        <v>Z2</v>
      </c>
      <c r="E55" s="3" t="str" cm="1">
        <f t="array" ref="E55">_xlfn.XLOOKUP(TRUE, EXACT(A55, Table1[orig]), Table1[(Y)])</f>
        <v>Y2</v>
      </c>
      <c r="F55" s="3" t="str" cm="1">
        <f t="array" ref="F55">_xlfn.XLOOKUP(TRUE, EXACT(E55, Table1[orig]), Table1[(Y)])</f>
        <v>Y2</v>
      </c>
      <c r="G55" s="3" t="str" cm="1">
        <f t="array" ref="G55">_xlfn.XLOOKUP(TRUE, EXACT(F55, Table1[orig]), Table1[(Y)])</f>
        <v>Y2</v>
      </c>
      <c r="H55" s="3" t="str" cm="1">
        <f t="array" ref="H55">_xlfn.XLOOKUP(TRUE, EXACT(Table2[[#This Row],[orig]], Table3[orig]), Table3[(Z)])</f>
        <v>X2</v>
      </c>
      <c r="I55" s="3" t="str" cm="1">
        <f t="array" ref="I55">_xlfn.XLOOKUP(TRUE, EXACT(H55, Table3[orig]), Table3[(Z)])</f>
        <v>Y2</v>
      </c>
      <c r="J55" s="3" t="str" cm="1">
        <f t="array" ref="J55">_xlfn.XLOOKUP(TRUE, EXACT(I55, Table3[orig]), Table3[(Z)])</f>
        <v>X2</v>
      </c>
      <c r="K55" s="3" t="str" cm="1">
        <f t="array" ref="K55">_xlfn.XLOOKUP(TRUE, EXACT(Table2[[#This Row],[orig]], Table5[orig]), Table5[(T-reflection)])</f>
        <v>Y2</v>
      </c>
      <c r="L55" s="3" t="str" cm="1">
        <f t="array" ref="L55">_xlfn.XLOOKUP(TRUE, EXACT(Table2[[#This Row],[orig]], Table6[orig]), Table6[(H-reflection)])</f>
        <v>Y2</v>
      </c>
      <c r="M55" s="3" t="str" cm="1">
        <f t="array" ref="M55">_xlfn.XLOOKUP(TRUE, EXACT(Table2[[#This Row],[orig]], Table7[orig]), Table7[(S-reflection)])</f>
        <v>Y2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intermediate</vt:lpstr>
      <vt:lpstr>Other Tables</vt:lpstr>
      <vt:lpstr>basics</vt:lpstr>
      <vt:lpstr>transformations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Susan Sprigg</cp:lastModifiedBy>
  <cp:revision/>
  <dcterms:created xsi:type="dcterms:W3CDTF">2024-03-04T03:28:46Z</dcterms:created>
  <dcterms:modified xsi:type="dcterms:W3CDTF">2024-06-30T20:06:27Z</dcterms:modified>
  <cp:category/>
  <cp:contentStatus/>
</cp:coreProperties>
</file>